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uck\Downloads\38833FF26BA1D.UnigramPreview_g9c9v27vpyspw!App\"/>
    </mc:Choice>
  </mc:AlternateContent>
  <xr:revisionPtr revIDLastSave="0" documentId="8_{F7183EA5-642E-4929-A2E1-48CD2659C0CF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Новости" sheetId="2" r:id="rId1"/>
    <sheet name="Справочники" sheetId="4" state="hidden" r:id="rId2"/>
    <sheet name="Контроль" sheetId="5" state="hidden" r:id="rId3"/>
  </sheets>
  <definedNames>
    <definedName name="Z_9112C38A_B852_4609_A243_12B0F7D8DB0A_.wvu.FilterData" localSheetId="0" hidden="1">Новости!$A$5:$U$1005</definedName>
  </definedNames>
  <calcPr calcId="191029"/>
  <customWorkbookViews>
    <customWorkbookView name="SourcesRegistry filter view" guid="{1A08E79B-867E-4D6C-A764-6A8F12173869}" maximized="1" windowWidth="0" windowHeight="0" activeSheetId="0"/>
    <customWorkbookView name="NewsRegistry filter view" guid="{9112C38A-B852-4609-A243-12B0F7D8DB0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5" l="1"/>
  <c r="F23" i="5"/>
  <c r="E23" i="5"/>
  <c r="D23" i="5"/>
  <c r="B23" i="5"/>
  <c r="G22" i="5"/>
  <c r="F22" i="5"/>
  <c r="E22" i="5"/>
  <c r="D22" i="5"/>
  <c r="B22" i="5"/>
  <c r="G21" i="5"/>
  <c r="F21" i="5"/>
  <c r="E21" i="5"/>
  <c r="D21" i="5"/>
  <c r="B21" i="5"/>
  <c r="G20" i="5"/>
  <c r="F20" i="5"/>
  <c r="E20" i="5"/>
  <c r="D20" i="5"/>
  <c r="B20" i="5"/>
  <c r="G19" i="5"/>
  <c r="F19" i="5"/>
  <c r="E19" i="5"/>
  <c r="D19" i="5"/>
  <c r="B19" i="5"/>
  <c r="G18" i="5"/>
  <c r="F18" i="5"/>
  <c r="E18" i="5"/>
  <c r="D18" i="5"/>
  <c r="B18" i="5"/>
  <c r="G17" i="5"/>
  <c r="F17" i="5"/>
  <c r="E17" i="5"/>
  <c r="D17" i="5"/>
  <c r="B17" i="5"/>
  <c r="G16" i="5"/>
  <c r="F16" i="5"/>
  <c r="E16" i="5"/>
  <c r="D16" i="5"/>
  <c r="B16" i="5"/>
  <c r="G15" i="5"/>
  <c r="F15" i="5"/>
  <c r="E15" i="5"/>
  <c r="D15" i="5"/>
  <c r="B15" i="5"/>
  <c r="G14" i="5"/>
  <c r="F14" i="5"/>
  <c r="E14" i="5"/>
  <c r="D14" i="5"/>
  <c r="B14" i="5"/>
  <c r="G13" i="5"/>
  <c r="F13" i="5"/>
  <c r="E13" i="5"/>
  <c r="D13" i="5"/>
  <c r="B13" i="5"/>
  <c r="G12" i="5"/>
  <c r="F12" i="5"/>
  <c r="E12" i="5"/>
  <c r="D12" i="5"/>
  <c r="B12" i="5"/>
  <c r="G11" i="5"/>
  <c r="F11" i="5"/>
  <c r="E11" i="5"/>
  <c r="D11" i="5"/>
  <c r="B11" i="5"/>
  <c r="G10" i="5"/>
  <c r="F10" i="5"/>
  <c r="E10" i="5"/>
  <c r="D10" i="5"/>
  <c r="B10" i="5"/>
  <c r="G9" i="5"/>
  <c r="F9" i="5"/>
  <c r="E9" i="5"/>
  <c r="D9" i="5"/>
  <c r="B9" i="5"/>
  <c r="G8" i="5"/>
  <c r="F8" i="5"/>
  <c r="E8" i="5"/>
  <c r="D8" i="5"/>
  <c r="B8" i="5"/>
  <c r="G7" i="5"/>
  <c r="F7" i="5"/>
  <c r="E7" i="5"/>
  <c r="D7" i="5"/>
  <c r="B7" i="5"/>
  <c r="G6" i="5"/>
  <c r="F6" i="5"/>
  <c r="E6" i="5"/>
  <c r="D6" i="5"/>
  <c r="B6" i="5"/>
  <c r="G5" i="5"/>
  <c r="F5" i="5"/>
  <c r="E5" i="5"/>
  <c r="D5" i="5"/>
  <c r="B5" i="5"/>
  <c r="G4" i="5"/>
  <c r="F4" i="5"/>
  <c r="E4" i="5"/>
  <c r="D4" i="5"/>
  <c r="B4" i="5"/>
  <c r="B25" i="5" s="1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C6" i="5"/>
  <c r="C5" i="5"/>
  <c r="C7" i="5"/>
  <c r="C9" i="5"/>
  <c r="C8" i="5"/>
  <c r="C12" i="5"/>
  <c r="C20" i="5"/>
  <c r="C17" i="5"/>
  <c r="C22" i="5"/>
  <c r="C18" i="5"/>
  <c r="C16" i="5"/>
  <c r="C21" i="5"/>
  <c r="C10" i="5"/>
  <c r="C14" i="5"/>
  <c r="C11" i="5"/>
  <c r="C19" i="5"/>
  <c r="C15" i="5"/>
  <c r="C23" i="5"/>
  <c r="G25" i="5" l="1"/>
  <c r="E25" i="5"/>
  <c r="F25" i="5"/>
  <c r="C4" i="5"/>
  <c r="C25" i="5" s="1"/>
  <c r="C13" i="5"/>
  <c r="D25" i="5"/>
</calcChain>
</file>

<file path=xl/sharedStrings.xml><?xml version="1.0" encoding="utf-8"?>
<sst xmlns="http://schemas.openxmlformats.org/spreadsheetml/2006/main" count="134" uniqueCount="111">
  <si>
    <t>Служебные справочники — не редактировать</t>
  </si>
  <si>
    <t>Муниципалитет</t>
  </si>
  <si>
    <t>Муниципалитеты</t>
  </si>
  <si>
    <t>Категории</t>
  </si>
  <si>
    <t>Платформы</t>
  </si>
  <si>
    <t>Стадии</t>
  </si>
  <si>
    <t>Печора</t>
  </si>
  <si>
    <t>Типы источников</t>
  </si>
  <si>
    <t>Официальность</t>
  </si>
  <si>
    <t>Активность</t>
  </si>
  <si>
    <t>Дубли</t>
  </si>
  <si>
    <t>Воркута</t>
  </si>
  <si>
    <t>Власть и кадровые решения</t>
  </si>
  <si>
    <t>Официальный сайт</t>
  </si>
  <si>
    <t>Единый реестр новостей муниципалитетов Республики Коми</t>
  </si>
  <si>
    <t>Анонс</t>
  </si>
  <si>
    <t>Администрация муниципалитета</t>
  </si>
  <si>
    <t>Подтверждено</t>
  </si>
  <si>
    <t>Активен</t>
  </si>
  <si>
    <t>Нет</t>
  </si>
  <si>
    <t>Одна публикация = одна строка. Основной муниципалитет обязателен; дополнительные перечисляйте через ;. Региональную новость вносить только при явной связи с муниципалитетом. Рабочий период — последние 30 дней; старые строки не удалять.</t>
  </si>
  <si>
    <t>Вуктыл</t>
  </si>
  <si>
    <t>Обязательное</t>
  </si>
  <si>
    <t>Бюджет и муниципальные финансы</t>
  </si>
  <si>
    <t>MAX</t>
  </si>
  <si>
    <t>Решение принято</t>
  </si>
  <si>
    <t>Глава муниципалитета</t>
  </si>
  <si>
    <t>Не подтверждено</t>
  </si>
  <si>
    <t>Неактивен</t>
  </si>
  <si>
    <t>Да</t>
  </si>
  <si>
    <t>Сборщик</t>
  </si>
  <si>
    <t>Ижемский район</t>
  </si>
  <si>
    <t>Закупки и контракты</t>
  </si>
  <si>
    <t>ВКонтакте</t>
  </si>
  <si>
    <t>Финансирование выделено</t>
  </si>
  <si>
    <t>Совет / представительный орган</t>
  </si>
  <si>
    <t>Требует проверки</t>
  </si>
  <si>
    <t>Недоступен</t>
  </si>
  <si>
    <t>Нужно проверить</t>
  </si>
  <si>
    <t>Дата сбора</t>
  </si>
  <si>
    <t>Инта</t>
  </si>
  <si>
    <t>Строительство и инфраструктура</t>
  </si>
  <si>
    <t>Основной муниципалитет</t>
  </si>
  <si>
    <t>Telegram</t>
  </si>
  <si>
    <t>Закупка объявлена</t>
  </si>
  <si>
    <t>Муниципальное учреждение</t>
  </si>
  <si>
    <t>Дополнительные муниципалитеты</t>
  </si>
  <si>
    <t>Княжпогостский район</t>
  </si>
  <si>
    <t>Дата публикации</t>
  </si>
  <si>
    <t>ЖКХ и благоустройство</t>
  </si>
  <si>
    <t>Одноклассники</t>
  </si>
  <si>
    <t>Работы начаты</t>
  </si>
  <si>
    <t>Дата события</t>
  </si>
  <si>
    <t>Региональный орган власти</t>
  </si>
  <si>
    <t>Источник</t>
  </si>
  <si>
    <t>Прямая ссылка</t>
  </si>
  <si>
    <t>Койгородский район</t>
  </si>
  <si>
    <t>Экономика, бизнес и занятость</t>
  </si>
  <si>
    <t>Rutube</t>
  </si>
  <si>
    <t>Дополнительные ссылки</t>
  </si>
  <si>
    <t>В процессе</t>
  </si>
  <si>
    <t>Официальная пресс-служба</t>
  </si>
  <si>
    <t>Заголовок</t>
  </si>
  <si>
    <t>Категория</t>
  </si>
  <si>
    <t>Корткеросский район</t>
  </si>
  <si>
    <t>Стадия события</t>
  </si>
  <si>
    <t>Социальная сфера</t>
  </si>
  <si>
    <t>Другое</t>
  </si>
  <si>
    <t>Краткое фактическое резюме</t>
  </si>
  <si>
    <t>Завершено / открыто</t>
  </si>
  <si>
    <t>Другое официальное</t>
  </si>
  <si>
    <t>Ключевые цифры и факты</t>
  </si>
  <si>
    <t>Комментарий</t>
  </si>
  <si>
    <t>Образование</t>
  </si>
  <si>
    <t>Упомянутые лица</t>
  </si>
  <si>
    <t>Перенесено / приостановлено</t>
  </si>
  <si>
    <t>Организации</t>
  </si>
  <si>
    <t>Автопроверка</t>
  </si>
  <si>
    <t>Неофициальный источник</t>
  </si>
  <si>
    <t>ИНН из источника</t>
  </si>
  <si>
    <t>Объект/населённый пункт</t>
  </si>
  <si>
    <t>Прилузский район</t>
  </si>
  <si>
    <t>Здравоохранение</t>
  </si>
  <si>
    <t>Возможный дубль</t>
  </si>
  <si>
    <t>Проблема / происшествие</t>
  </si>
  <si>
    <t>Сосногорск</t>
  </si>
  <si>
    <t>Происшествия и безопасность</t>
  </si>
  <si>
    <t>Результат</t>
  </si>
  <si>
    <t>Республика Коми</t>
  </si>
  <si>
    <t>Сыктывдинский район</t>
  </si>
  <si>
    <t>Экология</t>
  </si>
  <si>
    <t>Сыктывкар</t>
  </si>
  <si>
    <t>Обращения и проблемы жителей</t>
  </si>
  <si>
    <t>Сысольский район</t>
  </si>
  <si>
    <t>Культура, спорт и туризм</t>
  </si>
  <si>
    <t>Троицко-Печорский район</t>
  </si>
  <si>
    <t>Банки и финансовые сервисы</t>
  </si>
  <si>
    <t>Удорский район</t>
  </si>
  <si>
    <t>Усинск</t>
  </si>
  <si>
    <t>Усть-Вымский район</t>
  </si>
  <si>
    <t>Усть-Куломский район</t>
  </si>
  <si>
    <t>Усть-Цилемский район</t>
  </si>
  <si>
    <t>Ухта</t>
  </si>
  <si>
    <t>Контроль покрытия муниципалитетов — служебный лист</t>
  </si>
  <si>
    <t>Показатели рассчитываются автоматически по основному муниципалитету.</t>
  </si>
  <si>
    <t>Всего источников</t>
  </si>
  <si>
    <t>Готовых источников</t>
  </si>
  <si>
    <t>Новостей за 30 дней</t>
  </si>
  <si>
    <t>Готовых новостей</t>
  </si>
  <si>
    <t>Ошибки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</si>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</sst>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4">
    <font>
      <sz val="11"/>
      <color rgb="FF000000"/>
      <name val="Carlito"/>
      <scheme val="minor"/>
    </font>
    <font>
      <b/>
      <sz val="14"/>
      <color rgb="FFFFFFFF"/>
      <name val="Carlito"/>
    </font>
    <font>
      <b/>
      <sz val="9"/>
      <color rgb="FFFFFFFF"/>
      <name val="Carlito"/>
    </font>
    <font>
      <sz val="9"/>
      <color rgb="FF0F172A"/>
      <name val="Carlito"/>
    </font>
    <font>
      <b/>
      <sz val="18"/>
      <color rgb="FFFFFFFF"/>
      <name val="Carlito"/>
    </font>
    <font>
      <sz val="10"/>
      <color rgb="FF134E4A"/>
      <name val="Carlito"/>
    </font>
    <font>
      <b/>
      <sz val="9"/>
      <color rgb="FF166534"/>
      <name val="Carlito"/>
    </font>
    <font>
      <b/>
      <sz val="9"/>
      <color rgb="FF854D0E"/>
      <name val="Carlito"/>
    </font>
    <font>
      <b/>
      <sz val="9"/>
      <color rgb="FF991B1B"/>
      <name val="Carlito"/>
    </font>
    <font>
      <b/>
      <sz val="9"/>
      <color rgb="FF1E3A5F"/>
      <name val="Carlito"/>
    </font>
    <font>
      <sz val="9"/>
      <color rgb="FF1D4ED8"/>
      <name val="Carlito"/>
    </font>
    <font>
      <i/>
      <sz val="9"/>
      <color rgb="FF64748B"/>
      <name val="Carlito"/>
    </font>
    <font>
      <sz val="9"/>
      <color rgb="FF134E4A"/>
      <name val="Carlito"/>
    </font>
    <font>
      <b/>
      <sz val="9"/>
      <color rgb="FF134E4A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DDF4EF"/>
        <bgColor rgb="FFDDF4EF"/>
      </patternFill>
    </fill>
    <fill>
      <patternFill patternType="solid">
        <fgColor rgb="FF0F766E"/>
        <bgColor rgb="FF0F766E"/>
      </patternFill>
    </fill>
    <fill>
      <patternFill patternType="solid">
        <fgColor rgb="FFE7F6EC"/>
        <bgColor rgb="FFE7F6EC"/>
      </patternFill>
    </fill>
    <fill>
      <patternFill patternType="solid">
        <fgColor rgb="FFFFF4CC"/>
        <bgColor rgb="FFFFF4CC"/>
      </patternFill>
    </fill>
    <fill>
      <patternFill patternType="solid">
        <fgColor rgb="FFFDE7E7"/>
        <bgColor rgb="FFFDE7E7"/>
      </patternFill>
    </fill>
    <fill>
      <patternFill patternType="solid">
        <fgColor rgb="FFE8F1FB"/>
        <bgColor rgb="FFE8F1FB"/>
      </patternFill>
    </fill>
    <fill>
      <patternFill patternType="solid">
        <fgColor rgb="FFEEF2F6"/>
        <bgColor rgb="FFEEF2F6"/>
      </patternFill>
    </fill>
  </fills>
  <borders count="14">
    <border>
      <left/>
      <right/>
      <top/>
      <bottom/>
      <diagonal/>
    </border>
    <border>
      <left/>
      <right style="thin">
        <color rgb="FFD8E1E8"/>
      </right>
      <top/>
      <bottom style="thin">
        <color rgb="FFD8E1E8"/>
      </bottom>
      <diagonal/>
    </border>
    <border>
      <left style="thin">
        <color rgb="FFD8E1E8"/>
      </left>
      <right style="thin">
        <color rgb="FFD8E1E8"/>
      </right>
      <top/>
      <bottom style="thin">
        <color rgb="FFD8E1E8"/>
      </bottom>
      <diagonal/>
    </border>
    <border>
      <left style="thin">
        <color rgb="FFD8E1E8"/>
      </left>
      <right/>
      <top/>
      <bottom style="thin">
        <color rgb="FFD8E1E8"/>
      </bottom>
      <diagonal/>
    </border>
    <border>
      <left/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rgb="FFD8E1E8"/>
      </left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rgb="FFD8E1E8"/>
      </left>
      <right/>
      <top style="thin">
        <color rgb="FFD8E1E8"/>
      </top>
      <bottom style="thin">
        <color rgb="FFD8E1E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D8E1E8"/>
      </top>
      <bottom style="thin">
        <color rgb="FFD8E1E8"/>
      </bottom>
      <diagonal/>
    </border>
    <border>
      <left/>
      <right/>
      <top/>
      <bottom style="thin">
        <color rgb="FFD8E1E8"/>
      </bottom>
      <diagonal/>
    </border>
    <border>
      <left/>
      <right style="thin">
        <color rgb="FFD8E1E8"/>
      </right>
      <top style="thin">
        <color rgb="FFD8E1E8"/>
      </top>
      <bottom/>
      <diagonal/>
    </border>
    <border>
      <left style="thin">
        <color rgb="FFD8E1E8"/>
      </left>
      <right style="thin">
        <color rgb="FFD8E1E8"/>
      </right>
      <top style="thin">
        <color rgb="FFD8E1E8"/>
      </top>
      <bottom/>
      <diagonal/>
    </border>
    <border>
      <left style="thin">
        <color rgb="FFD8E1E8"/>
      </left>
      <right/>
      <top style="thin">
        <color rgb="FFD8E1E8"/>
      </top>
      <bottom/>
      <diagonal/>
    </border>
    <border>
      <left/>
      <right/>
      <top/>
      <bottom style="double">
        <color rgb="FF0F766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5" borderId="0" xfId="0" applyFont="1" applyFill="1" applyAlignment="1">
      <alignment horizontal="center" vertical="center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5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0" fontId="3" fillId="0" borderId="9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49" fontId="3" fillId="0" borderId="9" xfId="0" applyNumberFormat="1" applyFont="1" applyBorder="1" applyAlignment="1">
      <alignment vertical="top"/>
    </xf>
    <xf numFmtId="0" fontId="11" fillId="10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top"/>
    </xf>
    <xf numFmtId="164" fontId="3" fillId="0" borderId="8" xfId="0" applyNumberFormat="1" applyFont="1" applyBorder="1" applyAlignment="1">
      <alignment vertical="top"/>
    </xf>
    <xf numFmtId="0" fontId="3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49" fontId="3" fillId="0" borderId="8" xfId="0" applyNumberFormat="1" applyFont="1" applyBorder="1" applyAlignment="1">
      <alignment vertical="top"/>
    </xf>
    <xf numFmtId="0" fontId="3" fillId="0" borderId="1" xfId="0" applyFont="1" applyBorder="1" applyAlignment="1">
      <alignment vertical="center"/>
    </xf>
    <xf numFmtId="3" fontId="3" fillId="0" borderId="11" xfId="0" applyNumberFormat="1" applyFont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3" fillId="4" borderId="13" xfId="0" applyFont="1" applyFill="1" applyBorder="1"/>
    <xf numFmtId="3" fontId="13" fillId="4" borderId="13" xfId="0" applyNumberFormat="1" applyFont="1" applyFill="1" applyBorder="1"/>
    <xf numFmtId="0" fontId="4" fillId="2" borderId="0" xfId="0" applyFont="1" applyFill="1" applyAlignment="1">
      <alignment vertical="center"/>
    </xf>
    <xf numFmtId="0" fontId="0" fillId="0" borderId="0" xfId="0"/>
    <xf numFmtId="0" fontId="5" fillId="4" borderId="0" xfId="0" applyFont="1" applyFill="1" applyAlignment="1">
      <alignment vertical="center" wrapText="1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2" fillId="4" borderId="0" xfId="0" applyFont="1" applyFill="1"/>
  </cellXfs>
  <cellStyles count="1">
    <cellStyle name="Normal" xfId="0" builtinId="0"/>
  </cellStyles>
  <dxfs count="11">
    <dxf>
      <font>
        <color rgb="FF991B1B"/>
      </font>
      <fill>
        <patternFill patternType="solid">
          <fgColor rgb="FFFDE7E7"/>
          <bgColor rgb="FFFDE7E7"/>
        </patternFill>
      </fill>
    </dxf>
    <dxf>
      <font>
        <color rgb="FF854D0E"/>
      </font>
      <fill>
        <patternFill patternType="solid">
          <fgColor rgb="FFFFF4CC"/>
          <bgColor rgb="FFFFF4CC"/>
        </patternFill>
      </fill>
    </dxf>
    <dxf>
      <font>
        <color rgb="FF166534"/>
      </font>
      <fill>
        <patternFill patternType="solid">
          <fgColor rgb="FFE7F6EC"/>
          <bgColor rgb="FFE7F6EC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Источники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Новости-style" pivot="0" count="4" xr9:uid="{00000000-0011-0000-FFFF-FFFF01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wsRegistry" displayName="NewsRegistry" ref="A5:U1005">
  <tableColumns count="21">
    <tableColumn id="1" xr3:uid="{00000000-0010-0000-0100-000001000000}" name="Сборщик"/>
    <tableColumn id="2" xr3:uid="{00000000-0010-0000-0100-000002000000}" name="Дата сбора"/>
    <tableColumn id="3" xr3:uid="{00000000-0010-0000-0100-000003000000}" name="Основной муниципалитет"/>
    <tableColumn id="4" xr3:uid="{00000000-0010-0000-0100-000004000000}" name="Дополнительные муниципалитеты"/>
    <tableColumn id="5" xr3:uid="{00000000-0010-0000-0100-000005000000}" name="Дата публикации"/>
    <tableColumn id="6" xr3:uid="{00000000-0010-0000-0100-000006000000}" name="Дата события"/>
    <tableColumn id="7" xr3:uid="{00000000-0010-0000-0100-000007000000}" name="Источник"/>
    <tableColumn id="8" xr3:uid="{00000000-0010-0000-0100-000008000000}" name="Прямая ссылка"/>
    <tableColumn id="9" xr3:uid="{00000000-0010-0000-0100-000009000000}" name="Дополнительные ссылки"/>
    <tableColumn id="10" xr3:uid="{00000000-0010-0000-0100-00000A000000}" name="Заголовок"/>
    <tableColumn id="11" xr3:uid="{00000000-0010-0000-0100-00000B000000}" name="Категория"/>
    <tableColumn id="12" xr3:uid="{00000000-0010-0000-0100-00000C000000}" name="Стадия события"/>
    <tableColumn id="13" xr3:uid="{00000000-0010-0000-0100-00000D000000}" name="Краткое фактическое резюме"/>
    <tableColumn id="14" xr3:uid="{00000000-0010-0000-0100-00000E000000}" name="Ключевые цифры и факты"/>
    <tableColumn id="15" xr3:uid="{00000000-0010-0000-0100-00000F000000}" name="Упомянутые лица"/>
    <tableColumn id="16" xr3:uid="{00000000-0010-0000-0100-000010000000}" name="Организации"/>
    <tableColumn id="17" xr3:uid="{00000000-0010-0000-0100-000011000000}" name="ИНН из источника"/>
    <tableColumn id="18" xr3:uid="{00000000-0010-0000-0100-000012000000}" name="Объект/населённый пункт"/>
    <tableColumn id="19" xr3:uid="{00000000-0010-0000-0100-000013000000}" name="Возможный дубль"/>
    <tableColumn id="20" xr3:uid="{00000000-0010-0000-0100-000014000000}" name="Комментарий"/>
    <tableColumn id="21" xr3:uid="{00000000-0010-0000-0100-000015000000}" name="Автопроверка"/>
  </tableColumns>
  <tableStyleInfo name="Новост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5"/>
  <sheetViews>
    <sheetView showGridLines="0" tabSelected="1" workbookViewId="0">
      <selection activeCell="D12" sqref="D12"/>
    </sheetView>
  </sheetViews>
  <sheetFormatPr defaultColWidth="12.625" defaultRowHeight="15" customHeight="1"/>
  <cols>
    <col min="1" max="1" width="18" customWidth="1"/>
    <col min="2" max="2" width="14" customWidth="1"/>
    <col min="3" max="3" width="27" customWidth="1"/>
    <col min="4" max="4" width="34" customWidth="1"/>
    <col min="5" max="6" width="14" customWidth="1"/>
    <col min="7" max="7" width="32" customWidth="1"/>
    <col min="8" max="8" width="40" customWidth="1"/>
    <col min="9" max="9" width="34" customWidth="1"/>
    <col min="10" max="10" width="44" customWidth="1"/>
    <col min="11" max="11" width="32" customWidth="1"/>
    <col min="12" max="12" width="29" customWidth="1"/>
    <col min="13" max="13" width="56" customWidth="1"/>
    <col min="14" max="14" width="42" customWidth="1"/>
    <col min="15" max="15" width="30" customWidth="1"/>
    <col min="16" max="16" width="32" customWidth="1"/>
    <col min="17" max="17" width="20" customWidth="1"/>
    <col min="18" max="18" width="30" customWidth="1"/>
    <col min="19" max="19" width="21" customWidth="1"/>
    <col min="20" max="20" width="38" customWidth="1"/>
    <col min="21" max="21" width="36" customWidth="1"/>
    <col min="22" max="25" width="8.625" customWidth="1"/>
  </cols>
  <sheetData>
    <row r="1" spans="1:21" ht="36" customHeight="1">
      <c r="A1" s="35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ht="42" customHeight="1">
      <c r="A2" s="37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 ht="24" customHeight="1">
      <c r="A3" s="6" t="s">
        <v>22</v>
      </c>
      <c r="B3" s="38"/>
      <c r="C3" s="36"/>
      <c r="D3" s="39"/>
      <c r="E3" s="36"/>
      <c r="F3" s="40"/>
      <c r="G3" s="36"/>
      <c r="H3" s="41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5" spans="1:21" ht="45.75" customHeight="1">
      <c r="A5" s="9" t="s">
        <v>30</v>
      </c>
      <c r="B5" s="9" t="s">
        <v>39</v>
      </c>
      <c r="C5" s="9" t="s">
        <v>42</v>
      </c>
      <c r="D5" s="10" t="s">
        <v>46</v>
      </c>
      <c r="E5" s="9" t="s">
        <v>48</v>
      </c>
      <c r="F5" s="10" t="s">
        <v>52</v>
      </c>
      <c r="G5" s="9" t="s">
        <v>54</v>
      </c>
      <c r="H5" s="9" t="s">
        <v>55</v>
      </c>
      <c r="I5" s="10" t="s">
        <v>59</v>
      </c>
      <c r="J5" s="9" t="s">
        <v>62</v>
      </c>
      <c r="K5" s="9" t="s">
        <v>63</v>
      </c>
      <c r="L5" s="9" t="s">
        <v>65</v>
      </c>
      <c r="M5" s="9" t="s">
        <v>68</v>
      </c>
      <c r="N5" s="10" t="s">
        <v>71</v>
      </c>
      <c r="O5" s="10" t="s">
        <v>74</v>
      </c>
      <c r="P5" s="10" t="s">
        <v>76</v>
      </c>
      <c r="Q5" s="10" t="s">
        <v>79</v>
      </c>
      <c r="R5" s="10" t="s">
        <v>80</v>
      </c>
      <c r="S5" s="10" t="s">
        <v>83</v>
      </c>
      <c r="T5" s="10" t="s">
        <v>72</v>
      </c>
      <c r="U5" s="11" t="s">
        <v>77</v>
      </c>
    </row>
    <row r="6" spans="1:21" ht="25.5" customHeight="1">
      <c r="A6" s="12"/>
      <c r="B6" s="13"/>
      <c r="C6" s="12"/>
      <c r="D6" s="14"/>
      <c r="E6" s="13"/>
      <c r="F6" s="13"/>
      <c r="G6" s="14"/>
      <c r="H6" s="15"/>
      <c r="I6" s="15"/>
      <c r="J6" s="14"/>
      <c r="K6" s="14"/>
      <c r="L6" s="14"/>
      <c r="M6" s="14"/>
      <c r="N6" s="14"/>
      <c r="O6" s="14"/>
      <c r="P6" s="14"/>
      <c r="Q6" s="19"/>
      <c r="R6" s="14"/>
      <c r="S6" s="14"/>
      <c r="T6" s="14"/>
      <c r="U6" s="20" t="str">
        <f ca="1">IF(COUNTA(A6:T6)=0,"",IF(OR(A6="",B6="",C6="",E6="",G6="",H6="",J6="",K6="",L6="",M6=""),"Ошибка: заполните обязательные поля",IF(AND(LEFT(H6,7)&lt;&gt;"http://",LEFT(H6,8)&lt;&gt;"https://"),"Ошибка: некорректная ссылка",IF(COUNTIF($H$6:$H$1005,H6)&gt;1,"Ошибка: дубликат URL",IF(E6&gt;TODAY(),"Ошибка: дата публикации в будущем",IF(S6="Да","Ошибка: подтверждённый дубль",IF(S6="","Проверить: отметьте дубль",IF(S6="Нужно проверить","Проверить возможный дубль",IF(TODAY()-E6&gt;30,"Проверить: старше 30 дней",IF(COUNTIFS(#REF!,G6,#REF!,"Готово")=0,"Проверить источник","Готово"))))))))))</f>
        <v/>
      </c>
    </row>
    <row r="7" spans="1:21" ht="25.5" customHeight="1">
      <c r="A7" s="21"/>
      <c r="B7" s="22"/>
      <c r="C7" s="21"/>
      <c r="D7" s="23"/>
      <c r="E7" s="22"/>
      <c r="F7" s="22"/>
      <c r="G7" s="23"/>
      <c r="H7" s="24"/>
      <c r="I7" s="24"/>
      <c r="J7" s="23"/>
      <c r="K7" s="23"/>
      <c r="L7" s="23"/>
      <c r="M7" s="23"/>
      <c r="N7" s="23"/>
      <c r="O7" s="23"/>
      <c r="P7" s="23"/>
      <c r="Q7" s="25"/>
      <c r="R7" s="23"/>
      <c r="S7" s="23"/>
      <c r="T7" s="23"/>
      <c r="U7" s="20" t="str">
        <f ca="1">IF(COUNTA(A7:T7)=0,"",IF(OR(A7="",B7="",C7="",E7="",G7="",H7="",J7="",K7="",L7="",M7=""),"Ошибка: заполните обязательные поля",IF(AND(LEFT(H7,7)&lt;&gt;"http://",LEFT(H7,8)&lt;&gt;"https://"),"Ошибка: некорректная ссылка",IF(COUNTIF($H$6:$H$1005,H7)&gt;1,"Ошибка: дубликат URL",IF(E7&gt;TODAY(),"Ошибка: дата публикации в будущем",IF(S7="Да","Ошибка: подтверждённый дубль",IF(S7="","Проверить: отметьте дубль",IF(S7="Нужно проверить","Проверить возможный дубль",IF(TODAY()-E7&gt;30,"Проверить: старше 30 дней",IF(COUNTIFS(#REF!,G7,#REF!,"Готово")=0,"Проверить источник","Готово"))))))))))</f>
        <v/>
      </c>
    </row>
    <row r="8" spans="1:21" ht="25.5" customHeight="1">
      <c r="A8" s="21"/>
      <c r="B8" s="22"/>
      <c r="C8" s="21"/>
      <c r="D8" s="23"/>
      <c r="E8" s="22"/>
      <c r="F8" s="22"/>
      <c r="G8" s="23"/>
      <c r="H8" s="24"/>
      <c r="I8" s="24"/>
      <c r="J8" s="23"/>
      <c r="K8" s="23"/>
      <c r="L8" s="23"/>
      <c r="M8" s="23"/>
      <c r="N8" s="23"/>
      <c r="O8" s="23"/>
      <c r="P8" s="23"/>
      <c r="Q8" s="25"/>
      <c r="R8" s="23"/>
      <c r="S8" s="23"/>
      <c r="T8" s="23"/>
      <c r="U8" s="20" t="str">
        <f ca="1">IF(COUNTA(A8:T8)=0,"",IF(OR(A8="",B8="",C8="",E8="",G8="",H8="",J8="",K8="",L8="",M8=""),"Ошибка: заполните обязательные поля",IF(AND(LEFT(H8,7)&lt;&gt;"http://",LEFT(H8,8)&lt;&gt;"https://"),"Ошибка: некорректная ссылка",IF(COUNTIF($H$6:$H$1005,H8)&gt;1,"Ошибка: дубликат URL",IF(E8&gt;TODAY(),"Ошибка: дата публикации в будущем",IF(S8="Да","Ошибка: подтверждённый дубль",IF(S8="","Проверить: отметьте дубль",IF(S8="Нужно проверить","Проверить возможный дубль",IF(TODAY()-E8&gt;30,"Проверить: старше 30 дней",IF(COUNTIFS(#REF!,G8,#REF!,"Готово")=0,"Проверить источник","Готово"))))))))))</f>
        <v/>
      </c>
    </row>
    <row r="9" spans="1:21" ht="25.5" customHeight="1">
      <c r="A9" s="21"/>
      <c r="B9" s="22"/>
      <c r="C9" s="21"/>
      <c r="D9" s="23"/>
      <c r="E9" s="22"/>
      <c r="F9" s="22"/>
      <c r="G9" s="23"/>
      <c r="H9" s="24"/>
      <c r="I9" s="24"/>
      <c r="J9" s="23"/>
      <c r="K9" s="23"/>
      <c r="L9" s="23"/>
      <c r="M9" s="23"/>
      <c r="N9" s="23"/>
      <c r="O9" s="23"/>
      <c r="P9" s="23"/>
      <c r="Q9" s="25"/>
      <c r="R9" s="23"/>
      <c r="S9" s="23"/>
      <c r="T9" s="23"/>
      <c r="U9" s="20" t="str">
        <f ca="1">IF(COUNTA(A9:T9)=0,"",IF(OR(A9="",B9="",C9="",E9="",G9="",H9="",J9="",K9="",L9="",M9=""),"Ошибка: заполните обязательные поля",IF(AND(LEFT(H9,7)&lt;&gt;"http://",LEFT(H9,8)&lt;&gt;"https://"),"Ошибка: некорректная ссылка",IF(COUNTIF($H$6:$H$1005,H9)&gt;1,"Ошибка: дубликат URL",IF(E9&gt;TODAY(),"Ошибка: дата публикации в будущем",IF(S9="Да","Ошибка: подтверждённый дубль",IF(S9="","Проверить: отметьте дубль",IF(S9="Нужно проверить","Проверить возможный дубль",IF(TODAY()-E9&gt;30,"Проверить: старше 30 дней",IF(COUNTIFS(#REF!,G9,#REF!,"Готово")=0,"Проверить источник","Готово"))))))))))</f>
        <v/>
      </c>
    </row>
    <row r="10" spans="1:21" ht="25.5" customHeight="1">
      <c r="A10" s="21"/>
      <c r="B10" s="22"/>
      <c r="C10" s="21"/>
      <c r="D10" s="23"/>
      <c r="E10" s="22"/>
      <c r="F10" s="22"/>
      <c r="G10" s="23"/>
      <c r="H10" s="24"/>
      <c r="I10" s="24"/>
      <c r="J10" s="23"/>
      <c r="K10" s="23"/>
      <c r="L10" s="23"/>
      <c r="M10" s="23"/>
      <c r="N10" s="23"/>
      <c r="O10" s="23"/>
      <c r="P10" s="23"/>
      <c r="Q10" s="25"/>
      <c r="R10" s="23"/>
      <c r="S10" s="23"/>
      <c r="T10" s="23"/>
      <c r="U10" s="20" t="str">
        <f ca="1">IF(COUNTA(A10:T10)=0,"",IF(OR(A10="",B10="",C10="",E10="",G10="",H10="",J10="",K10="",L10="",M10=""),"Ошибка: заполните обязательные поля",IF(AND(LEFT(H10,7)&lt;&gt;"http://",LEFT(H10,8)&lt;&gt;"https://"),"Ошибка: некорректная ссылка",IF(COUNTIF($H$6:$H$1005,H10)&gt;1,"Ошибка: дубликат URL",IF(E10&gt;TODAY(),"Ошибка: дата публикации в будущем",IF(S10="Да","Ошибка: подтверждённый дубль",IF(S10="","Проверить: отметьте дубль",IF(S10="Нужно проверить","Проверить возможный дубль",IF(TODAY()-E10&gt;30,"Проверить: старше 30 дней",IF(COUNTIFS(#REF!,G10,#REF!,"Готово")=0,"Проверить источник","Готово"))))))))))</f>
        <v/>
      </c>
    </row>
    <row r="11" spans="1:21" ht="25.5" customHeight="1">
      <c r="A11" s="21"/>
      <c r="B11" s="22"/>
      <c r="C11" s="21"/>
      <c r="D11" s="23"/>
      <c r="E11" s="22"/>
      <c r="F11" s="22"/>
      <c r="G11" s="23"/>
      <c r="H11" s="24"/>
      <c r="I11" s="24"/>
      <c r="J11" s="23"/>
      <c r="K11" s="23"/>
      <c r="L11" s="23"/>
      <c r="M11" s="23"/>
      <c r="N11" s="23"/>
      <c r="O11" s="23"/>
      <c r="P11" s="23"/>
      <c r="Q11" s="25"/>
      <c r="R11" s="23"/>
      <c r="S11" s="23"/>
      <c r="T11" s="23"/>
      <c r="U11" s="20" t="str">
        <f ca="1">IF(COUNTA(A11:T11)=0,"",IF(OR(A11="",B11="",C11="",E11="",G11="",H11="",J11="",K11="",L11="",M11=""),"Ошибка: заполните обязательные поля",IF(AND(LEFT(H11,7)&lt;&gt;"http://",LEFT(H11,8)&lt;&gt;"https://"),"Ошибка: некорректная ссылка",IF(COUNTIF($H$6:$H$1005,H11)&gt;1,"Ошибка: дубликат URL",IF(E11&gt;TODAY(),"Ошибка: дата публикации в будущем",IF(S11="Да","Ошибка: подтверждённый дубль",IF(S11="","Проверить: отметьте дубль",IF(S11="Нужно проверить","Проверить возможный дубль",IF(TODAY()-E11&gt;30,"Проверить: старше 30 дней",IF(COUNTIFS(#REF!,G11,#REF!,"Готово")=0,"Проверить источник","Готово"))))))))))</f>
        <v/>
      </c>
    </row>
    <row r="12" spans="1:21" ht="25.5" customHeight="1">
      <c r="A12" s="21"/>
      <c r="B12" s="22"/>
      <c r="C12" s="21"/>
      <c r="D12" s="23"/>
      <c r="E12" s="22"/>
      <c r="F12" s="22"/>
      <c r="G12" s="23"/>
      <c r="H12" s="24"/>
      <c r="I12" s="24"/>
      <c r="J12" s="23"/>
      <c r="K12" s="23"/>
      <c r="L12" s="23"/>
      <c r="M12" s="23"/>
      <c r="N12" s="23"/>
      <c r="O12" s="23"/>
      <c r="P12" s="23"/>
      <c r="Q12" s="25"/>
      <c r="R12" s="23"/>
      <c r="S12" s="23"/>
      <c r="T12" s="23"/>
      <c r="U12" s="20" t="str">
        <f ca="1">IF(COUNTA(A12:T12)=0,"",IF(OR(A12="",B12="",C12="",E12="",G12="",H12="",J12="",K12="",L12="",M12=""),"Ошибка: заполните обязательные поля",IF(AND(LEFT(H12,7)&lt;&gt;"http://",LEFT(H12,8)&lt;&gt;"https://"),"Ошибка: некорректная ссылка",IF(COUNTIF($H$6:$H$1005,H12)&gt;1,"Ошибка: дубликат URL",IF(E12&gt;TODAY(),"Ошибка: дата публикации в будущем",IF(S12="Да","Ошибка: подтверждённый дубль",IF(S12="","Проверить: отметьте дубль",IF(S12="Нужно проверить","Проверить возможный дубль",IF(TODAY()-E12&gt;30,"Проверить: старше 30 дней",IF(COUNTIFS(#REF!,G12,#REF!,"Готово")=0,"Проверить источник","Готово"))))))))))</f>
        <v/>
      </c>
    </row>
    <row r="13" spans="1:21" ht="25.5" customHeight="1">
      <c r="A13" s="21"/>
      <c r="B13" s="22"/>
      <c r="C13" s="21"/>
      <c r="D13" s="23"/>
      <c r="E13" s="22"/>
      <c r="F13" s="22"/>
      <c r="G13" s="23"/>
      <c r="H13" s="24"/>
      <c r="I13" s="24"/>
      <c r="J13" s="23"/>
      <c r="K13" s="23"/>
      <c r="L13" s="23"/>
      <c r="M13" s="23"/>
      <c r="N13" s="23"/>
      <c r="O13" s="23"/>
      <c r="P13" s="23"/>
      <c r="Q13" s="25"/>
      <c r="R13" s="23"/>
      <c r="S13" s="23"/>
      <c r="T13" s="23"/>
      <c r="U13" s="20" t="str">
        <f ca="1">IF(COUNTA(A13:T13)=0,"",IF(OR(A13="",B13="",C13="",E13="",G13="",H13="",J13="",K13="",L13="",M13=""),"Ошибка: заполните обязательные поля",IF(AND(LEFT(H13,7)&lt;&gt;"http://",LEFT(H13,8)&lt;&gt;"https://"),"Ошибка: некорректная ссылка",IF(COUNTIF($H$6:$H$1005,H13)&gt;1,"Ошибка: дубликат URL",IF(E13&gt;TODAY(),"Ошибка: дата публикации в будущем",IF(S13="Да","Ошибка: подтверждённый дубль",IF(S13="","Проверить: отметьте дубль",IF(S13="Нужно проверить","Проверить возможный дубль",IF(TODAY()-E13&gt;30,"Проверить: старше 30 дней",IF(COUNTIFS(#REF!,G13,#REF!,"Готово")=0,"Проверить источник","Готово"))))))))))</f>
        <v/>
      </c>
    </row>
    <row r="14" spans="1:21" ht="25.5" customHeight="1">
      <c r="A14" s="21"/>
      <c r="B14" s="22"/>
      <c r="C14" s="21"/>
      <c r="D14" s="23"/>
      <c r="E14" s="22"/>
      <c r="F14" s="22"/>
      <c r="G14" s="23"/>
      <c r="H14" s="24"/>
      <c r="I14" s="24"/>
      <c r="J14" s="23"/>
      <c r="K14" s="23"/>
      <c r="L14" s="23"/>
      <c r="M14" s="23"/>
      <c r="N14" s="23"/>
      <c r="O14" s="23"/>
      <c r="P14" s="23"/>
      <c r="Q14" s="25"/>
      <c r="R14" s="23"/>
      <c r="S14" s="23"/>
      <c r="T14" s="23"/>
      <c r="U14" s="20" t="str">
        <f ca="1">IF(COUNTA(A14:T14)=0,"",IF(OR(A14="",B14="",C14="",E14="",G14="",H14="",J14="",K14="",L14="",M14=""),"Ошибка: заполните обязательные поля",IF(AND(LEFT(H14,7)&lt;&gt;"http://",LEFT(H14,8)&lt;&gt;"https://"),"Ошибка: некорректная ссылка",IF(COUNTIF($H$6:$H$1005,H14)&gt;1,"Ошибка: дубликат URL",IF(E14&gt;TODAY(),"Ошибка: дата публикации в будущем",IF(S14="Да","Ошибка: подтверждённый дубль",IF(S14="","Проверить: отметьте дубль",IF(S14="Нужно проверить","Проверить возможный дубль",IF(TODAY()-E14&gt;30,"Проверить: старше 30 дней",IF(COUNTIFS(#REF!,G14,#REF!,"Готово")=0,"Проверить источник","Готово"))))))))))</f>
        <v/>
      </c>
    </row>
    <row r="15" spans="1:21" ht="25.5" customHeight="1">
      <c r="A15" s="21"/>
      <c r="B15" s="22"/>
      <c r="C15" s="21"/>
      <c r="D15" s="23"/>
      <c r="E15" s="22"/>
      <c r="F15" s="22"/>
      <c r="G15" s="23"/>
      <c r="H15" s="24"/>
      <c r="I15" s="24"/>
      <c r="J15" s="23"/>
      <c r="K15" s="23"/>
      <c r="L15" s="23"/>
      <c r="M15" s="23"/>
      <c r="N15" s="23"/>
      <c r="O15" s="23"/>
      <c r="P15" s="23"/>
      <c r="Q15" s="25"/>
      <c r="R15" s="23"/>
      <c r="S15" s="23"/>
      <c r="T15" s="23"/>
      <c r="U15" s="20" t="str">
        <f ca="1">IF(COUNTA(A15:T15)=0,"",IF(OR(A15="",B15="",C15="",E15="",G15="",H15="",J15="",K15="",L15="",M15=""),"Ошибка: заполните обязательные поля",IF(AND(LEFT(H15,7)&lt;&gt;"http://",LEFT(H15,8)&lt;&gt;"https://"),"Ошибка: некорректная ссылка",IF(COUNTIF($H$6:$H$1005,H15)&gt;1,"Ошибка: дубликат URL",IF(E15&gt;TODAY(),"Ошибка: дата публикации в будущем",IF(S15="Да","Ошибка: подтверждённый дубль",IF(S15="","Проверить: отметьте дубль",IF(S15="Нужно проверить","Проверить возможный дубль",IF(TODAY()-E15&gt;30,"Проверить: старше 30 дней",IF(COUNTIFS(#REF!,G15,#REF!,"Готово")=0,"Проверить источник","Готово"))))))))))</f>
        <v/>
      </c>
    </row>
    <row r="16" spans="1:21" ht="25.5" customHeight="1">
      <c r="A16" s="21"/>
      <c r="B16" s="22"/>
      <c r="C16" s="21"/>
      <c r="D16" s="23"/>
      <c r="E16" s="22"/>
      <c r="F16" s="22"/>
      <c r="G16" s="23"/>
      <c r="H16" s="24"/>
      <c r="I16" s="24"/>
      <c r="J16" s="23"/>
      <c r="K16" s="23"/>
      <c r="L16" s="23"/>
      <c r="M16" s="23"/>
      <c r="N16" s="23"/>
      <c r="O16" s="23"/>
      <c r="P16" s="23"/>
      <c r="Q16" s="25"/>
      <c r="R16" s="23"/>
      <c r="S16" s="23"/>
      <c r="T16" s="23"/>
      <c r="U16" s="20" t="str">
        <f ca="1">IF(COUNTA(A16:T16)=0,"",IF(OR(A16="",B16="",C16="",E16="",G16="",H16="",J16="",K16="",L16="",M16=""),"Ошибка: заполните обязательные поля",IF(AND(LEFT(H16,7)&lt;&gt;"http://",LEFT(H16,8)&lt;&gt;"https://"),"Ошибка: некорректная ссылка",IF(COUNTIF($H$6:$H$1005,H16)&gt;1,"Ошибка: дубликат URL",IF(E16&gt;TODAY(),"Ошибка: дата публикации в будущем",IF(S16="Да","Ошибка: подтверждённый дубль",IF(S16="","Проверить: отметьте дубль",IF(S16="Нужно проверить","Проверить возможный дубль",IF(TODAY()-E16&gt;30,"Проверить: старше 30 дней",IF(COUNTIFS(#REF!,G16,#REF!,"Готово")=0,"Проверить источник","Готово"))))))))))</f>
        <v/>
      </c>
    </row>
    <row r="17" spans="1:21" ht="25.5" customHeight="1">
      <c r="A17" s="21"/>
      <c r="B17" s="22"/>
      <c r="C17" s="21"/>
      <c r="D17" s="23"/>
      <c r="E17" s="22"/>
      <c r="F17" s="22"/>
      <c r="G17" s="23"/>
      <c r="H17" s="24"/>
      <c r="I17" s="24"/>
      <c r="J17" s="23"/>
      <c r="K17" s="23"/>
      <c r="L17" s="23"/>
      <c r="M17" s="23"/>
      <c r="N17" s="23"/>
      <c r="O17" s="23"/>
      <c r="P17" s="23"/>
      <c r="Q17" s="25"/>
      <c r="R17" s="23"/>
      <c r="S17" s="23"/>
      <c r="T17" s="23"/>
      <c r="U17" s="20" t="str">
        <f ca="1">IF(COUNTA(A17:T17)=0,"",IF(OR(A17="",B17="",C17="",E17="",G17="",H17="",J17="",K17="",L17="",M17=""),"Ошибка: заполните обязательные поля",IF(AND(LEFT(H17,7)&lt;&gt;"http://",LEFT(H17,8)&lt;&gt;"https://"),"Ошибка: некорректная ссылка",IF(COUNTIF($H$6:$H$1005,H17)&gt;1,"Ошибка: дубликат URL",IF(E17&gt;TODAY(),"Ошибка: дата публикации в будущем",IF(S17="Да","Ошибка: подтверждённый дубль",IF(S17="","Проверить: отметьте дубль",IF(S17="Нужно проверить","Проверить возможный дубль",IF(TODAY()-E17&gt;30,"Проверить: старше 30 дней",IF(COUNTIFS(#REF!,G17,#REF!,"Готово")=0,"Проверить источник","Готово"))))))))))</f>
        <v/>
      </c>
    </row>
    <row r="18" spans="1:21" ht="25.5" customHeight="1">
      <c r="A18" s="21"/>
      <c r="B18" s="22"/>
      <c r="C18" s="21"/>
      <c r="D18" s="23"/>
      <c r="E18" s="22"/>
      <c r="F18" s="22"/>
      <c r="G18" s="23"/>
      <c r="H18" s="24"/>
      <c r="I18" s="24"/>
      <c r="J18" s="23"/>
      <c r="K18" s="23"/>
      <c r="L18" s="23"/>
      <c r="M18" s="23"/>
      <c r="N18" s="23"/>
      <c r="O18" s="23"/>
      <c r="P18" s="23"/>
      <c r="Q18" s="25"/>
      <c r="R18" s="23"/>
      <c r="S18" s="23"/>
      <c r="T18" s="23"/>
      <c r="U18" s="20" t="str">
        <f ca="1">IF(COUNTA(A18:T18)=0,"",IF(OR(A18="",B18="",C18="",E18="",G18="",H18="",J18="",K18="",L18="",M18=""),"Ошибка: заполните обязательные поля",IF(AND(LEFT(H18,7)&lt;&gt;"http://",LEFT(H18,8)&lt;&gt;"https://"),"Ошибка: некорректная ссылка",IF(COUNTIF($H$6:$H$1005,H18)&gt;1,"Ошибка: дубликат URL",IF(E18&gt;TODAY(),"Ошибка: дата публикации в будущем",IF(S18="Да","Ошибка: подтверждённый дубль",IF(S18="","Проверить: отметьте дубль",IF(S18="Нужно проверить","Проверить возможный дубль",IF(TODAY()-E18&gt;30,"Проверить: старше 30 дней",IF(COUNTIFS(#REF!,G18,#REF!,"Готово")=0,"Проверить источник","Готово"))))))))))</f>
        <v/>
      </c>
    </row>
    <row r="19" spans="1:21" ht="25.5" customHeight="1">
      <c r="A19" s="21"/>
      <c r="B19" s="22"/>
      <c r="C19" s="21"/>
      <c r="D19" s="23"/>
      <c r="E19" s="22"/>
      <c r="F19" s="22"/>
      <c r="G19" s="23"/>
      <c r="H19" s="24"/>
      <c r="I19" s="24"/>
      <c r="J19" s="23"/>
      <c r="K19" s="23"/>
      <c r="L19" s="23"/>
      <c r="M19" s="23"/>
      <c r="N19" s="23"/>
      <c r="O19" s="23"/>
      <c r="P19" s="23"/>
      <c r="Q19" s="25"/>
      <c r="R19" s="23"/>
      <c r="S19" s="23"/>
      <c r="T19" s="23"/>
      <c r="U19" s="20" t="str">
        <f ca="1">IF(COUNTA(A19:T19)=0,"",IF(OR(A19="",B19="",C19="",E19="",G19="",H19="",J19="",K19="",L19="",M19=""),"Ошибка: заполните обязательные поля",IF(AND(LEFT(H19,7)&lt;&gt;"http://",LEFT(H19,8)&lt;&gt;"https://"),"Ошибка: некорректная ссылка",IF(COUNTIF($H$6:$H$1005,H19)&gt;1,"Ошибка: дубликат URL",IF(E19&gt;TODAY(),"Ошибка: дата публикации в будущем",IF(S19="Да","Ошибка: подтверждённый дубль",IF(S19="","Проверить: отметьте дубль",IF(S19="Нужно проверить","Проверить возможный дубль",IF(TODAY()-E19&gt;30,"Проверить: старше 30 дней",IF(COUNTIFS(#REF!,G19,#REF!,"Готово")=0,"Проверить источник","Готово"))))))))))</f>
        <v/>
      </c>
    </row>
    <row r="20" spans="1:21" ht="25.5" customHeight="1">
      <c r="A20" s="21"/>
      <c r="B20" s="22"/>
      <c r="C20" s="21"/>
      <c r="D20" s="23"/>
      <c r="E20" s="22"/>
      <c r="F20" s="22"/>
      <c r="G20" s="23"/>
      <c r="H20" s="24"/>
      <c r="I20" s="24"/>
      <c r="J20" s="23"/>
      <c r="K20" s="23"/>
      <c r="L20" s="23"/>
      <c r="M20" s="23"/>
      <c r="N20" s="23"/>
      <c r="O20" s="23"/>
      <c r="P20" s="23"/>
      <c r="Q20" s="25"/>
      <c r="R20" s="23"/>
      <c r="S20" s="23"/>
      <c r="T20" s="23"/>
      <c r="U20" s="20" t="str">
        <f ca="1">IF(COUNTA(A20:T20)=0,"",IF(OR(A20="",B20="",C20="",E20="",G20="",H20="",J20="",K20="",L20="",M20=""),"Ошибка: заполните обязательные поля",IF(AND(LEFT(H20,7)&lt;&gt;"http://",LEFT(H20,8)&lt;&gt;"https://"),"Ошибка: некорректная ссылка",IF(COUNTIF($H$6:$H$1005,H20)&gt;1,"Ошибка: дубликат URL",IF(E20&gt;TODAY(),"Ошибка: дата публикации в будущем",IF(S20="Да","Ошибка: подтверждённый дубль",IF(S20="","Проверить: отметьте дубль",IF(S20="Нужно проверить","Проверить возможный дубль",IF(TODAY()-E20&gt;30,"Проверить: старше 30 дней",IF(COUNTIFS(#REF!,G20,#REF!,"Готово")=0,"Проверить источник","Готово"))))))))))</f>
        <v/>
      </c>
    </row>
    <row r="21" spans="1:21" ht="25.5" customHeight="1">
      <c r="A21" s="21"/>
      <c r="B21" s="22"/>
      <c r="C21" s="21"/>
      <c r="D21" s="23"/>
      <c r="E21" s="22"/>
      <c r="F21" s="22"/>
      <c r="G21" s="23"/>
      <c r="H21" s="24"/>
      <c r="I21" s="24"/>
      <c r="J21" s="23"/>
      <c r="K21" s="23"/>
      <c r="L21" s="23"/>
      <c r="M21" s="23"/>
      <c r="N21" s="23"/>
      <c r="O21" s="23"/>
      <c r="P21" s="23"/>
      <c r="Q21" s="25"/>
      <c r="R21" s="23"/>
      <c r="S21" s="23"/>
      <c r="T21" s="23"/>
      <c r="U21" s="20" t="str">
        <f ca="1">IF(COUNTA(A21:T21)=0,"",IF(OR(A21="",B21="",C21="",E21="",G21="",H21="",J21="",K21="",L21="",M21=""),"Ошибка: заполните обязательные поля",IF(AND(LEFT(H21,7)&lt;&gt;"http://",LEFT(H21,8)&lt;&gt;"https://"),"Ошибка: некорректная ссылка",IF(COUNTIF($H$6:$H$1005,H21)&gt;1,"Ошибка: дубликат URL",IF(E21&gt;TODAY(),"Ошибка: дата публикации в будущем",IF(S21="Да","Ошибка: подтверждённый дубль",IF(S21="","Проверить: отметьте дубль",IF(S21="Нужно проверить","Проверить возможный дубль",IF(TODAY()-E21&gt;30,"Проверить: старше 30 дней",IF(COUNTIFS(#REF!,G21,#REF!,"Готово")=0,"Проверить источник","Готово"))))))))))</f>
        <v/>
      </c>
    </row>
    <row r="22" spans="1:21" ht="25.5" customHeight="1">
      <c r="A22" s="21"/>
      <c r="B22" s="22"/>
      <c r="C22" s="21"/>
      <c r="D22" s="23"/>
      <c r="E22" s="22"/>
      <c r="F22" s="22"/>
      <c r="G22" s="23"/>
      <c r="H22" s="24"/>
      <c r="I22" s="24"/>
      <c r="J22" s="23"/>
      <c r="K22" s="23"/>
      <c r="L22" s="23"/>
      <c r="M22" s="23"/>
      <c r="N22" s="23"/>
      <c r="O22" s="23"/>
      <c r="P22" s="23"/>
      <c r="Q22" s="25"/>
      <c r="R22" s="23"/>
      <c r="S22" s="23"/>
      <c r="T22" s="23"/>
      <c r="U22" s="20" t="str">
        <f ca="1">IF(COUNTA(A22:T22)=0,"",IF(OR(A22="",B22="",C22="",E22="",G22="",H22="",J22="",K22="",L22="",M22=""),"Ошибка: заполните обязательные поля",IF(AND(LEFT(H22,7)&lt;&gt;"http://",LEFT(H22,8)&lt;&gt;"https://"),"Ошибка: некорректная ссылка",IF(COUNTIF($H$6:$H$1005,H22)&gt;1,"Ошибка: дубликат URL",IF(E22&gt;TODAY(),"Ошибка: дата публикации в будущем",IF(S22="Да","Ошибка: подтверждённый дубль",IF(S22="","Проверить: отметьте дубль",IF(S22="Нужно проверить","Проверить возможный дубль",IF(TODAY()-E22&gt;30,"Проверить: старше 30 дней",IF(COUNTIFS(#REF!,G22,#REF!,"Готово")=0,"Проверить источник","Готово"))))))))))</f>
        <v/>
      </c>
    </row>
    <row r="23" spans="1:21" ht="25.5" customHeight="1">
      <c r="A23" s="21"/>
      <c r="B23" s="22"/>
      <c r="C23" s="21"/>
      <c r="D23" s="23"/>
      <c r="E23" s="22"/>
      <c r="F23" s="22"/>
      <c r="G23" s="23"/>
      <c r="H23" s="24"/>
      <c r="I23" s="24"/>
      <c r="J23" s="23"/>
      <c r="K23" s="23"/>
      <c r="L23" s="23"/>
      <c r="M23" s="23"/>
      <c r="N23" s="23"/>
      <c r="O23" s="23"/>
      <c r="P23" s="23"/>
      <c r="Q23" s="25"/>
      <c r="R23" s="23"/>
      <c r="S23" s="23"/>
      <c r="T23" s="23"/>
      <c r="U23" s="20" t="str">
        <f ca="1">IF(COUNTA(A23:T23)=0,"",IF(OR(A23="",B23="",C23="",E23="",G23="",H23="",J23="",K23="",L23="",M23=""),"Ошибка: заполните обязательные поля",IF(AND(LEFT(H23,7)&lt;&gt;"http://",LEFT(H23,8)&lt;&gt;"https://"),"Ошибка: некорректная ссылка",IF(COUNTIF($H$6:$H$1005,H23)&gt;1,"Ошибка: дубликат URL",IF(E23&gt;TODAY(),"Ошибка: дата публикации в будущем",IF(S23="Да","Ошибка: подтверждённый дубль",IF(S23="","Проверить: отметьте дубль",IF(S23="Нужно проверить","Проверить возможный дубль",IF(TODAY()-E23&gt;30,"Проверить: старше 30 дней",IF(COUNTIFS(#REF!,G23,#REF!,"Готово")=0,"Проверить источник","Готово"))))))))))</f>
        <v/>
      </c>
    </row>
    <row r="24" spans="1:21" ht="25.5" customHeight="1">
      <c r="A24" s="21"/>
      <c r="B24" s="22"/>
      <c r="C24" s="21"/>
      <c r="D24" s="23"/>
      <c r="E24" s="22"/>
      <c r="F24" s="22"/>
      <c r="G24" s="23"/>
      <c r="H24" s="24"/>
      <c r="I24" s="24"/>
      <c r="J24" s="23"/>
      <c r="K24" s="23"/>
      <c r="L24" s="23"/>
      <c r="M24" s="23"/>
      <c r="N24" s="23"/>
      <c r="O24" s="23"/>
      <c r="P24" s="23"/>
      <c r="Q24" s="25"/>
      <c r="R24" s="23"/>
      <c r="S24" s="23"/>
      <c r="T24" s="23"/>
      <c r="U24" s="20" t="str">
        <f ca="1">IF(COUNTA(A24:T24)=0,"",IF(OR(A24="",B24="",C24="",E24="",G24="",H24="",J24="",K24="",L24="",M24=""),"Ошибка: заполните обязательные поля",IF(AND(LEFT(H24,7)&lt;&gt;"http://",LEFT(H24,8)&lt;&gt;"https://"),"Ошибка: некорректная ссылка",IF(COUNTIF($H$6:$H$1005,H24)&gt;1,"Ошибка: дубликат URL",IF(E24&gt;TODAY(),"Ошибка: дата публикации в будущем",IF(S24="Да","Ошибка: подтверждённый дубль",IF(S24="","Проверить: отметьте дубль",IF(S24="Нужно проверить","Проверить возможный дубль",IF(TODAY()-E24&gt;30,"Проверить: старше 30 дней",IF(COUNTIFS(#REF!,G24,#REF!,"Готово")=0,"Проверить источник","Готово"))))))))))</f>
        <v/>
      </c>
    </row>
    <row r="25" spans="1:21" ht="25.5" customHeight="1">
      <c r="A25" s="21"/>
      <c r="B25" s="22"/>
      <c r="C25" s="21"/>
      <c r="D25" s="23"/>
      <c r="E25" s="22"/>
      <c r="F25" s="22"/>
      <c r="G25" s="23"/>
      <c r="H25" s="24"/>
      <c r="I25" s="24"/>
      <c r="J25" s="23"/>
      <c r="K25" s="23"/>
      <c r="L25" s="23"/>
      <c r="M25" s="23"/>
      <c r="N25" s="23"/>
      <c r="O25" s="23"/>
      <c r="P25" s="23"/>
      <c r="Q25" s="25"/>
      <c r="R25" s="23"/>
      <c r="S25" s="23"/>
      <c r="T25" s="23"/>
      <c r="U25" s="20" t="str">
        <f ca="1">IF(COUNTA(A25:T25)=0,"",IF(OR(A25="",B25="",C25="",E25="",G25="",H25="",J25="",K25="",L25="",M25=""),"Ошибка: заполните обязательные поля",IF(AND(LEFT(H25,7)&lt;&gt;"http://",LEFT(H25,8)&lt;&gt;"https://"),"Ошибка: некорректная ссылка",IF(COUNTIF($H$6:$H$1005,H25)&gt;1,"Ошибка: дубликат URL",IF(E25&gt;TODAY(),"Ошибка: дата публикации в будущем",IF(S25="Да","Ошибка: подтверждённый дубль",IF(S25="","Проверить: отметьте дубль",IF(S25="Нужно проверить","Проверить возможный дубль",IF(TODAY()-E25&gt;30,"Проверить: старше 30 дней",IF(COUNTIFS(#REF!,G25,#REF!,"Готово")=0,"Проверить источник","Готово"))))))))))</f>
        <v/>
      </c>
    </row>
    <row r="26" spans="1:21" ht="25.5" customHeight="1">
      <c r="A26" s="21"/>
      <c r="B26" s="22"/>
      <c r="C26" s="21"/>
      <c r="D26" s="23"/>
      <c r="E26" s="22"/>
      <c r="F26" s="22"/>
      <c r="G26" s="23"/>
      <c r="H26" s="24"/>
      <c r="I26" s="24"/>
      <c r="J26" s="23"/>
      <c r="K26" s="23"/>
      <c r="L26" s="23"/>
      <c r="M26" s="23"/>
      <c r="N26" s="23"/>
      <c r="O26" s="23"/>
      <c r="P26" s="23"/>
      <c r="Q26" s="25"/>
      <c r="R26" s="23"/>
      <c r="S26" s="23"/>
      <c r="T26" s="23"/>
      <c r="U26" s="20" t="str">
        <f ca="1">IF(COUNTA(A26:T26)=0,"",IF(OR(A26="",B26="",C26="",E26="",G26="",H26="",J26="",K26="",L26="",M26=""),"Ошибка: заполните обязательные поля",IF(AND(LEFT(H26,7)&lt;&gt;"http://",LEFT(H26,8)&lt;&gt;"https://"),"Ошибка: некорректная ссылка",IF(COUNTIF($H$6:$H$1005,H26)&gt;1,"Ошибка: дубликат URL",IF(E26&gt;TODAY(),"Ошибка: дата публикации в будущем",IF(S26="Да","Ошибка: подтверждённый дубль",IF(S26="","Проверить: отметьте дубль",IF(S26="Нужно проверить","Проверить возможный дубль",IF(TODAY()-E26&gt;30,"Проверить: старше 30 дней",IF(COUNTIFS(#REF!,G26,#REF!,"Готово")=0,"Проверить источник","Готово"))))))))))</f>
        <v/>
      </c>
    </row>
    <row r="27" spans="1:21" ht="25.5" customHeight="1">
      <c r="A27" s="21"/>
      <c r="B27" s="22"/>
      <c r="C27" s="21"/>
      <c r="D27" s="23"/>
      <c r="E27" s="22"/>
      <c r="F27" s="22"/>
      <c r="G27" s="23"/>
      <c r="H27" s="24"/>
      <c r="I27" s="24"/>
      <c r="J27" s="23"/>
      <c r="K27" s="23"/>
      <c r="L27" s="23"/>
      <c r="M27" s="23"/>
      <c r="N27" s="23"/>
      <c r="O27" s="23"/>
      <c r="P27" s="23"/>
      <c r="Q27" s="25"/>
      <c r="R27" s="23"/>
      <c r="S27" s="23"/>
      <c r="T27" s="23"/>
      <c r="U27" s="20" t="str">
        <f ca="1">IF(COUNTA(A27:T27)=0,"",IF(OR(A27="",B27="",C27="",E27="",G27="",H27="",J27="",K27="",L27="",M27=""),"Ошибка: заполните обязательные поля",IF(AND(LEFT(H27,7)&lt;&gt;"http://",LEFT(H27,8)&lt;&gt;"https://"),"Ошибка: некорректная ссылка",IF(COUNTIF($H$6:$H$1005,H27)&gt;1,"Ошибка: дубликат URL",IF(E27&gt;TODAY(),"Ошибка: дата публикации в будущем",IF(S27="Да","Ошибка: подтверждённый дубль",IF(S27="","Проверить: отметьте дубль",IF(S27="Нужно проверить","Проверить возможный дубль",IF(TODAY()-E27&gt;30,"Проверить: старше 30 дней",IF(COUNTIFS(#REF!,G27,#REF!,"Готово")=0,"Проверить источник","Готово"))))))))))</f>
        <v/>
      </c>
    </row>
    <row r="28" spans="1:21" ht="25.5" customHeight="1">
      <c r="A28" s="21"/>
      <c r="B28" s="22"/>
      <c r="C28" s="21"/>
      <c r="D28" s="23"/>
      <c r="E28" s="22"/>
      <c r="F28" s="22"/>
      <c r="G28" s="23"/>
      <c r="H28" s="24"/>
      <c r="I28" s="24"/>
      <c r="J28" s="23"/>
      <c r="K28" s="23"/>
      <c r="L28" s="23"/>
      <c r="M28" s="23"/>
      <c r="N28" s="23"/>
      <c r="O28" s="23"/>
      <c r="P28" s="23"/>
      <c r="Q28" s="25"/>
      <c r="R28" s="23"/>
      <c r="S28" s="23"/>
      <c r="T28" s="23"/>
      <c r="U28" s="20" t="str">
        <f ca="1">IF(COUNTA(A28:T28)=0,"",IF(OR(A28="",B28="",C28="",E28="",G28="",H28="",J28="",K28="",L28="",M28=""),"Ошибка: заполните обязательные поля",IF(AND(LEFT(H28,7)&lt;&gt;"http://",LEFT(H28,8)&lt;&gt;"https://"),"Ошибка: некорректная ссылка",IF(COUNTIF($H$6:$H$1005,H28)&gt;1,"Ошибка: дубликат URL",IF(E28&gt;TODAY(),"Ошибка: дата публикации в будущем",IF(S28="Да","Ошибка: подтверждённый дубль",IF(S28="","Проверить: отметьте дубль",IF(S28="Нужно проверить","Проверить возможный дубль",IF(TODAY()-E28&gt;30,"Проверить: старше 30 дней",IF(COUNTIFS(#REF!,G28,#REF!,"Готово")=0,"Проверить источник","Готово"))))))))))</f>
        <v/>
      </c>
    </row>
    <row r="29" spans="1:21" ht="25.5" customHeight="1">
      <c r="A29" s="21"/>
      <c r="B29" s="22"/>
      <c r="C29" s="21"/>
      <c r="D29" s="23"/>
      <c r="E29" s="22"/>
      <c r="F29" s="22"/>
      <c r="G29" s="23"/>
      <c r="H29" s="24"/>
      <c r="I29" s="24"/>
      <c r="J29" s="23"/>
      <c r="K29" s="23"/>
      <c r="L29" s="23"/>
      <c r="M29" s="23"/>
      <c r="N29" s="23"/>
      <c r="O29" s="23"/>
      <c r="P29" s="23"/>
      <c r="Q29" s="25"/>
      <c r="R29" s="23"/>
      <c r="S29" s="23"/>
      <c r="T29" s="23"/>
      <c r="U29" s="20" t="str">
        <f ca="1">IF(COUNTA(A29:T29)=0,"",IF(OR(A29="",B29="",C29="",E29="",G29="",H29="",J29="",K29="",L29="",M29=""),"Ошибка: заполните обязательные поля",IF(AND(LEFT(H29,7)&lt;&gt;"http://",LEFT(H29,8)&lt;&gt;"https://"),"Ошибка: некорректная ссылка",IF(COUNTIF($H$6:$H$1005,H29)&gt;1,"Ошибка: дубликат URL",IF(E29&gt;TODAY(),"Ошибка: дата публикации в будущем",IF(S29="Да","Ошибка: подтверждённый дубль",IF(S29="","Проверить: отметьте дубль",IF(S29="Нужно проверить","Проверить возможный дубль",IF(TODAY()-E29&gt;30,"Проверить: старше 30 дней",IF(COUNTIFS(#REF!,G29,#REF!,"Готово")=0,"Проверить источник","Готово"))))))))))</f>
        <v/>
      </c>
    </row>
    <row r="30" spans="1:21" ht="25.5" customHeight="1">
      <c r="A30" s="21"/>
      <c r="B30" s="22"/>
      <c r="C30" s="21"/>
      <c r="D30" s="23"/>
      <c r="E30" s="22"/>
      <c r="F30" s="22"/>
      <c r="G30" s="23"/>
      <c r="H30" s="24"/>
      <c r="I30" s="24"/>
      <c r="J30" s="23"/>
      <c r="K30" s="23"/>
      <c r="L30" s="23"/>
      <c r="M30" s="23"/>
      <c r="N30" s="23"/>
      <c r="O30" s="23"/>
      <c r="P30" s="23"/>
      <c r="Q30" s="25"/>
      <c r="R30" s="23"/>
      <c r="S30" s="23"/>
      <c r="T30" s="23"/>
      <c r="U30" s="20" t="str">
        <f ca="1">IF(COUNTA(A30:T30)=0,"",IF(OR(A30="",B30="",C30="",E30="",G30="",H30="",J30="",K30="",L30="",M30=""),"Ошибка: заполните обязательные поля",IF(AND(LEFT(H30,7)&lt;&gt;"http://",LEFT(H30,8)&lt;&gt;"https://"),"Ошибка: некорректная ссылка",IF(COUNTIF($H$6:$H$1005,H30)&gt;1,"Ошибка: дубликат URL",IF(E30&gt;TODAY(),"Ошибка: дата публикации в будущем",IF(S30="Да","Ошибка: подтверждённый дубль",IF(S30="","Проверить: отметьте дубль",IF(S30="Нужно проверить","Проверить возможный дубль",IF(TODAY()-E30&gt;30,"Проверить: старше 30 дней",IF(COUNTIFS(#REF!,G30,#REF!,"Готово")=0,"Проверить источник","Готово"))))))))))</f>
        <v/>
      </c>
    </row>
    <row r="31" spans="1:21" ht="25.5" customHeight="1">
      <c r="A31" s="21"/>
      <c r="B31" s="22"/>
      <c r="C31" s="21"/>
      <c r="D31" s="23"/>
      <c r="E31" s="22"/>
      <c r="F31" s="22"/>
      <c r="G31" s="23"/>
      <c r="H31" s="24"/>
      <c r="I31" s="24"/>
      <c r="J31" s="23"/>
      <c r="K31" s="23"/>
      <c r="L31" s="23"/>
      <c r="M31" s="23"/>
      <c r="N31" s="23"/>
      <c r="O31" s="23"/>
      <c r="P31" s="23"/>
      <c r="Q31" s="25"/>
      <c r="R31" s="23"/>
      <c r="S31" s="23"/>
      <c r="T31" s="23"/>
      <c r="U31" s="20" t="str">
        <f ca="1">IF(COUNTA(A31:T31)=0,"",IF(OR(A31="",B31="",C31="",E31="",G31="",H31="",J31="",K31="",L31="",M31=""),"Ошибка: заполните обязательные поля",IF(AND(LEFT(H31,7)&lt;&gt;"http://",LEFT(H31,8)&lt;&gt;"https://"),"Ошибка: некорректная ссылка",IF(COUNTIF($H$6:$H$1005,H31)&gt;1,"Ошибка: дубликат URL",IF(E31&gt;TODAY(),"Ошибка: дата публикации в будущем",IF(S31="Да","Ошибка: подтверждённый дубль",IF(S31="","Проверить: отметьте дубль",IF(S31="Нужно проверить","Проверить возможный дубль",IF(TODAY()-E31&gt;30,"Проверить: старше 30 дней",IF(COUNTIFS(#REF!,G31,#REF!,"Готово")=0,"Проверить источник","Готово"))))))))))</f>
        <v/>
      </c>
    </row>
    <row r="32" spans="1:21" ht="25.5" customHeight="1">
      <c r="A32" s="21"/>
      <c r="B32" s="22"/>
      <c r="C32" s="21"/>
      <c r="D32" s="23"/>
      <c r="E32" s="22"/>
      <c r="F32" s="22"/>
      <c r="G32" s="23"/>
      <c r="H32" s="24"/>
      <c r="I32" s="24"/>
      <c r="J32" s="23"/>
      <c r="K32" s="23"/>
      <c r="L32" s="23"/>
      <c r="M32" s="23"/>
      <c r="N32" s="23"/>
      <c r="O32" s="23"/>
      <c r="P32" s="23"/>
      <c r="Q32" s="25"/>
      <c r="R32" s="23"/>
      <c r="S32" s="23"/>
      <c r="T32" s="23"/>
      <c r="U32" s="20" t="str">
        <f ca="1">IF(COUNTA(A32:T32)=0,"",IF(OR(A32="",B32="",C32="",E32="",G32="",H32="",J32="",K32="",L32="",M32=""),"Ошибка: заполните обязательные поля",IF(AND(LEFT(H32,7)&lt;&gt;"http://",LEFT(H32,8)&lt;&gt;"https://"),"Ошибка: некорректная ссылка",IF(COUNTIF($H$6:$H$1005,H32)&gt;1,"Ошибка: дубликат URL",IF(E32&gt;TODAY(),"Ошибка: дата публикации в будущем",IF(S32="Да","Ошибка: подтверждённый дубль",IF(S32="","Проверить: отметьте дубль",IF(S32="Нужно проверить","Проверить возможный дубль",IF(TODAY()-E32&gt;30,"Проверить: старше 30 дней",IF(COUNTIFS(#REF!,G32,#REF!,"Готово")=0,"Проверить источник","Готово"))))))))))</f>
        <v/>
      </c>
    </row>
    <row r="33" spans="1:21" ht="25.5" customHeight="1">
      <c r="A33" s="21"/>
      <c r="B33" s="22"/>
      <c r="C33" s="21"/>
      <c r="D33" s="23"/>
      <c r="E33" s="22"/>
      <c r="F33" s="22"/>
      <c r="G33" s="23"/>
      <c r="H33" s="24"/>
      <c r="I33" s="24"/>
      <c r="J33" s="23"/>
      <c r="K33" s="23"/>
      <c r="L33" s="23"/>
      <c r="M33" s="23"/>
      <c r="N33" s="23"/>
      <c r="O33" s="23"/>
      <c r="P33" s="23"/>
      <c r="Q33" s="25"/>
      <c r="R33" s="23"/>
      <c r="S33" s="23"/>
      <c r="T33" s="23"/>
      <c r="U33" s="20" t="str">
        <f ca="1">IF(COUNTA(A33:T33)=0,"",IF(OR(A33="",B33="",C33="",E33="",G33="",H33="",J33="",K33="",L33="",M33=""),"Ошибка: заполните обязательные поля",IF(AND(LEFT(H33,7)&lt;&gt;"http://",LEFT(H33,8)&lt;&gt;"https://"),"Ошибка: некорректная ссылка",IF(COUNTIF($H$6:$H$1005,H33)&gt;1,"Ошибка: дубликат URL",IF(E33&gt;TODAY(),"Ошибка: дата публикации в будущем",IF(S33="Да","Ошибка: подтверждённый дубль",IF(S33="","Проверить: отметьте дубль",IF(S33="Нужно проверить","Проверить возможный дубль",IF(TODAY()-E33&gt;30,"Проверить: старше 30 дней",IF(COUNTIFS(#REF!,G33,#REF!,"Готово")=0,"Проверить источник","Готово"))))))))))</f>
        <v/>
      </c>
    </row>
    <row r="34" spans="1:21" ht="25.5" customHeight="1">
      <c r="A34" s="21"/>
      <c r="B34" s="22"/>
      <c r="C34" s="21"/>
      <c r="D34" s="23"/>
      <c r="E34" s="22"/>
      <c r="F34" s="22"/>
      <c r="G34" s="23"/>
      <c r="H34" s="24"/>
      <c r="I34" s="24"/>
      <c r="J34" s="23"/>
      <c r="K34" s="23"/>
      <c r="L34" s="23"/>
      <c r="M34" s="23"/>
      <c r="N34" s="23"/>
      <c r="O34" s="23"/>
      <c r="P34" s="23"/>
      <c r="Q34" s="25"/>
      <c r="R34" s="23"/>
      <c r="S34" s="23"/>
      <c r="T34" s="23"/>
      <c r="U34" s="20" t="str">
        <f ca="1">IF(COUNTA(A34:T34)=0,"",IF(OR(A34="",B34="",C34="",E34="",G34="",H34="",J34="",K34="",L34="",M34=""),"Ошибка: заполните обязательные поля",IF(AND(LEFT(H34,7)&lt;&gt;"http://",LEFT(H34,8)&lt;&gt;"https://"),"Ошибка: некорректная ссылка",IF(COUNTIF($H$6:$H$1005,H34)&gt;1,"Ошибка: дубликат URL",IF(E34&gt;TODAY(),"Ошибка: дата публикации в будущем",IF(S34="Да","Ошибка: подтверждённый дубль",IF(S34="","Проверить: отметьте дубль",IF(S34="Нужно проверить","Проверить возможный дубль",IF(TODAY()-E34&gt;30,"Проверить: старше 30 дней",IF(COUNTIFS(#REF!,G34,#REF!,"Готово")=0,"Проверить источник","Готово"))))))))))</f>
        <v/>
      </c>
    </row>
    <row r="35" spans="1:21" ht="25.5" customHeight="1">
      <c r="A35" s="21"/>
      <c r="B35" s="22"/>
      <c r="C35" s="21"/>
      <c r="D35" s="23"/>
      <c r="E35" s="22"/>
      <c r="F35" s="22"/>
      <c r="G35" s="23"/>
      <c r="H35" s="24"/>
      <c r="I35" s="24"/>
      <c r="J35" s="23"/>
      <c r="K35" s="23"/>
      <c r="L35" s="23"/>
      <c r="M35" s="23"/>
      <c r="N35" s="23"/>
      <c r="O35" s="23"/>
      <c r="P35" s="23"/>
      <c r="Q35" s="25"/>
      <c r="R35" s="23"/>
      <c r="S35" s="23"/>
      <c r="T35" s="23"/>
      <c r="U35" s="20" t="str">
        <f ca="1">IF(COUNTA(A35:T35)=0,"",IF(OR(A35="",B35="",C35="",E35="",G35="",H35="",J35="",K35="",L35="",M35=""),"Ошибка: заполните обязательные поля",IF(AND(LEFT(H35,7)&lt;&gt;"http://",LEFT(H35,8)&lt;&gt;"https://"),"Ошибка: некорректная ссылка",IF(COUNTIF($H$6:$H$1005,H35)&gt;1,"Ошибка: дубликат URL",IF(E35&gt;TODAY(),"Ошибка: дата публикации в будущем",IF(S35="Да","Ошибка: подтверждённый дубль",IF(S35="","Проверить: отметьте дубль",IF(S35="Нужно проверить","Проверить возможный дубль",IF(TODAY()-E35&gt;30,"Проверить: старше 30 дней",IF(COUNTIFS(#REF!,G35,#REF!,"Готово")=0,"Проверить источник","Готово"))))))))))</f>
        <v/>
      </c>
    </row>
    <row r="36" spans="1:21" ht="25.5" customHeight="1">
      <c r="A36" s="21"/>
      <c r="B36" s="22"/>
      <c r="C36" s="21"/>
      <c r="D36" s="23"/>
      <c r="E36" s="22"/>
      <c r="F36" s="22"/>
      <c r="G36" s="23"/>
      <c r="H36" s="24"/>
      <c r="I36" s="24"/>
      <c r="J36" s="23"/>
      <c r="K36" s="23"/>
      <c r="L36" s="23"/>
      <c r="M36" s="23"/>
      <c r="N36" s="23"/>
      <c r="O36" s="23"/>
      <c r="P36" s="23"/>
      <c r="Q36" s="25"/>
      <c r="R36" s="23"/>
      <c r="S36" s="23"/>
      <c r="T36" s="23"/>
      <c r="U36" s="20" t="str">
        <f ca="1">IF(COUNTA(A36:T36)=0,"",IF(OR(A36="",B36="",C36="",E36="",G36="",H36="",J36="",K36="",L36="",M36=""),"Ошибка: заполните обязательные поля",IF(AND(LEFT(H36,7)&lt;&gt;"http://",LEFT(H36,8)&lt;&gt;"https://"),"Ошибка: некорректная ссылка",IF(COUNTIF($H$6:$H$1005,H36)&gt;1,"Ошибка: дубликат URL",IF(E36&gt;TODAY(),"Ошибка: дата публикации в будущем",IF(S36="Да","Ошибка: подтверждённый дубль",IF(S36="","Проверить: отметьте дубль",IF(S36="Нужно проверить","Проверить возможный дубль",IF(TODAY()-E36&gt;30,"Проверить: старше 30 дней",IF(COUNTIFS(#REF!,G36,#REF!,"Готово")=0,"Проверить источник","Готово"))))))))))</f>
        <v/>
      </c>
    </row>
    <row r="37" spans="1:21" ht="25.5" customHeight="1">
      <c r="A37" s="21"/>
      <c r="B37" s="22"/>
      <c r="C37" s="21"/>
      <c r="D37" s="23"/>
      <c r="E37" s="22"/>
      <c r="F37" s="22"/>
      <c r="G37" s="23"/>
      <c r="H37" s="24"/>
      <c r="I37" s="24"/>
      <c r="J37" s="23"/>
      <c r="K37" s="23"/>
      <c r="L37" s="23"/>
      <c r="M37" s="23"/>
      <c r="N37" s="23"/>
      <c r="O37" s="23"/>
      <c r="P37" s="23"/>
      <c r="Q37" s="25"/>
      <c r="R37" s="23"/>
      <c r="S37" s="23"/>
      <c r="T37" s="23"/>
      <c r="U37" s="20" t="str">
        <f ca="1">IF(COUNTA(A37:T37)=0,"",IF(OR(A37="",B37="",C37="",E37="",G37="",H37="",J37="",K37="",L37="",M37=""),"Ошибка: заполните обязательные поля",IF(AND(LEFT(H37,7)&lt;&gt;"http://",LEFT(H37,8)&lt;&gt;"https://"),"Ошибка: некорректная ссылка",IF(COUNTIF($H$6:$H$1005,H37)&gt;1,"Ошибка: дубликат URL",IF(E37&gt;TODAY(),"Ошибка: дата публикации в будущем",IF(S37="Да","Ошибка: подтверждённый дубль",IF(S37="","Проверить: отметьте дубль",IF(S37="Нужно проверить","Проверить возможный дубль",IF(TODAY()-E37&gt;30,"Проверить: старше 30 дней",IF(COUNTIFS(#REF!,G37,#REF!,"Готово")=0,"Проверить источник","Готово"))))))))))</f>
        <v/>
      </c>
    </row>
    <row r="38" spans="1:21" ht="25.5" customHeight="1">
      <c r="A38" s="21"/>
      <c r="B38" s="22"/>
      <c r="C38" s="21"/>
      <c r="D38" s="23"/>
      <c r="E38" s="22"/>
      <c r="F38" s="22"/>
      <c r="G38" s="23"/>
      <c r="H38" s="24"/>
      <c r="I38" s="24"/>
      <c r="J38" s="23"/>
      <c r="K38" s="23"/>
      <c r="L38" s="23"/>
      <c r="M38" s="23"/>
      <c r="N38" s="23"/>
      <c r="O38" s="23"/>
      <c r="P38" s="23"/>
      <c r="Q38" s="25"/>
      <c r="R38" s="23"/>
      <c r="S38" s="23"/>
      <c r="T38" s="23"/>
      <c r="U38" s="20" t="str">
        <f ca="1">IF(COUNTA(A38:T38)=0,"",IF(OR(A38="",B38="",C38="",E38="",G38="",H38="",J38="",K38="",L38="",M38=""),"Ошибка: заполните обязательные поля",IF(AND(LEFT(H38,7)&lt;&gt;"http://",LEFT(H38,8)&lt;&gt;"https://"),"Ошибка: некорректная ссылка",IF(COUNTIF($H$6:$H$1005,H38)&gt;1,"Ошибка: дубликат URL",IF(E38&gt;TODAY(),"Ошибка: дата публикации в будущем",IF(S38="Да","Ошибка: подтверждённый дубль",IF(S38="","Проверить: отметьте дубль",IF(S38="Нужно проверить","Проверить возможный дубль",IF(TODAY()-E38&gt;30,"Проверить: старше 30 дней",IF(COUNTIFS(#REF!,G38,#REF!,"Готово")=0,"Проверить источник","Готово"))))))))))</f>
        <v/>
      </c>
    </row>
    <row r="39" spans="1:21" ht="25.5" customHeight="1">
      <c r="A39" s="21"/>
      <c r="B39" s="22"/>
      <c r="C39" s="21"/>
      <c r="D39" s="23"/>
      <c r="E39" s="22"/>
      <c r="F39" s="22"/>
      <c r="G39" s="23"/>
      <c r="H39" s="24"/>
      <c r="I39" s="24"/>
      <c r="J39" s="23"/>
      <c r="K39" s="23"/>
      <c r="L39" s="23"/>
      <c r="M39" s="23"/>
      <c r="N39" s="23"/>
      <c r="O39" s="23"/>
      <c r="P39" s="23"/>
      <c r="Q39" s="25"/>
      <c r="R39" s="23"/>
      <c r="S39" s="23"/>
      <c r="T39" s="23"/>
      <c r="U39" s="20" t="str">
        <f ca="1">IF(COUNTA(A39:T39)=0,"",IF(OR(A39="",B39="",C39="",E39="",G39="",H39="",J39="",K39="",L39="",M39=""),"Ошибка: заполните обязательные поля",IF(AND(LEFT(H39,7)&lt;&gt;"http://",LEFT(H39,8)&lt;&gt;"https://"),"Ошибка: некорректная ссылка",IF(COUNTIF($H$6:$H$1005,H39)&gt;1,"Ошибка: дубликат URL",IF(E39&gt;TODAY(),"Ошибка: дата публикации в будущем",IF(S39="Да","Ошибка: подтверждённый дубль",IF(S39="","Проверить: отметьте дубль",IF(S39="Нужно проверить","Проверить возможный дубль",IF(TODAY()-E39&gt;30,"Проверить: старше 30 дней",IF(COUNTIFS(#REF!,G39,#REF!,"Готово")=0,"Проверить источник","Готово"))))))))))</f>
        <v/>
      </c>
    </row>
    <row r="40" spans="1:21" ht="25.5" customHeight="1">
      <c r="A40" s="21"/>
      <c r="B40" s="22"/>
      <c r="C40" s="21"/>
      <c r="D40" s="23"/>
      <c r="E40" s="22"/>
      <c r="F40" s="22"/>
      <c r="G40" s="23"/>
      <c r="H40" s="24"/>
      <c r="I40" s="24"/>
      <c r="J40" s="23"/>
      <c r="K40" s="23"/>
      <c r="L40" s="23"/>
      <c r="M40" s="23"/>
      <c r="N40" s="23"/>
      <c r="O40" s="23"/>
      <c r="P40" s="23"/>
      <c r="Q40" s="25"/>
      <c r="R40" s="23"/>
      <c r="S40" s="23"/>
      <c r="T40" s="23"/>
      <c r="U40" s="20" t="str">
        <f ca="1">IF(COUNTA(A40:T40)=0,"",IF(OR(A40="",B40="",C40="",E40="",G40="",H40="",J40="",K40="",L40="",M40=""),"Ошибка: заполните обязательные поля",IF(AND(LEFT(H40,7)&lt;&gt;"http://",LEFT(H40,8)&lt;&gt;"https://"),"Ошибка: некорректная ссылка",IF(COUNTIF($H$6:$H$1005,H40)&gt;1,"Ошибка: дубликат URL",IF(E40&gt;TODAY(),"Ошибка: дата публикации в будущем",IF(S40="Да","Ошибка: подтверждённый дубль",IF(S40="","Проверить: отметьте дубль",IF(S40="Нужно проверить","Проверить возможный дубль",IF(TODAY()-E40&gt;30,"Проверить: старше 30 дней",IF(COUNTIFS(#REF!,G40,#REF!,"Готово")=0,"Проверить источник","Готово"))))))))))</f>
        <v/>
      </c>
    </row>
    <row r="41" spans="1:21" ht="25.5" customHeight="1">
      <c r="A41" s="21"/>
      <c r="B41" s="22"/>
      <c r="C41" s="21"/>
      <c r="D41" s="23"/>
      <c r="E41" s="22"/>
      <c r="F41" s="22"/>
      <c r="G41" s="23"/>
      <c r="H41" s="24"/>
      <c r="I41" s="24"/>
      <c r="J41" s="23"/>
      <c r="K41" s="23"/>
      <c r="L41" s="23"/>
      <c r="M41" s="23"/>
      <c r="N41" s="23"/>
      <c r="O41" s="23"/>
      <c r="P41" s="23"/>
      <c r="Q41" s="25"/>
      <c r="R41" s="23"/>
      <c r="S41" s="23"/>
      <c r="T41" s="23"/>
      <c r="U41" s="20" t="str">
        <f ca="1">IF(COUNTA(A41:T41)=0,"",IF(OR(A41="",B41="",C41="",E41="",G41="",H41="",J41="",K41="",L41="",M41=""),"Ошибка: заполните обязательные поля",IF(AND(LEFT(H41,7)&lt;&gt;"http://",LEFT(H41,8)&lt;&gt;"https://"),"Ошибка: некорректная ссылка",IF(COUNTIF($H$6:$H$1005,H41)&gt;1,"Ошибка: дубликат URL",IF(E41&gt;TODAY(),"Ошибка: дата публикации в будущем",IF(S41="Да","Ошибка: подтверждённый дубль",IF(S41="","Проверить: отметьте дубль",IF(S41="Нужно проверить","Проверить возможный дубль",IF(TODAY()-E41&gt;30,"Проверить: старше 30 дней",IF(COUNTIFS(#REF!,G41,#REF!,"Готово")=0,"Проверить источник","Готово"))))))))))</f>
        <v/>
      </c>
    </row>
    <row r="42" spans="1:21" ht="25.5" customHeight="1">
      <c r="A42" s="21"/>
      <c r="B42" s="22"/>
      <c r="C42" s="21"/>
      <c r="D42" s="23"/>
      <c r="E42" s="22"/>
      <c r="F42" s="22"/>
      <c r="G42" s="23"/>
      <c r="H42" s="24"/>
      <c r="I42" s="24"/>
      <c r="J42" s="23"/>
      <c r="K42" s="23"/>
      <c r="L42" s="23"/>
      <c r="M42" s="23"/>
      <c r="N42" s="23"/>
      <c r="O42" s="23"/>
      <c r="P42" s="23"/>
      <c r="Q42" s="25"/>
      <c r="R42" s="23"/>
      <c r="S42" s="23"/>
      <c r="T42" s="23"/>
      <c r="U42" s="20" t="str">
        <f ca="1">IF(COUNTA(A42:T42)=0,"",IF(OR(A42="",B42="",C42="",E42="",G42="",H42="",J42="",K42="",L42="",M42=""),"Ошибка: заполните обязательные поля",IF(AND(LEFT(H42,7)&lt;&gt;"http://",LEFT(H42,8)&lt;&gt;"https://"),"Ошибка: некорректная ссылка",IF(COUNTIF($H$6:$H$1005,H42)&gt;1,"Ошибка: дубликат URL",IF(E42&gt;TODAY(),"Ошибка: дата публикации в будущем",IF(S42="Да","Ошибка: подтверждённый дубль",IF(S42="","Проверить: отметьте дубль",IF(S42="Нужно проверить","Проверить возможный дубль",IF(TODAY()-E42&gt;30,"Проверить: старше 30 дней",IF(COUNTIFS(#REF!,G42,#REF!,"Готово")=0,"Проверить источник","Готово"))))))))))</f>
        <v/>
      </c>
    </row>
    <row r="43" spans="1:21" ht="25.5" customHeight="1">
      <c r="A43" s="21"/>
      <c r="B43" s="22"/>
      <c r="C43" s="21"/>
      <c r="D43" s="23"/>
      <c r="E43" s="22"/>
      <c r="F43" s="22"/>
      <c r="G43" s="23"/>
      <c r="H43" s="24"/>
      <c r="I43" s="24"/>
      <c r="J43" s="23"/>
      <c r="K43" s="23"/>
      <c r="L43" s="23"/>
      <c r="M43" s="23"/>
      <c r="N43" s="23"/>
      <c r="O43" s="23"/>
      <c r="P43" s="23"/>
      <c r="Q43" s="25"/>
      <c r="R43" s="23"/>
      <c r="S43" s="23"/>
      <c r="T43" s="23"/>
      <c r="U43" s="20" t="str">
        <f ca="1">IF(COUNTA(A43:T43)=0,"",IF(OR(A43="",B43="",C43="",E43="",G43="",H43="",J43="",K43="",L43="",M43=""),"Ошибка: заполните обязательные поля",IF(AND(LEFT(H43,7)&lt;&gt;"http://",LEFT(H43,8)&lt;&gt;"https://"),"Ошибка: некорректная ссылка",IF(COUNTIF($H$6:$H$1005,H43)&gt;1,"Ошибка: дубликат URL",IF(E43&gt;TODAY(),"Ошибка: дата публикации в будущем",IF(S43="Да","Ошибка: подтверждённый дубль",IF(S43="","Проверить: отметьте дубль",IF(S43="Нужно проверить","Проверить возможный дубль",IF(TODAY()-E43&gt;30,"Проверить: старше 30 дней",IF(COUNTIFS(#REF!,G43,#REF!,"Готово")=0,"Проверить источник","Готово"))))))))))</f>
        <v/>
      </c>
    </row>
    <row r="44" spans="1:21" ht="25.5" customHeight="1">
      <c r="A44" s="21"/>
      <c r="B44" s="22"/>
      <c r="C44" s="21"/>
      <c r="D44" s="23"/>
      <c r="E44" s="22"/>
      <c r="F44" s="22"/>
      <c r="G44" s="23"/>
      <c r="H44" s="24"/>
      <c r="I44" s="24"/>
      <c r="J44" s="23"/>
      <c r="K44" s="23"/>
      <c r="L44" s="23"/>
      <c r="M44" s="23"/>
      <c r="N44" s="23"/>
      <c r="O44" s="23"/>
      <c r="P44" s="23"/>
      <c r="Q44" s="25"/>
      <c r="R44" s="23"/>
      <c r="S44" s="23"/>
      <c r="T44" s="23"/>
      <c r="U44" s="20" t="str">
        <f ca="1">IF(COUNTA(A44:T44)=0,"",IF(OR(A44="",B44="",C44="",E44="",G44="",H44="",J44="",K44="",L44="",M44=""),"Ошибка: заполните обязательные поля",IF(AND(LEFT(H44,7)&lt;&gt;"http://",LEFT(H44,8)&lt;&gt;"https://"),"Ошибка: некорректная ссылка",IF(COUNTIF($H$6:$H$1005,H44)&gt;1,"Ошибка: дубликат URL",IF(E44&gt;TODAY(),"Ошибка: дата публикации в будущем",IF(S44="Да","Ошибка: подтверждённый дубль",IF(S44="","Проверить: отметьте дубль",IF(S44="Нужно проверить","Проверить возможный дубль",IF(TODAY()-E44&gt;30,"Проверить: старше 30 дней",IF(COUNTIFS(#REF!,G44,#REF!,"Готово")=0,"Проверить источник","Готово"))))))))))</f>
        <v/>
      </c>
    </row>
    <row r="45" spans="1:21" ht="25.5" customHeight="1">
      <c r="A45" s="21"/>
      <c r="B45" s="22"/>
      <c r="C45" s="21"/>
      <c r="D45" s="23"/>
      <c r="E45" s="22"/>
      <c r="F45" s="22"/>
      <c r="G45" s="23"/>
      <c r="H45" s="24"/>
      <c r="I45" s="24"/>
      <c r="J45" s="23"/>
      <c r="K45" s="23"/>
      <c r="L45" s="23"/>
      <c r="M45" s="23"/>
      <c r="N45" s="23"/>
      <c r="O45" s="23"/>
      <c r="P45" s="23"/>
      <c r="Q45" s="25"/>
      <c r="R45" s="23"/>
      <c r="S45" s="23"/>
      <c r="T45" s="23"/>
      <c r="U45" s="20" t="str">
        <f ca="1">IF(COUNTA(A45:T45)=0,"",IF(OR(A45="",B45="",C45="",E45="",G45="",H45="",J45="",K45="",L45="",M45=""),"Ошибка: заполните обязательные поля",IF(AND(LEFT(H45,7)&lt;&gt;"http://",LEFT(H45,8)&lt;&gt;"https://"),"Ошибка: некорректная ссылка",IF(COUNTIF($H$6:$H$1005,H45)&gt;1,"Ошибка: дубликат URL",IF(E45&gt;TODAY(),"Ошибка: дата публикации в будущем",IF(S45="Да","Ошибка: подтверждённый дубль",IF(S45="","Проверить: отметьте дубль",IF(S45="Нужно проверить","Проверить возможный дубль",IF(TODAY()-E45&gt;30,"Проверить: старше 30 дней",IF(COUNTIFS(#REF!,G45,#REF!,"Готово")=0,"Проверить источник","Готово"))))))))))</f>
        <v/>
      </c>
    </row>
    <row r="46" spans="1:21" ht="25.5" customHeight="1">
      <c r="A46" s="21"/>
      <c r="B46" s="22"/>
      <c r="C46" s="21"/>
      <c r="D46" s="23"/>
      <c r="E46" s="22"/>
      <c r="F46" s="22"/>
      <c r="G46" s="23"/>
      <c r="H46" s="24"/>
      <c r="I46" s="24"/>
      <c r="J46" s="23"/>
      <c r="K46" s="23"/>
      <c r="L46" s="23"/>
      <c r="M46" s="23"/>
      <c r="N46" s="23"/>
      <c r="O46" s="23"/>
      <c r="P46" s="23"/>
      <c r="Q46" s="25"/>
      <c r="R46" s="23"/>
      <c r="S46" s="23"/>
      <c r="T46" s="23"/>
      <c r="U46" s="20" t="str">
        <f ca="1">IF(COUNTA(A46:T46)=0,"",IF(OR(A46="",B46="",C46="",E46="",G46="",H46="",J46="",K46="",L46="",M46=""),"Ошибка: заполните обязательные поля",IF(AND(LEFT(H46,7)&lt;&gt;"http://",LEFT(H46,8)&lt;&gt;"https://"),"Ошибка: некорректная ссылка",IF(COUNTIF($H$6:$H$1005,H46)&gt;1,"Ошибка: дубликат URL",IF(E46&gt;TODAY(),"Ошибка: дата публикации в будущем",IF(S46="Да","Ошибка: подтверждённый дубль",IF(S46="","Проверить: отметьте дубль",IF(S46="Нужно проверить","Проверить возможный дубль",IF(TODAY()-E46&gt;30,"Проверить: старше 30 дней",IF(COUNTIFS(#REF!,G46,#REF!,"Готово")=0,"Проверить источник","Готово"))))))))))</f>
        <v/>
      </c>
    </row>
    <row r="47" spans="1:21" ht="25.5" customHeight="1">
      <c r="A47" s="21"/>
      <c r="B47" s="22"/>
      <c r="C47" s="21"/>
      <c r="D47" s="23"/>
      <c r="E47" s="22"/>
      <c r="F47" s="22"/>
      <c r="G47" s="23"/>
      <c r="H47" s="24"/>
      <c r="I47" s="24"/>
      <c r="J47" s="23"/>
      <c r="K47" s="23"/>
      <c r="L47" s="23"/>
      <c r="M47" s="23"/>
      <c r="N47" s="23"/>
      <c r="O47" s="23"/>
      <c r="P47" s="23"/>
      <c r="Q47" s="25"/>
      <c r="R47" s="23"/>
      <c r="S47" s="23"/>
      <c r="T47" s="23"/>
      <c r="U47" s="20" t="str">
        <f ca="1">IF(COUNTA(A47:T47)=0,"",IF(OR(A47="",B47="",C47="",E47="",G47="",H47="",J47="",K47="",L47="",M47=""),"Ошибка: заполните обязательные поля",IF(AND(LEFT(H47,7)&lt;&gt;"http://",LEFT(H47,8)&lt;&gt;"https://"),"Ошибка: некорректная ссылка",IF(COUNTIF($H$6:$H$1005,H47)&gt;1,"Ошибка: дубликат URL",IF(E47&gt;TODAY(),"Ошибка: дата публикации в будущем",IF(S47="Да","Ошибка: подтверждённый дубль",IF(S47="","Проверить: отметьте дубль",IF(S47="Нужно проверить","Проверить возможный дубль",IF(TODAY()-E47&gt;30,"Проверить: старше 30 дней",IF(COUNTIFS(#REF!,G47,#REF!,"Готово")=0,"Проверить источник","Готово"))))))))))</f>
        <v/>
      </c>
    </row>
    <row r="48" spans="1:21" ht="25.5" customHeight="1">
      <c r="A48" s="21"/>
      <c r="B48" s="22"/>
      <c r="C48" s="21"/>
      <c r="D48" s="23"/>
      <c r="E48" s="22"/>
      <c r="F48" s="22"/>
      <c r="G48" s="23"/>
      <c r="H48" s="24"/>
      <c r="I48" s="24"/>
      <c r="J48" s="23"/>
      <c r="K48" s="23"/>
      <c r="L48" s="23"/>
      <c r="M48" s="23"/>
      <c r="N48" s="23"/>
      <c r="O48" s="23"/>
      <c r="P48" s="23"/>
      <c r="Q48" s="25"/>
      <c r="R48" s="23"/>
      <c r="S48" s="23"/>
      <c r="T48" s="23"/>
      <c r="U48" s="20" t="str">
        <f ca="1">IF(COUNTA(A48:T48)=0,"",IF(OR(A48="",B48="",C48="",E48="",G48="",H48="",J48="",K48="",L48="",M48=""),"Ошибка: заполните обязательные поля",IF(AND(LEFT(H48,7)&lt;&gt;"http://",LEFT(H48,8)&lt;&gt;"https://"),"Ошибка: некорректная ссылка",IF(COUNTIF($H$6:$H$1005,H48)&gt;1,"Ошибка: дубликат URL",IF(E48&gt;TODAY(),"Ошибка: дата публикации в будущем",IF(S48="Да","Ошибка: подтверждённый дубль",IF(S48="","Проверить: отметьте дубль",IF(S48="Нужно проверить","Проверить возможный дубль",IF(TODAY()-E48&gt;30,"Проверить: старше 30 дней",IF(COUNTIFS(#REF!,G48,#REF!,"Готово")=0,"Проверить источник","Готово"))))))))))</f>
        <v/>
      </c>
    </row>
    <row r="49" spans="1:21" ht="25.5" customHeight="1">
      <c r="A49" s="21"/>
      <c r="B49" s="22"/>
      <c r="C49" s="21"/>
      <c r="D49" s="23"/>
      <c r="E49" s="22"/>
      <c r="F49" s="22"/>
      <c r="G49" s="23"/>
      <c r="H49" s="24"/>
      <c r="I49" s="24"/>
      <c r="J49" s="23"/>
      <c r="K49" s="23"/>
      <c r="L49" s="23"/>
      <c r="M49" s="23"/>
      <c r="N49" s="23"/>
      <c r="O49" s="23"/>
      <c r="P49" s="23"/>
      <c r="Q49" s="25"/>
      <c r="R49" s="23"/>
      <c r="S49" s="23"/>
      <c r="T49" s="23"/>
      <c r="U49" s="20" t="str">
        <f ca="1">IF(COUNTA(A49:T49)=0,"",IF(OR(A49="",B49="",C49="",E49="",G49="",H49="",J49="",K49="",L49="",M49=""),"Ошибка: заполните обязательные поля",IF(AND(LEFT(H49,7)&lt;&gt;"http://",LEFT(H49,8)&lt;&gt;"https://"),"Ошибка: некорректная ссылка",IF(COUNTIF($H$6:$H$1005,H49)&gt;1,"Ошибка: дубликат URL",IF(E49&gt;TODAY(),"Ошибка: дата публикации в будущем",IF(S49="Да","Ошибка: подтверждённый дубль",IF(S49="","Проверить: отметьте дубль",IF(S49="Нужно проверить","Проверить возможный дубль",IF(TODAY()-E49&gt;30,"Проверить: старше 30 дней",IF(COUNTIFS(#REF!,G49,#REF!,"Готово")=0,"Проверить источник","Готово"))))))))))</f>
        <v/>
      </c>
    </row>
    <row r="50" spans="1:21" ht="25.5" customHeight="1">
      <c r="A50" s="21"/>
      <c r="B50" s="22"/>
      <c r="C50" s="21"/>
      <c r="D50" s="23"/>
      <c r="E50" s="22"/>
      <c r="F50" s="22"/>
      <c r="G50" s="23"/>
      <c r="H50" s="24"/>
      <c r="I50" s="24"/>
      <c r="J50" s="23"/>
      <c r="K50" s="23"/>
      <c r="L50" s="23"/>
      <c r="M50" s="23"/>
      <c r="N50" s="23"/>
      <c r="O50" s="23"/>
      <c r="P50" s="23"/>
      <c r="Q50" s="25"/>
      <c r="R50" s="23"/>
      <c r="S50" s="23"/>
      <c r="T50" s="23"/>
      <c r="U50" s="20" t="str">
        <f ca="1">IF(COUNTA(A50:T50)=0,"",IF(OR(A50="",B50="",C50="",E50="",G50="",H50="",J50="",K50="",L50="",M50=""),"Ошибка: заполните обязательные поля",IF(AND(LEFT(H50,7)&lt;&gt;"http://",LEFT(H50,8)&lt;&gt;"https://"),"Ошибка: некорректная ссылка",IF(COUNTIF($H$6:$H$1005,H50)&gt;1,"Ошибка: дубликат URL",IF(E50&gt;TODAY(),"Ошибка: дата публикации в будущем",IF(S50="Да","Ошибка: подтверждённый дубль",IF(S50="","Проверить: отметьте дубль",IF(S50="Нужно проверить","Проверить возможный дубль",IF(TODAY()-E50&gt;30,"Проверить: старше 30 дней",IF(COUNTIFS(#REF!,G50,#REF!,"Готово")=0,"Проверить источник","Готово"))))))))))</f>
        <v/>
      </c>
    </row>
    <row r="51" spans="1:21" ht="25.5" customHeight="1">
      <c r="A51" s="21"/>
      <c r="B51" s="22"/>
      <c r="C51" s="21"/>
      <c r="D51" s="23"/>
      <c r="E51" s="22"/>
      <c r="F51" s="22"/>
      <c r="G51" s="23"/>
      <c r="H51" s="24"/>
      <c r="I51" s="24"/>
      <c r="J51" s="23"/>
      <c r="K51" s="23"/>
      <c r="L51" s="23"/>
      <c r="M51" s="23"/>
      <c r="N51" s="23"/>
      <c r="O51" s="23"/>
      <c r="P51" s="23"/>
      <c r="Q51" s="25"/>
      <c r="R51" s="23"/>
      <c r="S51" s="23"/>
      <c r="T51" s="23"/>
      <c r="U51" s="20" t="str">
        <f ca="1">IF(COUNTA(A51:T51)=0,"",IF(OR(A51="",B51="",C51="",E51="",G51="",H51="",J51="",K51="",L51="",M51=""),"Ошибка: заполните обязательные поля",IF(AND(LEFT(H51,7)&lt;&gt;"http://",LEFT(H51,8)&lt;&gt;"https://"),"Ошибка: некорректная ссылка",IF(COUNTIF($H$6:$H$1005,H51)&gt;1,"Ошибка: дубликат URL",IF(E51&gt;TODAY(),"Ошибка: дата публикации в будущем",IF(S51="Да","Ошибка: подтверждённый дубль",IF(S51="","Проверить: отметьте дубль",IF(S51="Нужно проверить","Проверить возможный дубль",IF(TODAY()-E51&gt;30,"Проверить: старше 30 дней",IF(COUNTIFS(#REF!,G51,#REF!,"Готово")=0,"Проверить источник","Готово"))))))))))</f>
        <v/>
      </c>
    </row>
    <row r="52" spans="1:21" ht="25.5" customHeight="1">
      <c r="A52" s="21"/>
      <c r="B52" s="22"/>
      <c r="C52" s="21"/>
      <c r="D52" s="23"/>
      <c r="E52" s="22"/>
      <c r="F52" s="22"/>
      <c r="G52" s="23"/>
      <c r="H52" s="24"/>
      <c r="I52" s="24"/>
      <c r="J52" s="23"/>
      <c r="K52" s="23"/>
      <c r="L52" s="23"/>
      <c r="M52" s="23"/>
      <c r="N52" s="23"/>
      <c r="O52" s="23"/>
      <c r="P52" s="23"/>
      <c r="Q52" s="25"/>
      <c r="R52" s="23"/>
      <c r="S52" s="23"/>
      <c r="T52" s="23"/>
      <c r="U52" s="20" t="str">
        <f ca="1">IF(COUNTA(A52:T52)=0,"",IF(OR(A52="",B52="",C52="",E52="",G52="",H52="",J52="",K52="",L52="",M52=""),"Ошибка: заполните обязательные поля",IF(AND(LEFT(H52,7)&lt;&gt;"http://",LEFT(H52,8)&lt;&gt;"https://"),"Ошибка: некорректная ссылка",IF(COUNTIF($H$6:$H$1005,H52)&gt;1,"Ошибка: дубликат URL",IF(E52&gt;TODAY(),"Ошибка: дата публикации в будущем",IF(S52="Да","Ошибка: подтверждённый дубль",IF(S52="","Проверить: отметьте дубль",IF(S52="Нужно проверить","Проверить возможный дубль",IF(TODAY()-E52&gt;30,"Проверить: старше 30 дней",IF(COUNTIFS(#REF!,G52,#REF!,"Готово")=0,"Проверить источник","Готово"))))))))))</f>
        <v/>
      </c>
    </row>
    <row r="53" spans="1:21" ht="25.5" customHeight="1">
      <c r="A53" s="21"/>
      <c r="B53" s="22"/>
      <c r="C53" s="21"/>
      <c r="D53" s="23"/>
      <c r="E53" s="22"/>
      <c r="F53" s="22"/>
      <c r="G53" s="23"/>
      <c r="H53" s="24"/>
      <c r="I53" s="24"/>
      <c r="J53" s="23"/>
      <c r="K53" s="23"/>
      <c r="L53" s="23"/>
      <c r="M53" s="23"/>
      <c r="N53" s="23"/>
      <c r="O53" s="23"/>
      <c r="P53" s="23"/>
      <c r="Q53" s="25"/>
      <c r="R53" s="23"/>
      <c r="S53" s="23"/>
      <c r="T53" s="23"/>
      <c r="U53" s="20" t="str">
        <f ca="1">IF(COUNTA(A53:T53)=0,"",IF(OR(A53="",B53="",C53="",E53="",G53="",H53="",J53="",K53="",L53="",M53=""),"Ошибка: заполните обязательные поля",IF(AND(LEFT(H53,7)&lt;&gt;"http://",LEFT(H53,8)&lt;&gt;"https://"),"Ошибка: некорректная ссылка",IF(COUNTIF($H$6:$H$1005,H53)&gt;1,"Ошибка: дубликат URL",IF(E53&gt;TODAY(),"Ошибка: дата публикации в будущем",IF(S53="Да","Ошибка: подтверждённый дубль",IF(S53="","Проверить: отметьте дубль",IF(S53="Нужно проверить","Проверить возможный дубль",IF(TODAY()-E53&gt;30,"Проверить: старше 30 дней",IF(COUNTIFS(#REF!,G53,#REF!,"Готово")=0,"Проверить источник","Готово"))))))))))</f>
        <v/>
      </c>
    </row>
    <row r="54" spans="1:21" ht="25.5" customHeight="1">
      <c r="A54" s="21"/>
      <c r="B54" s="22"/>
      <c r="C54" s="21"/>
      <c r="D54" s="23"/>
      <c r="E54" s="22"/>
      <c r="F54" s="22"/>
      <c r="G54" s="23"/>
      <c r="H54" s="24"/>
      <c r="I54" s="24"/>
      <c r="J54" s="23"/>
      <c r="K54" s="23"/>
      <c r="L54" s="23"/>
      <c r="M54" s="23"/>
      <c r="N54" s="23"/>
      <c r="O54" s="23"/>
      <c r="P54" s="23"/>
      <c r="Q54" s="25"/>
      <c r="R54" s="23"/>
      <c r="S54" s="23"/>
      <c r="T54" s="23"/>
      <c r="U54" s="20" t="str">
        <f ca="1">IF(COUNTA(A54:T54)=0,"",IF(OR(A54="",B54="",C54="",E54="",G54="",H54="",J54="",K54="",L54="",M54=""),"Ошибка: заполните обязательные поля",IF(AND(LEFT(H54,7)&lt;&gt;"http://",LEFT(H54,8)&lt;&gt;"https://"),"Ошибка: некорректная ссылка",IF(COUNTIF($H$6:$H$1005,H54)&gt;1,"Ошибка: дубликат URL",IF(E54&gt;TODAY(),"Ошибка: дата публикации в будущем",IF(S54="Да","Ошибка: подтверждённый дубль",IF(S54="","Проверить: отметьте дубль",IF(S54="Нужно проверить","Проверить возможный дубль",IF(TODAY()-E54&gt;30,"Проверить: старше 30 дней",IF(COUNTIFS(#REF!,G54,#REF!,"Готово")=0,"Проверить источник","Готово"))))))))))</f>
        <v/>
      </c>
    </row>
    <row r="55" spans="1:21" ht="25.5" customHeight="1">
      <c r="A55" s="21"/>
      <c r="B55" s="22"/>
      <c r="C55" s="21"/>
      <c r="D55" s="23"/>
      <c r="E55" s="22"/>
      <c r="F55" s="22"/>
      <c r="G55" s="23"/>
      <c r="H55" s="24"/>
      <c r="I55" s="24"/>
      <c r="J55" s="23"/>
      <c r="K55" s="23"/>
      <c r="L55" s="23"/>
      <c r="M55" s="23"/>
      <c r="N55" s="23"/>
      <c r="O55" s="23"/>
      <c r="P55" s="23"/>
      <c r="Q55" s="25"/>
      <c r="R55" s="23"/>
      <c r="S55" s="23"/>
      <c r="T55" s="23"/>
      <c r="U55" s="20" t="str">
        <f ca="1">IF(COUNTA(A55:T55)=0,"",IF(OR(A55="",B55="",C55="",E55="",G55="",H55="",J55="",K55="",L55="",M55=""),"Ошибка: заполните обязательные поля",IF(AND(LEFT(H55,7)&lt;&gt;"http://",LEFT(H55,8)&lt;&gt;"https://"),"Ошибка: некорректная ссылка",IF(COUNTIF($H$6:$H$1005,H55)&gt;1,"Ошибка: дубликат URL",IF(E55&gt;TODAY(),"Ошибка: дата публикации в будущем",IF(S55="Да","Ошибка: подтверждённый дубль",IF(S55="","Проверить: отметьте дубль",IF(S55="Нужно проверить","Проверить возможный дубль",IF(TODAY()-E55&gt;30,"Проверить: старше 30 дней",IF(COUNTIFS(#REF!,G55,#REF!,"Готово")=0,"Проверить источник","Готово"))))))))))</f>
        <v/>
      </c>
    </row>
    <row r="56" spans="1:21" ht="25.5" customHeight="1">
      <c r="A56" s="21"/>
      <c r="B56" s="22"/>
      <c r="C56" s="21"/>
      <c r="D56" s="23"/>
      <c r="E56" s="22"/>
      <c r="F56" s="22"/>
      <c r="G56" s="23"/>
      <c r="H56" s="24"/>
      <c r="I56" s="24"/>
      <c r="J56" s="23"/>
      <c r="K56" s="23"/>
      <c r="L56" s="23"/>
      <c r="M56" s="23"/>
      <c r="N56" s="23"/>
      <c r="O56" s="23"/>
      <c r="P56" s="23"/>
      <c r="Q56" s="25"/>
      <c r="R56" s="23"/>
      <c r="S56" s="23"/>
      <c r="T56" s="23"/>
      <c r="U56" s="20" t="str">
        <f ca="1">IF(COUNTA(A56:T56)=0,"",IF(OR(A56="",B56="",C56="",E56="",G56="",H56="",J56="",K56="",L56="",M56=""),"Ошибка: заполните обязательные поля",IF(AND(LEFT(H56,7)&lt;&gt;"http://",LEFT(H56,8)&lt;&gt;"https://"),"Ошибка: некорректная ссылка",IF(COUNTIF($H$6:$H$1005,H56)&gt;1,"Ошибка: дубликат URL",IF(E56&gt;TODAY(),"Ошибка: дата публикации в будущем",IF(S56="Да","Ошибка: подтверждённый дубль",IF(S56="","Проверить: отметьте дубль",IF(S56="Нужно проверить","Проверить возможный дубль",IF(TODAY()-E56&gt;30,"Проверить: старше 30 дней",IF(COUNTIFS(#REF!,G56,#REF!,"Готово")=0,"Проверить источник","Готово"))))))))))</f>
        <v/>
      </c>
    </row>
    <row r="57" spans="1:21" ht="25.5" customHeight="1">
      <c r="A57" s="21"/>
      <c r="B57" s="22"/>
      <c r="C57" s="21"/>
      <c r="D57" s="23"/>
      <c r="E57" s="22"/>
      <c r="F57" s="22"/>
      <c r="G57" s="23"/>
      <c r="H57" s="24"/>
      <c r="I57" s="24"/>
      <c r="J57" s="23"/>
      <c r="K57" s="23"/>
      <c r="L57" s="23"/>
      <c r="M57" s="23"/>
      <c r="N57" s="23"/>
      <c r="O57" s="23"/>
      <c r="P57" s="23"/>
      <c r="Q57" s="25"/>
      <c r="R57" s="23"/>
      <c r="S57" s="23"/>
      <c r="T57" s="23"/>
      <c r="U57" s="20" t="str">
        <f ca="1">IF(COUNTA(A57:T57)=0,"",IF(OR(A57="",B57="",C57="",E57="",G57="",H57="",J57="",K57="",L57="",M57=""),"Ошибка: заполните обязательные поля",IF(AND(LEFT(H57,7)&lt;&gt;"http://",LEFT(H57,8)&lt;&gt;"https://"),"Ошибка: некорректная ссылка",IF(COUNTIF($H$6:$H$1005,H57)&gt;1,"Ошибка: дубликат URL",IF(E57&gt;TODAY(),"Ошибка: дата публикации в будущем",IF(S57="Да","Ошибка: подтверждённый дубль",IF(S57="","Проверить: отметьте дубль",IF(S57="Нужно проверить","Проверить возможный дубль",IF(TODAY()-E57&gt;30,"Проверить: старше 30 дней",IF(COUNTIFS(#REF!,G57,#REF!,"Готово")=0,"Проверить источник","Готово"))))))))))</f>
        <v/>
      </c>
    </row>
    <row r="58" spans="1:21" ht="25.5" customHeight="1">
      <c r="A58" s="21"/>
      <c r="B58" s="22"/>
      <c r="C58" s="21"/>
      <c r="D58" s="23"/>
      <c r="E58" s="22"/>
      <c r="F58" s="22"/>
      <c r="G58" s="23"/>
      <c r="H58" s="24"/>
      <c r="I58" s="24"/>
      <c r="J58" s="23"/>
      <c r="K58" s="23"/>
      <c r="L58" s="23"/>
      <c r="M58" s="23"/>
      <c r="N58" s="23"/>
      <c r="O58" s="23"/>
      <c r="P58" s="23"/>
      <c r="Q58" s="25"/>
      <c r="R58" s="23"/>
      <c r="S58" s="23"/>
      <c r="T58" s="23"/>
      <c r="U58" s="20" t="str">
        <f ca="1">IF(COUNTA(A58:T58)=0,"",IF(OR(A58="",B58="",C58="",E58="",G58="",H58="",J58="",K58="",L58="",M58=""),"Ошибка: заполните обязательные поля",IF(AND(LEFT(H58,7)&lt;&gt;"http://",LEFT(H58,8)&lt;&gt;"https://"),"Ошибка: некорректная ссылка",IF(COUNTIF($H$6:$H$1005,H58)&gt;1,"Ошибка: дубликат URL",IF(E58&gt;TODAY(),"Ошибка: дата публикации в будущем",IF(S58="Да","Ошибка: подтверждённый дубль",IF(S58="","Проверить: отметьте дубль",IF(S58="Нужно проверить","Проверить возможный дубль",IF(TODAY()-E58&gt;30,"Проверить: старше 30 дней",IF(COUNTIFS(#REF!,G58,#REF!,"Готово")=0,"Проверить источник","Готово"))))))))))</f>
        <v/>
      </c>
    </row>
    <row r="59" spans="1:21" ht="25.5" customHeight="1">
      <c r="A59" s="21"/>
      <c r="B59" s="22"/>
      <c r="C59" s="21"/>
      <c r="D59" s="23"/>
      <c r="E59" s="22"/>
      <c r="F59" s="22"/>
      <c r="G59" s="23"/>
      <c r="H59" s="24"/>
      <c r="I59" s="24"/>
      <c r="J59" s="23"/>
      <c r="K59" s="23"/>
      <c r="L59" s="23"/>
      <c r="M59" s="23"/>
      <c r="N59" s="23"/>
      <c r="O59" s="23"/>
      <c r="P59" s="23"/>
      <c r="Q59" s="25"/>
      <c r="R59" s="23"/>
      <c r="S59" s="23"/>
      <c r="T59" s="23"/>
      <c r="U59" s="20" t="str">
        <f ca="1">IF(COUNTA(A59:T59)=0,"",IF(OR(A59="",B59="",C59="",E59="",G59="",H59="",J59="",K59="",L59="",M59=""),"Ошибка: заполните обязательные поля",IF(AND(LEFT(H59,7)&lt;&gt;"http://",LEFT(H59,8)&lt;&gt;"https://"),"Ошибка: некорректная ссылка",IF(COUNTIF($H$6:$H$1005,H59)&gt;1,"Ошибка: дубликат URL",IF(E59&gt;TODAY(),"Ошибка: дата публикации в будущем",IF(S59="Да","Ошибка: подтверждённый дубль",IF(S59="","Проверить: отметьте дубль",IF(S59="Нужно проверить","Проверить возможный дубль",IF(TODAY()-E59&gt;30,"Проверить: старше 30 дней",IF(COUNTIFS(#REF!,G59,#REF!,"Готово")=0,"Проверить источник","Готово"))))))))))</f>
        <v/>
      </c>
    </row>
    <row r="60" spans="1:21" ht="25.5" customHeight="1">
      <c r="A60" s="21"/>
      <c r="B60" s="22"/>
      <c r="C60" s="21"/>
      <c r="D60" s="23"/>
      <c r="E60" s="22"/>
      <c r="F60" s="22"/>
      <c r="G60" s="23"/>
      <c r="H60" s="24"/>
      <c r="I60" s="24"/>
      <c r="J60" s="23"/>
      <c r="K60" s="23"/>
      <c r="L60" s="23"/>
      <c r="M60" s="23"/>
      <c r="N60" s="23"/>
      <c r="O60" s="23"/>
      <c r="P60" s="23"/>
      <c r="Q60" s="25"/>
      <c r="R60" s="23"/>
      <c r="S60" s="23"/>
      <c r="T60" s="23"/>
      <c r="U60" s="20" t="str">
        <f ca="1">IF(COUNTA(A60:T60)=0,"",IF(OR(A60="",B60="",C60="",E60="",G60="",H60="",J60="",K60="",L60="",M60=""),"Ошибка: заполните обязательные поля",IF(AND(LEFT(H60,7)&lt;&gt;"http://",LEFT(H60,8)&lt;&gt;"https://"),"Ошибка: некорректная ссылка",IF(COUNTIF($H$6:$H$1005,H60)&gt;1,"Ошибка: дубликат URL",IF(E60&gt;TODAY(),"Ошибка: дата публикации в будущем",IF(S60="Да","Ошибка: подтверждённый дубль",IF(S60="","Проверить: отметьте дубль",IF(S60="Нужно проверить","Проверить возможный дубль",IF(TODAY()-E60&gt;30,"Проверить: старше 30 дней",IF(COUNTIFS(#REF!,G60,#REF!,"Готово")=0,"Проверить источник","Готово"))))))))))</f>
        <v/>
      </c>
    </row>
    <row r="61" spans="1:21" ht="25.5" customHeight="1">
      <c r="A61" s="21"/>
      <c r="B61" s="22"/>
      <c r="C61" s="21"/>
      <c r="D61" s="23"/>
      <c r="E61" s="22"/>
      <c r="F61" s="22"/>
      <c r="G61" s="23"/>
      <c r="H61" s="24"/>
      <c r="I61" s="24"/>
      <c r="J61" s="23"/>
      <c r="K61" s="23"/>
      <c r="L61" s="23"/>
      <c r="M61" s="23"/>
      <c r="N61" s="23"/>
      <c r="O61" s="23"/>
      <c r="P61" s="23"/>
      <c r="Q61" s="25"/>
      <c r="R61" s="23"/>
      <c r="S61" s="23"/>
      <c r="T61" s="23"/>
      <c r="U61" s="20" t="str">
        <f ca="1">IF(COUNTA(A61:T61)=0,"",IF(OR(A61="",B61="",C61="",E61="",G61="",H61="",J61="",K61="",L61="",M61=""),"Ошибка: заполните обязательные поля",IF(AND(LEFT(H61,7)&lt;&gt;"http://",LEFT(H61,8)&lt;&gt;"https://"),"Ошибка: некорректная ссылка",IF(COUNTIF($H$6:$H$1005,H61)&gt;1,"Ошибка: дубликат URL",IF(E61&gt;TODAY(),"Ошибка: дата публикации в будущем",IF(S61="Да","Ошибка: подтверждённый дубль",IF(S61="","Проверить: отметьте дубль",IF(S61="Нужно проверить","Проверить возможный дубль",IF(TODAY()-E61&gt;30,"Проверить: старше 30 дней",IF(COUNTIFS(#REF!,G61,#REF!,"Готово")=0,"Проверить источник","Готово"))))))))))</f>
        <v/>
      </c>
    </row>
    <row r="62" spans="1:21" ht="25.5" customHeight="1">
      <c r="A62" s="21"/>
      <c r="B62" s="22"/>
      <c r="C62" s="21"/>
      <c r="D62" s="23"/>
      <c r="E62" s="22"/>
      <c r="F62" s="22"/>
      <c r="G62" s="23"/>
      <c r="H62" s="24"/>
      <c r="I62" s="24"/>
      <c r="J62" s="23"/>
      <c r="K62" s="23"/>
      <c r="L62" s="23"/>
      <c r="M62" s="23"/>
      <c r="N62" s="23"/>
      <c r="O62" s="23"/>
      <c r="P62" s="23"/>
      <c r="Q62" s="25"/>
      <c r="R62" s="23"/>
      <c r="S62" s="23"/>
      <c r="T62" s="23"/>
      <c r="U62" s="20" t="str">
        <f ca="1">IF(COUNTA(A62:T62)=0,"",IF(OR(A62="",B62="",C62="",E62="",G62="",H62="",J62="",K62="",L62="",M62=""),"Ошибка: заполните обязательные поля",IF(AND(LEFT(H62,7)&lt;&gt;"http://",LEFT(H62,8)&lt;&gt;"https://"),"Ошибка: некорректная ссылка",IF(COUNTIF($H$6:$H$1005,H62)&gt;1,"Ошибка: дубликат URL",IF(E62&gt;TODAY(),"Ошибка: дата публикации в будущем",IF(S62="Да","Ошибка: подтверждённый дубль",IF(S62="","Проверить: отметьте дубль",IF(S62="Нужно проверить","Проверить возможный дубль",IF(TODAY()-E62&gt;30,"Проверить: старше 30 дней",IF(COUNTIFS(#REF!,G62,#REF!,"Готово")=0,"Проверить источник","Готово"))))))))))</f>
        <v/>
      </c>
    </row>
    <row r="63" spans="1:21" ht="25.5" customHeight="1">
      <c r="A63" s="21"/>
      <c r="B63" s="22"/>
      <c r="C63" s="21"/>
      <c r="D63" s="23"/>
      <c r="E63" s="22"/>
      <c r="F63" s="22"/>
      <c r="G63" s="23"/>
      <c r="H63" s="24"/>
      <c r="I63" s="24"/>
      <c r="J63" s="23"/>
      <c r="K63" s="23"/>
      <c r="L63" s="23"/>
      <c r="M63" s="23"/>
      <c r="N63" s="23"/>
      <c r="O63" s="23"/>
      <c r="P63" s="23"/>
      <c r="Q63" s="25"/>
      <c r="R63" s="23"/>
      <c r="S63" s="23"/>
      <c r="T63" s="23"/>
      <c r="U63" s="20" t="str">
        <f ca="1">IF(COUNTA(A63:T63)=0,"",IF(OR(A63="",B63="",C63="",E63="",G63="",H63="",J63="",K63="",L63="",M63=""),"Ошибка: заполните обязательные поля",IF(AND(LEFT(H63,7)&lt;&gt;"http://",LEFT(H63,8)&lt;&gt;"https://"),"Ошибка: некорректная ссылка",IF(COUNTIF($H$6:$H$1005,H63)&gt;1,"Ошибка: дубликат URL",IF(E63&gt;TODAY(),"Ошибка: дата публикации в будущем",IF(S63="Да","Ошибка: подтверждённый дубль",IF(S63="","Проверить: отметьте дубль",IF(S63="Нужно проверить","Проверить возможный дубль",IF(TODAY()-E63&gt;30,"Проверить: старше 30 дней",IF(COUNTIFS(#REF!,G63,#REF!,"Готово")=0,"Проверить источник","Готово"))))))))))</f>
        <v/>
      </c>
    </row>
    <row r="64" spans="1:21" ht="25.5" customHeight="1">
      <c r="A64" s="21"/>
      <c r="B64" s="22"/>
      <c r="C64" s="21"/>
      <c r="D64" s="23"/>
      <c r="E64" s="22"/>
      <c r="F64" s="22"/>
      <c r="G64" s="23"/>
      <c r="H64" s="24"/>
      <c r="I64" s="24"/>
      <c r="J64" s="23"/>
      <c r="K64" s="23"/>
      <c r="L64" s="23"/>
      <c r="M64" s="23"/>
      <c r="N64" s="23"/>
      <c r="O64" s="23"/>
      <c r="P64" s="23"/>
      <c r="Q64" s="25"/>
      <c r="R64" s="23"/>
      <c r="S64" s="23"/>
      <c r="T64" s="23"/>
      <c r="U64" s="20" t="str">
        <f ca="1">IF(COUNTA(A64:T64)=0,"",IF(OR(A64="",B64="",C64="",E64="",G64="",H64="",J64="",K64="",L64="",M64=""),"Ошибка: заполните обязательные поля",IF(AND(LEFT(H64,7)&lt;&gt;"http://",LEFT(H64,8)&lt;&gt;"https://"),"Ошибка: некорректная ссылка",IF(COUNTIF($H$6:$H$1005,H64)&gt;1,"Ошибка: дубликат URL",IF(E64&gt;TODAY(),"Ошибка: дата публикации в будущем",IF(S64="Да","Ошибка: подтверждённый дубль",IF(S64="","Проверить: отметьте дубль",IF(S64="Нужно проверить","Проверить возможный дубль",IF(TODAY()-E64&gt;30,"Проверить: старше 30 дней",IF(COUNTIFS(#REF!,G64,#REF!,"Готово")=0,"Проверить источник","Готово"))))))))))</f>
        <v/>
      </c>
    </row>
    <row r="65" spans="1:21" ht="25.5" customHeight="1">
      <c r="A65" s="21"/>
      <c r="B65" s="22"/>
      <c r="C65" s="21"/>
      <c r="D65" s="23"/>
      <c r="E65" s="22"/>
      <c r="F65" s="22"/>
      <c r="G65" s="23"/>
      <c r="H65" s="24"/>
      <c r="I65" s="24"/>
      <c r="J65" s="23"/>
      <c r="K65" s="23"/>
      <c r="L65" s="23"/>
      <c r="M65" s="23"/>
      <c r="N65" s="23"/>
      <c r="O65" s="23"/>
      <c r="P65" s="23"/>
      <c r="Q65" s="25"/>
      <c r="R65" s="23"/>
      <c r="S65" s="23"/>
      <c r="T65" s="23"/>
      <c r="U65" s="20" t="str">
        <f ca="1">IF(COUNTA(A65:T65)=0,"",IF(OR(A65="",B65="",C65="",E65="",G65="",H65="",J65="",K65="",L65="",M65=""),"Ошибка: заполните обязательные поля",IF(AND(LEFT(H65,7)&lt;&gt;"http://",LEFT(H65,8)&lt;&gt;"https://"),"Ошибка: некорректная ссылка",IF(COUNTIF($H$6:$H$1005,H65)&gt;1,"Ошибка: дубликат URL",IF(E65&gt;TODAY(),"Ошибка: дата публикации в будущем",IF(S65="Да","Ошибка: подтверждённый дубль",IF(S65="","Проверить: отметьте дубль",IF(S65="Нужно проверить","Проверить возможный дубль",IF(TODAY()-E65&gt;30,"Проверить: старше 30 дней",IF(COUNTIFS(#REF!,G65,#REF!,"Готово")=0,"Проверить источник","Готово"))))))))))</f>
        <v/>
      </c>
    </row>
    <row r="66" spans="1:21" ht="25.5" customHeight="1">
      <c r="A66" s="21"/>
      <c r="B66" s="22"/>
      <c r="C66" s="21"/>
      <c r="D66" s="23"/>
      <c r="E66" s="22"/>
      <c r="F66" s="22"/>
      <c r="G66" s="23"/>
      <c r="H66" s="24"/>
      <c r="I66" s="24"/>
      <c r="J66" s="23"/>
      <c r="K66" s="23"/>
      <c r="L66" s="23"/>
      <c r="M66" s="23"/>
      <c r="N66" s="23"/>
      <c r="O66" s="23"/>
      <c r="P66" s="23"/>
      <c r="Q66" s="25"/>
      <c r="R66" s="23"/>
      <c r="S66" s="23"/>
      <c r="T66" s="23"/>
      <c r="U66" s="20" t="str">
        <f ca="1">IF(COUNTA(A66:T66)=0,"",IF(OR(A66="",B66="",C66="",E66="",G66="",H66="",J66="",K66="",L66="",M66=""),"Ошибка: заполните обязательные поля",IF(AND(LEFT(H66,7)&lt;&gt;"http://",LEFT(H66,8)&lt;&gt;"https://"),"Ошибка: некорректная ссылка",IF(COUNTIF($H$6:$H$1005,H66)&gt;1,"Ошибка: дубликат URL",IF(E66&gt;TODAY(),"Ошибка: дата публикации в будущем",IF(S66="Да","Ошибка: подтверждённый дубль",IF(S66="","Проверить: отметьте дубль",IF(S66="Нужно проверить","Проверить возможный дубль",IF(TODAY()-E66&gt;30,"Проверить: старше 30 дней",IF(COUNTIFS(#REF!,G66,#REF!,"Готово")=0,"Проверить источник","Готово"))))))))))</f>
        <v/>
      </c>
    </row>
    <row r="67" spans="1:21" ht="25.5" customHeight="1">
      <c r="A67" s="21"/>
      <c r="B67" s="22"/>
      <c r="C67" s="21"/>
      <c r="D67" s="23"/>
      <c r="E67" s="22"/>
      <c r="F67" s="22"/>
      <c r="G67" s="23"/>
      <c r="H67" s="24"/>
      <c r="I67" s="24"/>
      <c r="J67" s="23"/>
      <c r="K67" s="23"/>
      <c r="L67" s="23"/>
      <c r="M67" s="23"/>
      <c r="N67" s="23"/>
      <c r="O67" s="23"/>
      <c r="P67" s="23"/>
      <c r="Q67" s="25"/>
      <c r="R67" s="23"/>
      <c r="S67" s="23"/>
      <c r="T67" s="23"/>
      <c r="U67" s="20" t="str">
        <f ca="1">IF(COUNTA(A67:T67)=0,"",IF(OR(A67="",B67="",C67="",E67="",G67="",H67="",J67="",K67="",L67="",M67=""),"Ошибка: заполните обязательные поля",IF(AND(LEFT(H67,7)&lt;&gt;"http://",LEFT(H67,8)&lt;&gt;"https://"),"Ошибка: некорректная ссылка",IF(COUNTIF($H$6:$H$1005,H67)&gt;1,"Ошибка: дубликат URL",IF(E67&gt;TODAY(),"Ошибка: дата публикации в будущем",IF(S67="Да","Ошибка: подтверждённый дубль",IF(S67="","Проверить: отметьте дубль",IF(S67="Нужно проверить","Проверить возможный дубль",IF(TODAY()-E67&gt;30,"Проверить: старше 30 дней",IF(COUNTIFS(#REF!,G67,#REF!,"Готово")=0,"Проверить источник","Готово"))))))))))</f>
        <v/>
      </c>
    </row>
    <row r="68" spans="1:21" ht="25.5" customHeight="1">
      <c r="A68" s="21"/>
      <c r="B68" s="22"/>
      <c r="C68" s="21"/>
      <c r="D68" s="23"/>
      <c r="E68" s="22"/>
      <c r="F68" s="22"/>
      <c r="G68" s="23"/>
      <c r="H68" s="24"/>
      <c r="I68" s="24"/>
      <c r="J68" s="23"/>
      <c r="K68" s="23"/>
      <c r="L68" s="23"/>
      <c r="M68" s="23"/>
      <c r="N68" s="23"/>
      <c r="O68" s="23"/>
      <c r="P68" s="23"/>
      <c r="Q68" s="25"/>
      <c r="R68" s="23"/>
      <c r="S68" s="23"/>
      <c r="T68" s="23"/>
      <c r="U68" s="20" t="str">
        <f ca="1">IF(COUNTA(A68:T68)=0,"",IF(OR(A68="",B68="",C68="",E68="",G68="",H68="",J68="",K68="",L68="",M68=""),"Ошибка: заполните обязательные поля",IF(AND(LEFT(H68,7)&lt;&gt;"http://",LEFT(H68,8)&lt;&gt;"https://"),"Ошибка: некорректная ссылка",IF(COUNTIF($H$6:$H$1005,H68)&gt;1,"Ошибка: дубликат URL",IF(E68&gt;TODAY(),"Ошибка: дата публикации в будущем",IF(S68="Да","Ошибка: подтверждённый дубль",IF(S68="","Проверить: отметьте дубль",IF(S68="Нужно проверить","Проверить возможный дубль",IF(TODAY()-E68&gt;30,"Проверить: старше 30 дней",IF(COUNTIFS(#REF!,G68,#REF!,"Готово")=0,"Проверить источник","Готово"))))))))))</f>
        <v/>
      </c>
    </row>
    <row r="69" spans="1:21" ht="25.5" customHeight="1">
      <c r="A69" s="21"/>
      <c r="B69" s="22"/>
      <c r="C69" s="21"/>
      <c r="D69" s="23"/>
      <c r="E69" s="22"/>
      <c r="F69" s="22"/>
      <c r="G69" s="23"/>
      <c r="H69" s="24"/>
      <c r="I69" s="24"/>
      <c r="J69" s="23"/>
      <c r="K69" s="23"/>
      <c r="L69" s="23"/>
      <c r="M69" s="23"/>
      <c r="N69" s="23"/>
      <c r="O69" s="23"/>
      <c r="P69" s="23"/>
      <c r="Q69" s="25"/>
      <c r="R69" s="23"/>
      <c r="S69" s="23"/>
      <c r="T69" s="23"/>
      <c r="U69" s="20" t="str">
        <f ca="1">IF(COUNTA(A69:T69)=0,"",IF(OR(A69="",B69="",C69="",E69="",G69="",H69="",J69="",K69="",L69="",M69=""),"Ошибка: заполните обязательные поля",IF(AND(LEFT(H69,7)&lt;&gt;"http://",LEFT(H69,8)&lt;&gt;"https://"),"Ошибка: некорректная ссылка",IF(COUNTIF($H$6:$H$1005,H69)&gt;1,"Ошибка: дубликат URL",IF(E69&gt;TODAY(),"Ошибка: дата публикации в будущем",IF(S69="Да","Ошибка: подтверждённый дубль",IF(S69="","Проверить: отметьте дубль",IF(S69="Нужно проверить","Проверить возможный дубль",IF(TODAY()-E69&gt;30,"Проверить: старше 30 дней",IF(COUNTIFS(#REF!,G69,#REF!,"Готово")=0,"Проверить источник","Готово"))))))))))</f>
        <v/>
      </c>
    </row>
    <row r="70" spans="1:21" ht="25.5" customHeight="1">
      <c r="A70" s="21"/>
      <c r="B70" s="22"/>
      <c r="C70" s="21"/>
      <c r="D70" s="23"/>
      <c r="E70" s="22"/>
      <c r="F70" s="22"/>
      <c r="G70" s="23"/>
      <c r="H70" s="24"/>
      <c r="I70" s="24"/>
      <c r="J70" s="23"/>
      <c r="K70" s="23"/>
      <c r="L70" s="23"/>
      <c r="M70" s="23"/>
      <c r="N70" s="23"/>
      <c r="O70" s="23"/>
      <c r="P70" s="23"/>
      <c r="Q70" s="25"/>
      <c r="R70" s="23"/>
      <c r="S70" s="23"/>
      <c r="T70" s="23"/>
      <c r="U70" s="20" t="str">
        <f ca="1">IF(COUNTA(A70:T70)=0,"",IF(OR(A70="",B70="",C70="",E70="",G70="",H70="",J70="",K70="",L70="",M70=""),"Ошибка: заполните обязательные поля",IF(AND(LEFT(H70,7)&lt;&gt;"http://",LEFT(H70,8)&lt;&gt;"https://"),"Ошибка: некорректная ссылка",IF(COUNTIF($H$6:$H$1005,H70)&gt;1,"Ошибка: дубликат URL",IF(E70&gt;TODAY(),"Ошибка: дата публикации в будущем",IF(S70="Да","Ошибка: подтверждённый дубль",IF(S70="","Проверить: отметьте дубль",IF(S70="Нужно проверить","Проверить возможный дубль",IF(TODAY()-E70&gt;30,"Проверить: старше 30 дней",IF(COUNTIFS(#REF!,G70,#REF!,"Готово")=0,"Проверить источник","Готово"))))))))))</f>
        <v/>
      </c>
    </row>
    <row r="71" spans="1:21" ht="25.5" customHeight="1">
      <c r="A71" s="21"/>
      <c r="B71" s="22"/>
      <c r="C71" s="21"/>
      <c r="D71" s="23"/>
      <c r="E71" s="22"/>
      <c r="F71" s="22"/>
      <c r="G71" s="23"/>
      <c r="H71" s="24"/>
      <c r="I71" s="24"/>
      <c r="J71" s="23"/>
      <c r="K71" s="23"/>
      <c r="L71" s="23"/>
      <c r="M71" s="23"/>
      <c r="N71" s="23"/>
      <c r="O71" s="23"/>
      <c r="P71" s="23"/>
      <c r="Q71" s="25"/>
      <c r="R71" s="23"/>
      <c r="S71" s="23"/>
      <c r="T71" s="23"/>
      <c r="U71" s="20" t="str">
        <f ca="1">IF(COUNTA(A71:T71)=0,"",IF(OR(A71="",B71="",C71="",E71="",G71="",H71="",J71="",K71="",L71="",M71=""),"Ошибка: заполните обязательные поля",IF(AND(LEFT(H71,7)&lt;&gt;"http://",LEFT(H71,8)&lt;&gt;"https://"),"Ошибка: некорректная ссылка",IF(COUNTIF($H$6:$H$1005,H71)&gt;1,"Ошибка: дубликат URL",IF(E71&gt;TODAY(),"Ошибка: дата публикации в будущем",IF(S71="Да","Ошибка: подтверждённый дубль",IF(S71="","Проверить: отметьте дубль",IF(S71="Нужно проверить","Проверить возможный дубль",IF(TODAY()-E71&gt;30,"Проверить: старше 30 дней",IF(COUNTIFS(#REF!,G71,#REF!,"Готово")=0,"Проверить источник","Готово"))))))))))</f>
        <v/>
      </c>
    </row>
    <row r="72" spans="1:21" ht="25.5" customHeight="1">
      <c r="A72" s="21"/>
      <c r="B72" s="22"/>
      <c r="C72" s="21"/>
      <c r="D72" s="23"/>
      <c r="E72" s="22"/>
      <c r="F72" s="22"/>
      <c r="G72" s="23"/>
      <c r="H72" s="24"/>
      <c r="I72" s="24"/>
      <c r="J72" s="23"/>
      <c r="K72" s="23"/>
      <c r="L72" s="23"/>
      <c r="M72" s="23"/>
      <c r="N72" s="23"/>
      <c r="O72" s="23"/>
      <c r="P72" s="23"/>
      <c r="Q72" s="25"/>
      <c r="R72" s="23"/>
      <c r="S72" s="23"/>
      <c r="T72" s="23"/>
      <c r="U72" s="20" t="str">
        <f ca="1">IF(COUNTA(A72:T72)=0,"",IF(OR(A72="",B72="",C72="",E72="",G72="",H72="",J72="",K72="",L72="",M72=""),"Ошибка: заполните обязательные поля",IF(AND(LEFT(H72,7)&lt;&gt;"http://",LEFT(H72,8)&lt;&gt;"https://"),"Ошибка: некорректная ссылка",IF(COUNTIF($H$6:$H$1005,H72)&gt;1,"Ошибка: дубликат URL",IF(E72&gt;TODAY(),"Ошибка: дата публикации в будущем",IF(S72="Да","Ошибка: подтверждённый дубль",IF(S72="","Проверить: отметьте дубль",IF(S72="Нужно проверить","Проверить возможный дубль",IF(TODAY()-E72&gt;30,"Проверить: старше 30 дней",IF(COUNTIFS(#REF!,G72,#REF!,"Готово")=0,"Проверить источник","Готово"))))))))))</f>
        <v/>
      </c>
    </row>
    <row r="73" spans="1:21" ht="25.5" customHeight="1">
      <c r="A73" s="21"/>
      <c r="B73" s="22"/>
      <c r="C73" s="21"/>
      <c r="D73" s="23"/>
      <c r="E73" s="22"/>
      <c r="F73" s="22"/>
      <c r="G73" s="23"/>
      <c r="H73" s="24"/>
      <c r="I73" s="24"/>
      <c r="J73" s="23"/>
      <c r="K73" s="23"/>
      <c r="L73" s="23"/>
      <c r="M73" s="23"/>
      <c r="N73" s="23"/>
      <c r="O73" s="23"/>
      <c r="P73" s="23"/>
      <c r="Q73" s="25"/>
      <c r="R73" s="23"/>
      <c r="S73" s="23"/>
      <c r="T73" s="23"/>
      <c r="U73" s="20" t="str">
        <f ca="1">IF(COUNTA(A73:T73)=0,"",IF(OR(A73="",B73="",C73="",E73="",G73="",H73="",J73="",K73="",L73="",M73=""),"Ошибка: заполните обязательные поля",IF(AND(LEFT(H73,7)&lt;&gt;"http://",LEFT(H73,8)&lt;&gt;"https://"),"Ошибка: некорректная ссылка",IF(COUNTIF($H$6:$H$1005,H73)&gt;1,"Ошибка: дубликат URL",IF(E73&gt;TODAY(),"Ошибка: дата публикации в будущем",IF(S73="Да","Ошибка: подтверждённый дубль",IF(S73="","Проверить: отметьте дубль",IF(S73="Нужно проверить","Проверить возможный дубль",IF(TODAY()-E73&gt;30,"Проверить: старше 30 дней",IF(COUNTIFS(#REF!,G73,#REF!,"Готово")=0,"Проверить источник","Готово"))))))))))</f>
        <v/>
      </c>
    </row>
    <row r="74" spans="1:21" ht="25.5" customHeight="1">
      <c r="A74" s="21"/>
      <c r="B74" s="22"/>
      <c r="C74" s="21"/>
      <c r="D74" s="23"/>
      <c r="E74" s="22"/>
      <c r="F74" s="22"/>
      <c r="G74" s="23"/>
      <c r="H74" s="24"/>
      <c r="I74" s="24"/>
      <c r="J74" s="23"/>
      <c r="K74" s="23"/>
      <c r="L74" s="23"/>
      <c r="M74" s="23"/>
      <c r="N74" s="23"/>
      <c r="O74" s="23"/>
      <c r="P74" s="23"/>
      <c r="Q74" s="25"/>
      <c r="R74" s="23"/>
      <c r="S74" s="23"/>
      <c r="T74" s="23"/>
      <c r="U74" s="20" t="str">
        <f ca="1">IF(COUNTA(A74:T74)=0,"",IF(OR(A74="",B74="",C74="",E74="",G74="",H74="",J74="",K74="",L74="",M74=""),"Ошибка: заполните обязательные поля",IF(AND(LEFT(H74,7)&lt;&gt;"http://",LEFT(H74,8)&lt;&gt;"https://"),"Ошибка: некорректная ссылка",IF(COUNTIF($H$6:$H$1005,H74)&gt;1,"Ошибка: дубликат URL",IF(E74&gt;TODAY(),"Ошибка: дата публикации в будущем",IF(S74="Да","Ошибка: подтверждённый дубль",IF(S74="","Проверить: отметьте дубль",IF(S74="Нужно проверить","Проверить возможный дубль",IF(TODAY()-E74&gt;30,"Проверить: старше 30 дней",IF(COUNTIFS(#REF!,G74,#REF!,"Готово")=0,"Проверить источник","Готово"))))))))))</f>
        <v/>
      </c>
    </row>
    <row r="75" spans="1:21" ht="25.5" customHeight="1">
      <c r="A75" s="21"/>
      <c r="B75" s="22"/>
      <c r="C75" s="21"/>
      <c r="D75" s="23"/>
      <c r="E75" s="22"/>
      <c r="F75" s="22"/>
      <c r="G75" s="23"/>
      <c r="H75" s="24"/>
      <c r="I75" s="24"/>
      <c r="J75" s="23"/>
      <c r="K75" s="23"/>
      <c r="L75" s="23"/>
      <c r="M75" s="23"/>
      <c r="N75" s="23"/>
      <c r="O75" s="23"/>
      <c r="P75" s="23"/>
      <c r="Q75" s="25"/>
      <c r="R75" s="23"/>
      <c r="S75" s="23"/>
      <c r="T75" s="23"/>
      <c r="U75" s="20" t="str">
        <f ca="1">IF(COUNTA(A75:T75)=0,"",IF(OR(A75="",B75="",C75="",E75="",G75="",H75="",J75="",K75="",L75="",M75=""),"Ошибка: заполните обязательные поля",IF(AND(LEFT(H75,7)&lt;&gt;"http://",LEFT(H75,8)&lt;&gt;"https://"),"Ошибка: некорректная ссылка",IF(COUNTIF($H$6:$H$1005,H75)&gt;1,"Ошибка: дубликат URL",IF(E75&gt;TODAY(),"Ошибка: дата публикации в будущем",IF(S75="Да","Ошибка: подтверждённый дубль",IF(S75="","Проверить: отметьте дубль",IF(S75="Нужно проверить","Проверить возможный дубль",IF(TODAY()-E75&gt;30,"Проверить: старше 30 дней",IF(COUNTIFS(#REF!,G75,#REF!,"Готово")=0,"Проверить источник","Готово"))))))))))</f>
        <v/>
      </c>
    </row>
    <row r="76" spans="1:21" ht="25.5" customHeight="1">
      <c r="A76" s="21"/>
      <c r="B76" s="22"/>
      <c r="C76" s="21"/>
      <c r="D76" s="23"/>
      <c r="E76" s="22"/>
      <c r="F76" s="22"/>
      <c r="G76" s="23"/>
      <c r="H76" s="24"/>
      <c r="I76" s="24"/>
      <c r="J76" s="23"/>
      <c r="K76" s="23"/>
      <c r="L76" s="23"/>
      <c r="M76" s="23"/>
      <c r="N76" s="23"/>
      <c r="O76" s="23"/>
      <c r="P76" s="23"/>
      <c r="Q76" s="25"/>
      <c r="R76" s="23"/>
      <c r="S76" s="23"/>
      <c r="T76" s="23"/>
      <c r="U76" s="20" t="str">
        <f ca="1">IF(COUNTA(A76:T76)=0,"",IF(OR(A76="",B76="",C76="",E76="",G76="",H76="",J76="",K76="",L76="",M76=""),"Ошибка: заполните обязательные поля",IF(AND(LEFT(H76,7)&lt;&gt;"http://",LEFT(H76,8)&lt;&gt;"https://"),"Ошибка: некорректная ссылка",IF(COUNTIF($H$6:$H$1005,H76)&gt;1,"Ошибка: дубликат URL",IF(E76&gt;TODAY(),"Ошибка: дата публикации в будущем",IF(S76="Да","Ошибка: подтверждённый дубль",IF(S76="","Проверить: отметьте дубль",IF(S76="Нужно проверить","Проверить возможный дубль",IF(TODAY()-E76&gt;30,"Проверить: старше 30 дней",IF(COUNTIFS(#REF!,G76,#REF!,"Готово")=0,"Проверить источник","Готово"))))))))))</f>
        <v/>
      </c>
    </row>
    <row r="77" spans="1:21" ht="25.5" customHeight="1">
      <c r="A77" s="21"/>
      <c r="B77" s="22"/>
      <c r="C77" s="21"/>
      <c r="D77" s="23"/>
      <c r="E77" s="22"/>
      <c r="F77" s="22"/>
      <c r="G77" s="23"/>
      <c r="H77" s="24"/>
      <c r="I77" s="24"/>
      <c r="J77" s="23"/>
      <c r="K77" s="23"/>
      <c r="L77" s="23"/>
      <c r="M77" s="23"/>
      <c r="N77" s="23"/>
      <c r="O77" s="23"/>
      <c r="P77" s="23"/>
      <c r="Q77" s="25"/>
      <c r="R77" s="23"/>
      <c r="S77" s="23"/>
      <c r="T77" s="23"/>
      <c r="U77" s="20" t="str">
        <f ca="1">IF(COUNTA(A77:T77)=0,"",IF(OR(A77="",B77="",C77="",E77="",G77="",H77="",J77="",K77="",L77="",M77=""),"Ошибка: заполните обязательные поля",IF(AND(LEFT(H77,7)&lt;&gt;"http://",LEFT(H77,8)&lt;&gt;"https://"),"Ошибка: некорректная ссылка",IF(COUNTIF($H$6:$H$1005,H77)&gt;1,"Ошибка: дубликат URL",IF(E77&gt;TODAY(),"Ошибка: дата публикации в будущем",IF(S77="Да","Ошибка: подтверждённый дубль",IF(S77="","Проверить: отметьте дубль",IF(S77="Нужно проверить","Проверить возможный дубль",IF(TODAY()-E77&gt;30,"Проверить: старше 30 дней",IF(COUNTIFS(#REF!,G77,#REF!,"Готово")=0,"Проверить источник","Готово"))))))))))</f>
        <v/>
      </c>
    </row>
    <row r="78" spans="1:21" ht="25.5" customHeight="1">
      <c r="A78" s="21"/>
      <c r="B78" s="22"/>
      <c r="C78" s="21"/>
      <c r="D78" s="23"/>
      <c r="E78" s="22"/>
      <c r="F78" s="22"/>
      <c r="G78" s="23"/>
      <c r="H78" s="24"/>
      <c r="I78" s="24"/>
      <c r="J78" s="23"/>
      <c r="K78" s="23"/>
      <c r="L78" s="23"/>
      <c r="M78" s="23"/>
      <c r="N78" s="23"/>
      <c r="O78" s="23"/>
      <c r="P78" s="23"/>
      <c r="Q78" s="25"/>
      <c r="R78" s="23"/>
      <c r="S78" s="23"/>
      <c r="T78" s="23"/>
      <c r="U78" s="20" t="str">
        <f ca="1">IF(COUNTA(A78:T78)=0,"",IF(OR(A78="",B78="",C78="",E78="",G78="",H78="",J78="",K78="",L78="",M78=""),"Ошибка: заполните обязательные поля",IF(AND(LEFT(H78,7)&lt;&gt;"http://",LEFT(H78,8)&lt;&gt;"https://"),"Ошибка: некорректная ссылка",IF(COUNTIF($H$6:$H$1005,H78)&gt;1,"Ошибка: дубликат URL",IF(E78&gt;TODAY(),"Ошибка: дата публикации в будущем",IF(S78="Да","Ошибка: подтверждённый дубль",IF(S78="","Проверить: отметьте дубль",IF(S78="Нужно проверить","Проверить возможный дубль",IF(TODAY()-E78&gt;30,"Проверить: старше 30 дней",IF(COUNTIFS(#REF!,G78,#REF!,"Готово")=0,"Проверить источник","Готово"))))))))))</f>
        <v/>
      </c>
    </row>
    <row r="79" spans="1:21" ht="25.5" customHeight="1">
      <c r="A79" s="21"/>
      <c r="B79" s="22"/>
      <c r="C79" s="21"/>
      <c r="D79" s="23"/>
      <c r="E79" s="22"/>
      <c r="F79" s="22"/>
      <c r="G79" s="23"/>
      <c r="H79" s="24"/>
      <c r="I79" s="24"/>
      <c r="J79" s="23"/>
      <c r="K79" s="23"/>
      <c r="L79" s="23"/>
      <c r="M79" s="23"/>
      <c r="N79" s="23"/>
      <c r="O79" s="23"/>
      <c r="P79" s="23"/>
      <c r="Q79" s="25"/>
      <c r="R79" s="23"/>
      <c r="S79" s="23"/>
      <c r="T79" s="23"/>
      <c r="U79" s="20" t="str">
        <f ca="1">IF(COUNTA(A79:T79)=0,"",IF(OR(A79="",B79="",C79="",E79="",G79="",H79="",J79="",K79="",L79="",M79=""),"Ошибка: заполните обязательные поля",IF(AND(LEFT(H79,7)&lt;&gt;"http://",LEFT(H79,8)&lt;&gt;"https://"),"Ошибка: некорректная ссылка",IF(COUNTIF($H$6:$H$1005,H79)&gt;1,"Ошибка: дубликат URL",IF(E79&gt;TODAY(),"Ошибка: дата публикации в будущем",IF(S79="Да","Ошибка: подтверждённый дубль",IF(S79="","Проверить: отметьте дубль",IF(S79="Нужно проверить","Проверить возможный дубль",IF(TODAY()-E79&gt;30,"Проверить: старше 30 дней",IF(COUNTIFS(#REF!,G79,#REF!,"Готово")=0,"Проверить источник","Готово"))))))))))</f>
        <v/>
      </c>
    </row>
    <row r="80" spans="1:21" ht="25.5" customHeight="1">
      <c r="A80" s="21"/>
      <c r="B80" s="22"/>
      <c r="C80" s="21"/>
      <c r="D80" s="23"/>
      <c r="E80" s="22"/>
      <c r="F80" s="22"/>
      <c r="G80" s="23"/>
      <c r="H80" s="24"/>
      <c r="I80" s="24"/>
      <c r="J80" s="23"/>
      <c r="K80" s="23"/>
      <c r="L80" s="23"/>
      <c r="M80" s="23"/>
      <c r="N80" s="23"/>
      <c r="O80" s="23"/>
      <c r="P80" s="23"/>
      <c r="Q80" s="25"/>
      <c r="R80" s="23"/>
      <c r="S80" s="23"/>
      <c r="T80" s="23"/>
      <c r="U80" s="20" t="str">
        <f ca="1">IF(COUNTA(A80:T80)=0,"",IF(OR(A80="",B80="",C80="",E80="",G80="",H80="",J80="",K80="",L80="",M80=""),"Ошибка: заполните обязательные поля",IF(AND(LEFT(H80,7)&lt;&gt;"http://",LEFT(H80,8)&lt;&gt;"https://"),"Ошибка: некорректная ссылка",IF(COUNTIF($H$6:$H$1005,H80)&gt;1,"Ошибка: дубликат URL",IF(E80&gt;TODAY(),"Ошибка: дата публикации в будущем",IF(S80="Да","Ошибка: подтверждённый дубль",IF(S80="","Проверить: отметьте дубль",IF(S80="Нужно проверить","Проверить возможный дубль",IF(TODAY()-E80&gt;30,"Проверить: старше 30 дней",IF(COUNTIFS(#REF!,G80,#REF!,"Готово")=0,"Проверить источник","Готово"))))))))))</f>
        <v/>
      </c>
    </row>
    <row r="81" spans="1:21" ht="25.5" customHeight="1">
      <c r="A81" s="21"/>
      <c r="B81" s="22"/>
      <c r="C81" s="21"/>
      <c r="D81" s="23"/>
      <c r="E81" s="22"/>
      <c r="F81" s="22"/>
      <c r="G81" s="23"/>
      <c r="H81" s="24"/>
      <c r="I81" s="24"/>
      <c r="J81" s="23"/>
      <c r="K81" s="23"/>
      <c r="L81" s="23"/>
      <c r="M81" s="23"/>
      <c r="N81" s="23"/>
      <c r="O81" s="23"/>
      <c r="P81" s="23"/>
      <c r="Q81" s="25"/>
      <c r="R81" s="23"/>
      <c r="S81" s="23"/>
      <c r="T81" s="23"/>
      <c r="U81" s="20" t="str">
        <f ca="1">IF(COUNTA(A81:T81)=0,"",IF(OR(A81="",B81="",C81="",E81="",G81="",H81="",J81="",K81="",L81="",M81=""),"Ошибка: заполните обязательные поля",IF(AND(LEFT(H81,7)&lt;&gt;"http://",LEFT(H81,8)&lt;&gt;"https://"),"Ошибка: некорректная ссылка",IF(COUNTIF($H$6:$H$1005,H81)&gt;1,"Ошибка: дубликат URL",IF(E81&gt;TODAY(),"Ошибка: дата публикации в будущем",IF(S81="Да","Ошибка: подтверждённый дубль",IF(S81="","Проверить: отметьте дубль",IF(S81="Нужно проверить","Проверить возможный дубль",IF(TODAY()-E81&gt;30,"Проверить: старше 30 дней",IF(COUNTIFS(#REF!,G81,#REF!,"Готово")=0,"Проверить источник","Готово"))))))))))</f>
        <v/>
      </c>
    </row>
    <row r="82" spans="1:21" ht="25.5" customHeight="1">
      <c r="A82" s="21"/>
      <c r="B82" s="22"/>
      <c r="C82" s="21"/>
      <c r="D82" s="23"/>
      <c r="E82" s="22"/>
      <c r="F82" s="22"/>
      <c r="G82" s="23"/>
      <c r="H82" s="24"/>
      <c r="I82" s="24"/>
      <c r="J82" s="23"/>
      <c r="K82" s="23"/>
      <c r="L82" s="23"/>
      <c r="M82" s="23"/>
      <c r="N82" s="23"/>
      <c r="O82" s="23"/>
      <c r="P82" s="23"/>
      <c r="Q82" s="25"/>
      <c r="R82" s="23"/>
      <c r="S82" s="23"/>
      <c r="T82" s="23"/>
      <c r="U82" s="20" t="str">
        <f ca="1">IF(COUNTA(A82:T82)=0,"",IF(OR(A82="",B82="",C82="",E82="",G82="",H82="",J82="",K82="",L82="",M82=""),"Ошибка: заполните обязательные поля",IF(AND(LEFT(H82,7)&lt;&gt;"http://",LEFT(H82,8)&lt;&gt;"https://"),"Ошибка: некорректная ссылка",IF(COUNTIF($H$6:$H$1005,H82)&gt;1,"Ошибка: дубликат URL",IF(E82&gt;TODAY(),"Ошибка: дата публикации в будущем",IF(S82="Да","Ошибка: подтверждённый дубль",IF(S82="","Проверить: отметьте дубль",IF(S82="Нужно проверить","Проверить возможный дубль",IF(TODAY()-E82&gt;30,"Проверить: старше 30 дней",IF(COUNTIFS(#REF!,G82,#REF!,"Готово")=0,"Проверить источник","Готово"))))))))))</f>
        <v/>
      </c>
    </row>
    <row r="83" spans="1:21" ht="25.5" customHeight="1">
      <c r="A83" s="21"/>
      <c r="B83" s="22"/>
      <c r="C83" s="21"/>
      <c r="D83" s="23"/>
      <c r="E83" s="22"/>
      <c r="F83" s="22"/>
      <c r="G83" s="23"/>
      <c r="H83" s="24"/>
      <c r="I83" s="24"/>
      <c r="J83" s="23"/>
      <c r="K83" s="23"/>
      <c r="L83" s="23"/>
      <c r="M83" s="23"/>
      <c r="N83" s="23"/>
      <c r="O83" s="23"/>
      <c r="P83" s="23"/>
      <c r="Q83" s="25"/>
      <c r="R83" s="23"/>
      <c r="S83" s="23"/>
      <c r="T83" s="23"/>
      <c r="U83" s="20" t="str">
        <f ca="1">IF(COUNTA(A83:T83)=0,"",IF(OR(A83="",B83="",C83="",E83="",G83="",H83="",J83="",K83="",L83="",M83=""),"Ошибка: заполните обязательные поля",IF(AND(LEFT(H83,7)&lt;&gt;"http://",LEFT(H83,8)&lt;&gt;"https://"),"Ошибка: некорректная ссылка",IF(COUNTIF($H$6:$H$1005,H83)&gt;1,"Ошибка: дубликат URL",IF(E83&gt;TODAY(),"Ошибка: дата публикации в будущем",IF(S83="Да","Ошибка: подтверждённый дубль",IF(S83="","Проверить: отметьте дубль",IF(S83="Нужно проверить","Проверить возможный дубль",IF(TODAY()-E83&gt;30,"Проверить: старше 30 дней",IF(COUNTIFS(#REF!,G83,#REF!,"Готово")=0,"Проверить источник","Готово"))))))))))</f>
        <v/>
      </c>
    </row>
    <row r="84" spans="1:21" ht="25.5" customHeight="1">
      <c r="A84" s="21"/>
      <c r="B84" s="22"/>
      <c r="C84" s="21"/>
      <c r="D84" s="23"/>
      <c r="E84" s="22"/>
      <c r="F84" s="22"/>
      <c r="G84" s="23"/>
      <c r="H84" s="24"/>
      <c r="I84" s="24"/>
      <c r="J84" s="23"/>
      <c r="K84" s="23"/>
      <c r="L84" s="23"/>
      <c r="M84" s="23"/>
      <c r="N84" s="23"/>
      <c r="O84" s="23"/>
      <c r="P84" s="23"/>
      <c r="Q84" s="25"/>
      <c r="R84" s="23"/>
      <c r="S84" s="23"/>
      <c r="T84" s="23"/>
      <c r="U84" s="20" t="str">
        <f ca="1">IF(COUNTA(A84:T84)=0,"",IF(OR(A84="",B84="",C84="",E84="",G84="",H84="",J84="",K84="",L84="",M84=""),"Ошибка: заполните обязательные поля",IF(AND(LEFT(H84,7)&lt;&gt;"http://",LEFT(H84,8)&lt;&gt;"https://"),"Ошибка: некорректная ссылка",IF(COUNTIF($H$6:$H$1005,H84)&gt;1,"Ошибка: дубликат URL",IF(E84&gt;TODAY(),"Ошибка: дата публикации в будущем",IF(S84="Да","Ошибка: подтверждённый дубль",IF(S84="","Проверить: отметьте дубль",IF(S84="Нужно проверить","Проверить возможный дубль",IF(TODAY()-E84&gt;30,"Проверить: старше 30 дней",IF(COUNTIFS(#REF!,G84,#REF!,"Готово")=0,"Проверить источник","Готово"))))))))))</f>
        <v/>
      </c>
    </row>
    <row r="85" spans="1:21" ht="25.5" customHeight="1">
      <c r="A85" s="21"/>
      <c r="B85" s="22"/>
      <c r="C85" s="21"/>
      <c r="D85" s="23"/>
      <c r="E85" s="22"/>
      <c r="F85" s="22"/>
      <c r="G85" s="23"/>
      <c r="H85" s="24"/>
      <c r="I85" s="24"/>
      <c r="J85" s="23"/>
      <c r="K85" s="23"/>
      <c r="L85" s="23"/>
      <c r="M85" s="23"/>
      <c r="N85" s="23"/>
      <c r="O85" s="23"/>
      <c r="P85" s="23"/>
      <c r="Q85" s="25"/>
      <c r="R85" s="23"/>
      <c r="S85" s="23"/>
      <c r="T85" s="23"/>
      <c r="U85" s="20" t="str">
        <f ca="1">IF(COUNTA(A85:T85)=0,"",IF(OR(A85="",B85="",C85="",E85="",G85="",H85="",J85="",K85="",L85="",M85=""),"Ошибка: заполните обязательные поля",IF(AND(LEFT(H85,7)&lt;&gt;"http://",LEFT(H85,8)&lt;&gt;"https://"),"Ошибка: некорректная ссылка",IF(COUNTIF($H$6:$H$1005,H85)&gt;1,"Ошибка: дубликат URL",IF(E85&gt;TODAY(),"Ошибка: дата публикации в будущем",IF(S85="Да","Ошибка: подтверждённый дубль",IF(S85="","Проверить: отметьте дубль",IF(S85="Нужно проверить","Проверить возможный дубль",IF(TODAY()-E85&gt;30,"Проверить: старше 30 дней",IF(COUNTIFS(#REF!,G85,#REF!,"Готово")=0,"Проверить источник","Готово"))))))))))</f>
        <v/>
      </c>
    </row>
    <row r="86" spans="1:21" ht="25.5" customHeight="1">
      <c r="A86" s="21"/>
      <c r="B86" s="22"/>
      <c r="C86" s="21"/>
      <c r="D86" s="23"/>
      <c r="E86" s="22"/>
      <c r="F86" s="22"/>
      <c r="G86" s="23"/>
      <c r="H86" s="24"/>
      <c r="I86" s="24"/>
      <c r="J86" s="23"/>
      <c r="K86" s="23"/>
      <c r="L86" s="23"/>
      <c r="M86" s="23"/>
      <c r="N86" s="23"/>
      <c r="O86" s="23"/>
      <c r="P86" s="23"/>
      <c r="Q86" s="25"/>
      <c r="R86" s="23"/>
      <c r="S86" s="23"/>
      <c r="T86" s="23"/>
      <c r="U86" s="20" t="str">
        <f ca="1">IF(COUNTA(A86:T86)=0,"",IF(OR(A86="",B86="",C86="",E86="",G86="",H86="",J86="",K86="",L86="",M86=""),"Ошибка: заполните обязательные поля",IF(AND(LEFT(H86,7)&lt;&gt;"http://",LEFT(H86,8)&lt;&gt;"https://"),"Ошибка: некорректная ссылка",IF(COUNTIF($H$6:$H$1005,H86)&gt;1,"Ошибка: дубликат URL",IF(E86&gt;TODAY(),"Ошибка: дата публикации в будущем",IF(S86="Да","Ошибка: подтверждённый дубль",IF(S86="","Проверить: отметьте дубль",IF(S86="Нужно проверить","Проверить возможный дубль",IF(TODAY()-E86&gt;30,"Проверить: старше 30 дней",IF(COUNTIFS(#REF!,G86,#REF!,"Готово")=0,"Проверить источник","Готово"))))))))))</f>
        <v/>
      </c>
    </row>
    <row r="87" spans="1:21" ht="25.5" customHeight="1">
      <c r="A87" s="21"/>
      <c r="B87" s="22"/>
      <c r="C87" s="21"/>
      <c r="D87" s="23"/>
      <c r="E87" s="22"/>
      <c r="F87" s="22"/>
      <c r="G87" s="23"/>
      <c r="H87" s="24"/>
      <c r="I87" s="24"/>
      <c r="J87" s="23"/>
      <c r="K87" s="23"/>
      <c r="L87" s="23"/>
      <c r="M87" s="23"/>
      <c r="N87" s="23"/>
      <c r="O87" s="23"/>
      <c r="P87" s="23"/>
      <c r="Q87" s="25"/>
      <c r="R87" s="23"/>
      <c r="S87" s="23"/>
      <c r="T87" s="23"/>
      <c r="U87" s="20" t="str">
        <f ca="1">IF(COUNTA(A87:T87)=0,"",IF(OR(A87="",B87="",C87="",E87="",G87="",H87="",J87="",K87="",L87="",M87=""),"Ошибка: заполните обязательные поля",IF(AND(LEFT(H87,7)&lt;&gt;"http://",LEFT(H87,8)&lt;&gt;"https://"),"Ошибка: некорректная ссылка",IF(COUNTIF($H$6:$H$1005,H87)&gt;1,"Ошибка: дубликат URL",IF(E87&gt;TODAY(),"Ошибка: дата публикации в будущем",IF(S87="Да","Ошибка: подтверждённый дубль",IF(S87="","Проверить: отметьте дубль",IF(S87="Нужно проверить","Проверить возможный дубль",IF(TODAY()-E87&gt;30,"Проверить: старше 30 дней",IF(COUNTIFS(#REF!,G87,#REF!,"Готово")=0,"Проверить источник","Готово"))))))))))</f>
        <v/>
      </c>
    </row>
    <row r="88" spans="1:21" ht="25.5" customHeight="1">
      <c r="A88" s="21"/>
      <c r="B88" s="22"/>
      <c r="C88" s="21"/>
      <c r="D88" s="23"/>
      <c r="E88" s="22"/>
      <c r="F88" s="22"/>
      <c r="G88" s="23"/>
      <c r="H88" s="24"/>
      <c r="I88" s="24"/>
      <c r="J88" s="23"/>
      <c r="K88" s="23"/>
      <c r="L88" s="23"/>
      <c r="M88" s="23"/>
      <c r="N88" s="23"/>
      <c r="O88" s="23"/>
      <c r="P88" s="23"/>
      <c r="Q88" s="25"/>
      <c r="R88" s="23"/>
      <c r="S88" s="23"/>
      <c r="T88" s="23"/>
      <c r="U88" s="20" t="str">
        <f ca="1">IF(COUNTA(A88:T88)=0,"",IF(OR(A88="",B88="",C88="",E88="",G88="",H88="",J88="",K88="",L88="",M88=""),"Ошибка: заполните обязательные поля",IF(AND(LEFT(H88,7)&lt;&gt;"http://",LEFT(H88,8)&lt;&gt;"https://"),"Ошибка: некорректная ссылка",IF(COUNTIF($H$6:$H$1005,H88)&gt;1,"Ошибка: дубликат URL",IF(E88&gt;TODAY(),"Ошибка: дата публикации в будущем",IF(S88="Да","Ошибка: подтверждённый дубль",IF(S88="","Проверить: отметьте дубль",IF(S88="Нужно проверить","Проверить возможный дубль",IF(TODAY()-E88&gt;30,"Проверить: старше 30 дней",IF(COUNTIFS(#REF!,G88,#REF!,"Готово")=0,"Проверить источник","Готово"))))))))))</f>
        <v/>
      </c>
    </row>
    <row r="89" spans="1:21" ht="25.5" customHeight="1">
      <c r="A89" s="21"/>
      <c r="B89" s="22"/>
      <c r="C89" s="21"/>
      <c r="D89" s="23"/>
      <c r="E89" s="22"/>
      <c r="F89" s="22"/>
      <c r="G89" s="23"/>
      <c r="H89" s="24"/>
      <c r="I89" s="24"/>
      <c r="J89" s="23"/>
      <c r="K89" s="23"/>
      <c r="L89" s="23"/>
      <c r="M89" s="23"/>
      <c r="N89" s="23"/>
      <c r="O89" s="23"/>
      <c r="P89" s="23"/>
      <c r="Q89" s="25"/>
      <c r="R89" s="23"/>
      <c r="S89" s="23"/>
      <c r="T89" s="23"/>
      <c r="U89" s="20" t="str">
        <f ca="1">IF(COUNTA(A89:T89)=0,"",IF(OR(A89="",B89="",C89="",E89="",G89="",H89="",J89="",K89="",L89="",M89=""),"Ошибка: заполните обязательные поля",IF(AND(LEFT(H89,7)&lt;&gt;"http://",LEFT(H89,8)&lt;&gt;"https://"),"Ошибка: некорректная ссылка",IF(COUNTIF($H$6:$H$1005,H89)&gt;1,"Ошибка: дубликат URL",IF(E89&gt;TODAY(),"Ошибка: дата публикации в будущем",IF(S89="Да","Ошибка: подтверждённый дубль",IF(S89="","Проверить: отметьте дубль",IF(S89="Нужно проверить","Проверить возможный дубль",IF(TODAY()-E89&gt;30,"Проверить: старше 30 дней",IF(COUNTIFS(#REF!,G89,#REF!,"Готово")=0,"Проверить источник","Готово"))))))))))</f>
        <v/>
      </c>
    </row>
    <row r="90" spans="1:21" ht="25.5" customHeight="1">
      <c r="A90" s="21"/>
      <c r="B90" s="22"/>
      <c r="C90" s="21"/>
      <c r="D90" s="23"/>
      <c r="E90" s="22"/>
      <c r="F90" s="22"/>
      <c r="G90" s="23"/>
      <c r="H90" s="24"/>
      <c r="I90" s="24"/>
      <c r="J90" s="23"/>
      <c r="K90" s="23"/>
      <c r="L90" s="23"/>
      <c r="M90" s="23"/>
      <c r="N90" s="23"/>
      <c r="O90" s="23"/>
      <c r="P90" s="23"/>
      <c r="Q90" s="25"/>
      <c r="R90" s="23"/>
      <c r="S90" s="23"/>
      <c r="T90" s="23"/>
      <c r="U90" s="20" t="str">
        <f ca="1">IF(COUNTA(A90:T90)=0,"",IF(OR(A90="",B90="",C90="",E90="",G90="",H90="",J90="",K90="",L90="",M90=""),"Ошибка: заполните обязательные поля",IF(AND(LEFT(H90,7)&lt;&gt;"http://",LEFT(H90,8)&lt;&gt;"https://"),"Ошибка: некорректная ссылка",IF(COUNTIF($H$6:$H$1005,H90)&gt;1,"Ошибка: дубликат URL",IF(E90&gt;TODAY(),"Ошибка: дата публикации в будущем",IF(S90="Да","Ошибка: подтверждённый дубль",IF(S90="","Проверить: отметьте дубль",IF(S90="Нужно проверить","Проверить возможный дубль",IF(TODAY()-E90&gt;30,"Проверить: старше 30 дней",IF(COUNTIFS(#REF!,G90,#REF!,"Готово")=0,"Проверить источник","Готово"))))))))))</f>
        <v/>
      </c>
    </row>
    <row r="91" spans="1:21" ht="25.5" customHeight="1">
      <c r="A91" s="21"/>
      <c r="B91" s="22"/>
      <c r="C91" s="21"/>
      <c r="D91" s="23"/>
      <c r="E91" s="22"/>
      <c r="F91" s="22"/>
      <c r="G91" s="23"/>
      <c r="H91" s="24"/>
      <c r="I91" s="24"/>
      <c r="J91" s="23"/>
      <c r="K91" s="23"/>
      <c r="L91" s="23"/>
      <c r="M91" s="23"/>
      <c r="N91" s="23"/>
      <c r="O91" s="23"/>
      <c r="P91" s="23"/>
      <c r="Q91" s="25"/>
      <c r="R91" s="23"/>
      <c r="S91" s="23"/>
      <c r="T91" s="23"/>
      <c r="U91" s="20" t="str">
        <f ca="1">IF(COUNTA(A91:T91)=0,"",IF(OR(A91="",B91="",C91="",E91="",G91="",H91="",J91="",K91="",L91="",M91=""),"Ошибка: заполните обязательные поля",IF(AND(LEFT(H91,7)&lt;&gt;"http://",LEFT(H91,8)&lt;&gt;"https://"),"Ошибка: некорректная ссылка",IF(COUNTIF($H$6:$H$1005,H91)&gt;1,"Ошибка: дубликат URL",IF(E91&gt;TODAY(),"Ошибка: дата публикации в будущем",IF(S91="Да","Ошибка: подтверждённый дубль",IF(S91="","Проверить: отметьте дубль",IF(S91="Нужно проверить","Проверить возможный дубль",IF(TODAY()-E91&gt;30,"Проверить: старше 30 дней",IF(COUNTIFS(#REF!,G91,#REF!,"Готово")=0,"Проверить источник","Готово"))))))))))</f>
        <v/>
      </c>
    </row>
    <row r="92" spans="1:21" ht="25.5" customHeight="1">
      <c r="A92" s="21"/>
      <c r="B92" s="22"/>
      <c r="C92" s="21"/>
      <c r="D92" s="23"/>
      <c r="E92" s="22"/>
      <c r="F92" s="22"/>
      <c r="G92" s="23"/>
      <c r="H92" s="24"/>
      <c r="I92" s="24"/>
      <c r="J92" s="23"/>
      <c r="K92" s="23"/>
      <c r="L92" s="23"/>
      <c r="M92" s="23"/>
      <c r="N92" s="23"/>
      <c r="O92" s="23"/>
      <c r="P92" s="23"/>
      <c r="Q92" s="25"/>
      <c r="R92" s="23"/>
      <c r="S92" s="23"/>
      <c r="T92" s="23"/>
      <c r="U92" s="20" t="str">
        <f ca="1">IF(COUNTA(A92:T92)=0,"",IF(OR(A92="",B92="",C92="",E92="",G92="",H92="",J92="",K92="",L92="",M92=""),"Ошибка: заполните обязательные поля",IF(AND(LEFT(H92,7)&lt;&gt;"http://",LEFT(H92,8)&lt;&gt;"https://"),"Ошибка: некорректная ссылка",IF(COUNTIF($H$6:$H$1005,H92)&gt;1,"Ошибка: дубликат URL",IF(E92&gt;TODAY(),"Ошибка: дата публикации в будущем",IF(S92="Да","Ошибка: подтверждённый дубль",IF(S92="","Проверить: отметьте дубль",IF(S92="Нужно проверить","Проверить возможный дубль",IF(TODAY()-E92&gt;30,"Проверить: старше 30 дней",IF(COUNTIFS(#REF!,G92,#REF!,"Готово")=0,"Проверить источник","Готово"))))))))))</f>
        <v/>
      </c>
    </row>
    <row r="93" spans="1:21" ht="25.5" customHeight="1">
      <c r="A93" s="21"/>
      <c r="B93" s="22"/>
      <c r="C93" s="21"/>
      <c r="D93" s="23"/>
      <c r="E93" s="22"/>
      <c r="F93" s="22"/>
      <c r="G93" s="23"/>
      <c r="H93" s="24"/>
      <c r="I93" s="24"/>
      <c r="J93" s="23"/>
      <c r="K93" s="23"/>
      <c r="L93" s="23"/>
      <c r="M93" s="23"/>
      <c r="N93" s="23"/>
      <c r="O93" s="23"/>
      <c r="P93" s="23"/>
      <c r="Q93" s="25"/>
      <c r="R93" s="23"/>
      <c r="S93" s="23"/>
      <c r="T93" s="23"/>
      <c r="U93" s="20" t="str">
        <f ca="1">IF(COUNTA(A93:T93)=0,"",IF(OR(A93="",B93="",C93="",E93="",G93="",H93="",J93="",K93="",L93="",M93=""),"Ошибка: заполните обязательные поля",IF(AND(LEFT(H93,7)&lt;&gt;"http://",LEFT(H93,8)&lt;&gt;"https://"),"Ошибка: некорректная ссылка",IF(COUNTIF($H$6:$H$1005,H93)&gt;1,"Ошибка: дубликат URL",IF(E93&gt;TODAY(),"Ошибка: дата публикации в будущем",IF(S93="Да","Ошибка: подтверждённый дубль",IF(S93="","Проверить: отметьте дубль",IF(S93="Нужно проверить","Проверить возможный дубль",IF(TODAY()-E93&gt;30,"Проверить: старше 30 дней",IF(COUNTIFS(#REF!,G93,#REF!,"Готово")=0,"Проверить источник","Готово"))))))))))</f>
        <v/>
      </c>
    </row>
    <row r="94" spans="1:21" ht="25.5" customHeight="1">
      <c r="A94" s="21"/>
      <c r="B94" s="22"/>
      <c r="C94" s="21"/>
      <c r="D94" s="23"/>
      <c r="E94" s="22"/>
      <c r="F94" s="22"/>
      <c r="G94" s="23"/>
      <c r="H94" s="24"/>
      <c r="I94" s="24"/>
      <c r="J94" s="23"/>
      <c r="K94" s="23"/>
      <c r="L94" s="23"/>
      <c r="M94" s="23"/>
      <c r="N94" s="23"/>
      <c r="O94" s="23"/>
      <c r="P94" s="23"/>
      <c r="Q94" s="25"/>
      <c r="R94" s="23"/>
      <c r="S94" s="23"/>
      <c r="T94" s="23"/>
      <c r="U94" s="20" t="str">
        <f ca="1">IF(COUNTA(A94:T94)=0,"",IF(OR(A94="",B94="",C94="",E94="",G94="",H94="",J94="",K94="",L94="",M94=""),"Ошибка: заполните обязательные поля",IF(AND(LEFT(H94,7)&lt;&gt;"http://",LEFT(H94,8)&lt;&gt;"https://"),"Ошибка: некорректная ссылка",IF(COUNTIF($H$6:$H$1005,H94)&gt;1,"Ошибка: дубликат URL",IF(E94&gt;TODAY(),"Ошибка: дата публикации в будущем",IF(S94="Да","Ошибка: подтверждённый дубль",IF(S94="","Проверить: отметьте дубль",IF(S94="Нужно проверить","Проверить возможный дубль",IF(TODAY()-E94&gt;30,"Проверить: старше 30 дней",IF(COUNTIFS(#REF!,G94,#REF!,"Готово")=0,"Проверить источник","Готово"))))))))))</f>
        <v/>
      </c>
    </row>
    <row r="95" spans="1:21" ht="25.5" customHeight="1">
      <c r="A95" s="21"/>
      <c r="B95" s="22"/>
      <c r="C95" s="21"/>
      <c r="D95" s="23"/>
      <c r="E95" s="22"/>
      <c r="F95" s="22"/>
      <c r="G95" s="23"/>
      <c r="H95" s="24"/>
      <c r="I95" s="24"/>
      <c r="J95" s="23"/>
      <c r="K95" s="23"/>
      <c r="L95" s="23"/>
      <c r="M95" s="23"/>
      <c r="N95" s="23"/>
      <c r="O95" s="23"/>
      <c r="P95" s="23"/>
      <c r="Q95" s="25"/>
      <c r="R95" s="23"/>
      <c r="S95" s="23"/>
      <c r="T95" s="23"/>
      <c r="U95" s="20" t="str">
        <f ca="1">IF(COUNTA(A95:T95)=0,"",IF(OR(A95="",B95="",C95="",E95="",G95="",H95="",J95="",K95="",L95="",M95=""),"Ошибка: заполните обязательные поля",IF(AND(LEFT(H95,7)&lt;&gt;"http://",LEFT(H95,8)&lt;&gt;"https://"),"Ошибка: некорректная ссылка",IF(COUNTIF($H$6:$H$1005,H95)&gt;1,"Ошибка: дубликат URL",IF(E95&gt;TODAY(),"Ошибка: дата публикации в будущем",IF(S95="Да","Ошибка: подтверждённый дубль",IF(S95="","Проверить: отметьте дубль",IF(S95="Нужно проверить","Проверить возможный дубль",IF(TODAY()-E95&gt;30,"Проверить: старше 30 дней",IF(COUNTIFS(#REF!,G95,#REF!,"Готово")=0,"Проверить источник","Готово"))))))))))</f>
        <v/>
      </c>
    </row>
    <row r="96" spans="1:21" ht="25.5" customHeight="1">
      <c r="A96" s="21"/>
      <c r="B96" s="22"/>
      <c r="C96" s="21"/>
      <c r="D96" s="23"/>
      <c r="E96" s="22"/>
      <c r="F96" s="22"/>
      <c r="G96" s="23"/>
      <c r="H96" s="24"/>
      <c r="I96" s="24"/>
      <c r="J96" s="23"/>
      <c r="K96" s="23"/>
      <c r="L96" s="23"/>
      <c r="M96" s="23"/>
      <c r="N96" s="23"/>
      <c r="O96" s="23"/>
      <c r="P96" s="23"/>
      <c r="Q96" s="25"/>
      <c r="R96" s="23"/>
      <c r="S96" s="23"/>
      <c r="T96" s="23"/>
      <c r="U96" s="20" t="str">
        <f ca="1">IF(COUNTA(A96:T96)=0,"",IF(OR(A96="",B96="",C96="",E96="",G96="",H96="",J96="",K96="",L96="",M96=""),"Ошибка: заполните обязательные поля",IF(AND(LEFT(H96,7)&lt;&gt;"http://",LEFT(H96,8)&lt;&gt;"https://"),"Ошибка: некорректная ссылка",IF(COUNTIF($H$6:$H$1005,H96)&gt;1,"Ошибка: дубликат URL",IF(E96&gt;TODAY(),"Ошибка: дата публикации в будущем",IF(S96="Да","Ошибка: подтверждённый дубль",IF(S96="","Проверить: отметьте дубль",IF(S96="Нужно проверить","Проверить возможный дубль",IF(TODAY()-E96&gt;30,"Проверить: старше 30 дней",IF(COUNTIFS(#REF!,G96,#REF!,"Готово")=0,"Проверить источник","Готово"))))))))))</f>
        <v/>
      </c>
    </row>
    <row r="97" spans="1:21" ht="25.5" customHeight="1">
      <c r="A97" s="21"/>
      <c r="B97" s="22"/>
      <c r="C97" s="21"/>
      <c r="D97" s="23"/>
      <c r="E97" s="22"/>
      <c r="F97" s="22"/>
      <c r="G97" s="23"/>
      <c r="H97" s="24"/>
      <c r="I97" s="24"/>
      <c r="J97" s="23"/>
      <c r="K97" s="23"/>
      <c r="L97" s="23"/>
      <c r="M97" s="23"/>
      <c r="N97" s="23"/>
      <c r="O97" s="23"/>
      <c r="P97" s="23"/>
      <c r="Q97" s="25"/>
      <c r="R97" s="23"/>
      <c r="S97" s="23"/>
      <c r="T97" s="23"/>
      <c r="U97" s="20" t="str">
        <f ca="1">IF(COUNTA(A97:T97)=0,"",IF(OR(A97="",B97="",C97="",E97="",G97="",H97="",J97="",K97="",L97="",M97=""),"Ошибка: заполните обязательные поля",IF(AND(LEFT(H97,7)&lt;&gt;"http://",LEFT(H97,8)&lt;&gt;"https://"),"Ошибка: некорректная ссылка",IF(COUNTIF($H$6:$H$1005,H97)&gt;1,"Ошибка: дубликат URL",IF(E97&gt;TODAY(),"Ошибка: дата публикации в будущем",IF(S97="Да","Ошибка: подтверждённый дубль",IF(S97="","Проверить: отметьте дубль",IF(S97="Нужно проверить","Проверить возможный дубль",IF(TODAY()-E97&gt;30,"Проверить: старше 30 дней",IF(COUNTIFS(#REF!,G97,#REF!,"Готово")=0,"Проверить источник","Готово"))))))))))</f>
        <v/>
      </c>
    </row>
    <row r="98" spans="1:21" ht="25.5" customHeight="1">
      <c r="A98" s="21"/>
      <c r="B98" s="22"/>
      <c r="C98" s="21"/>
      <c r="D98" s="23"/>
      <c r="E98" s="22"/>
      <c r="F98" s="22"/>
      <c r="G98" s="23"/>
      <c r="H98" s="24"/>
      <c r="I98" s="24"/>
      <c r="J98" s="23"/>
      <c r="K98" s="23"/>
      <c r="L98" s="23"/>
      <c r="M98" s="23"/>
      <c r="N98" s="23"/>
      <c r="O98" s="23"/>
      <c r="P98" s="23"/>
      <c r="Q98" s="25"/>
      <c r="R98" s="23"/>
      <c r="S98" s="23"/>
      <c r="T98" s="23"/>
      <c r="U98" s="20" t="str">
        <f ca="1">IF(COUNTA(A98:T98)=0,"",IF(OR(A98="",B98="",C98="",E98="",G98="",H98="",J98="",K98="",L98="",M98=""),"Ошибка: заполните обязательные поля",IF(AND(LEFT(H98,7)&lt;&gt;"http://",LEFT(H98,8)&lt;&gt;"https://"),"Ошибка: некорректная ссылка",IF(COUNTIF($H$6:$H$1005,H98)&gt;1,"Ошибка: дубликат URL",IF(E98&gt;TODAY(),"Ошибка: дата публикации в будущем",IF(S98="Да","Ошибка: подтверждённый дубль",IF(S98="","Проверить: отметьте дубль",IF(S98="Нужно проверить","Проверить возможный дубль",IF(TODAY()-E98&gt;30,"Проверить: старше 30 дней",IF(COUNTIFS(#REF!,G98,#REF!,"Готово")=0,"Проверить источник","Готово"))))))))))</f>
        <v/>
      </c>
    </row>
    <row r="99" spans="1:21" ht="25.5" customHeight="1">
      <c r="A99" s="21"/>
      <c r="B99" s="22"/>
      <c r="C99" s="21"/>
      <c r="D99" s="23"/>
      <c r="E99" s="22"/>
      <c r="F99" s="22"/>
      <c r="G99" s="23"/>
      <c r="H99" s="24"/>
      <c r="I99" s="24"/>
      <c r="J99" s="23"/>
      <c r="K99" s="23"/>
      <c r="L99" s="23"/>
      <c r="M99" s="23"/>
      <c r="N99" s="23"/>
      <c r="O99" s="23"/>
      <c r="P99" s="23"/>
      <c r="Q99" s="25"/>
      <c r="R99" s="23"/>
      <c r="S99" s="23"/>
      <c r="T99" s="23"/>
      <c r="U99" s="20" t="str">
        <f ca="1">IF(COUNTA(A99:T99)=0,"",IF(OR(A99="",B99="",C99="",E99="",G99="",H99="",J99="",K99="",L99="",M99=""),"Ошибка: заполните обязательные поля",IF(AND(LEFT(H99,7)&lt;&gt;"http://",LEFT(H99,8)&lt;&gt;"https://"),"Ошибка: некорректная ссылка",IF(COUNTIF($H$6:$H$1005,H99)&gt;1,"Ошибка: дубликат URL",IF(E99&gt;TODAY(),"Ошибка: дата публикации в будущем",IF(S99="Да","Ошибка: подтверждённый дубль",IF(S99="","Проверить: отметьте дубль",IF(S99="Нужно проверить","Проверить возможный дубль",IF(TODAY()-E99&gt;30,"Проверить: старше 30 дней",IF(COUNTIFS(#REF!,G99,#REF!,"Готово")=0,"Проверить источник","Готово"))))))))))</f>
        <v/>
      </c>
    </row>
    <row r="100" spans="1:21" ht="25.5" customHeight="1">
      <c r="A100" s="21"/>
      <c r="B100" s="22"/>
      <c r="C100" s="21"/>
      <c r="D100" s="23"/>
      <c r="E100" s="22"/>
      <c r="F100" s="22"/>
      <c r="G100" s="23"/>
      <c r="H100" s="24"/>
      <c r="I100" s="24"/>
      <c r="J100" s="23"/>
      <c r="K100" s="23"/>
      <c r="L100" s="23"/>
      <c r="M100" s="23"/>
      <c r="N100" s="23"/>
      <c r="O100" s="23"/>
      <c r="P100" s="23"/>
      <c r="Q100" s="25"/>
      <c r="R100" s="23"/>
      <c r="S100" s="23"/>
      <c r="T100" s="23"/>
      <c r="U100" s="20" t="str">
        <f ca="1">IF(COUNTA(A100:T100)=0,"",IF(OR(A100="",B100="",C100="",E100="",G100="",H100="",J100="",K100="",L100="",M100=""),"Ошибка: заполните обязательные поля",IF(AND(LEFT(H100,7)&lt;&gt;"http://",LEFT(H100,8)&lt;&gt;"https://"),"Ошибка: некорректная ссылка",IF(COUNTIF($H$6:$H$1005,H100)&gt;1,"Ошибка: дубликат URL",IF(E100&gt;TODAY(),"Ошибка: дата публикации в будущем",IF(S100="Да","Ошибка: подтверждённый дубль",IF(S100="","Проверить: отметьте дубль",IF(S100="Нужно проверить","Проверить возможный дубль",IF(TODAY()-E100&gt;30,"Проверить: старше 30 дней",IF(COUNTIFS(#REF!,G100,#REF!,"Готово")=0,"Проверить источник","Готово"))))))))))</f>
        <v/>
      </c>
    </row>
    <row r="101" spans="1:21" ht="25.5" customHeight="1">
      <c r="A101" s="21"/>
      <c r="B101" s="22"/>
      <c r="C101" s="21"/>
      <c r="D101" s="23"/>
      <c r="E101" s="22"/>
      <c r="F101" s="22"/>
      <c r="G101" s="23"/>
      <c r="H101" s="24"/>
      <c r="I101" s="24"/>
      <c r="J101" s="23"/>
      <c r="K101" s="23"/>
      <c r="L101" s="23"/>
      <c r="M101" s="23"/>
      <c r="N101" s="23"/>
      <c r="O101" s="23"/>
      <c r="P101" s="23"/>
      <c r="Q101" s="25"/>
      <c r="R101" s="23"/>
      <c r="S101" s="23"/>
      <c r="T101" s="23"/>
      <c r="U101" s="20" t="str">
        <f ca="1">IF(COUNTA(A101:T101)=0,"",IF(OR(A101="",B101="",C101="",E101="",G101="",H101="",J101="",K101="",L101="",M101=""),"Ошибка: заполните обязательные поля",IF(AND(LEFT(H101,7)&lt;&gt;"http://",LEFT(H101,8)&lt;&gt;"https://"),"Ошибка: некорректная ссылка",IF(COUNTIF($H$6:$H$1005,H101)&gt;1,"Ошибка: дубликат URL",IF(E101&gt;TODAY(),"Ошибка: дата публикации в будущем",IF(S101="Да","Ошибка: подтверждённый дубль",IF(S101="","Проверить: отметьте дубль",IF(S101="Нужно проверить","Проверить возможный дубль",IF(TODAY()-E101&gt;30,"Проверить: старше 30 дней",IF(COUNTIFS(#REF!,G101,#REF!,"Готово")=0,"Проверить источник","Готово"))))))))))</f>
        <v/>
      </c>
    </row>
    <row r="102" spans="1:21" ht="25.5" customHeight="1">
      <c r="A102" s="21"/>
      <c r="B102" s="22"/>
      <c r="C102" s="21"/>
      <c r="D102" s="23"/>
      <c r="E102" s="22"/>
      <c r="F102" s="22"/>
      <c r="G102" s="23"/>
      <c r="H102" s="24"/>
      <c r="I102" s="24"/>
      <c r="J102" s="23"/>
      <c r="K102" s="23"/>
      <c r="L102" s="23"/>
      <c r="M102" s="23"/>
      <c r="N102" s="23"/>
      <c r="O102" s="23"/>
      <c r="P102" s="23"/>
      <c r="Q102" s="25"/>
      <c r="R102" s="23"/>
      <c r="S102" s="23"/>
      <c r="T102" s="23"/>
      <c r="U102" s="20" t="str">
        <f ca="1">IF(COUNTA(A102:T102)=0,"",IF(OR(A102="",B102="",C102="",E102="",G102="",H102="",J102="",K102="",L102="",M102=""),"Ошибка: заполните обязательные поля",IF(AND(LEFT(H102,7)&lt;&gt;"http://",LEFT(H102,8)&lt;&gt;"https://"),"Ошибка: некорректная ссылка",IF(COUNTIF($H$6:$H$1005,H102)&gt;1,"Ошибка: дубликат URL",IF(E102&gt;TODAY(),"Ошибка: дата публикации в будущем",IF(S102="Да","Ошибка: подтверждённый дубль",IF(S102="","Проверить: отметьте дубль",IF(S102="Нужно проверить","Проверить возможный дубль",IF(TODAY()-E102&gt;30,"Проверить: старше 30 дней",IF(COUNTIFS(#REF!,G102,#REF!,"Готово")=0,"Проверить источник","Готово"))))))))))</f>
        <v/>
      </c>
    </row>
    <row r="103" spans="1:21" ht="25.5" customHeight="1">
      <c r="A103" s="21"/>
      <c r="B103" s="22"/>
      <c r="C103" s="21"/>
      <c r="D103" s="23"/>
      <c r="E103" s="22"/>
      <c r="F103" s="22"/>
      <c r="G103" s="23"/>
      <c r="H103" s="24"/>
      <c r="I103" s="24"/>
      <c r="J103" s="23"/>
      <c r="K103" s="23"/>
      <c r="L103" s="23"/>
      <c r="M103" s="23"/>
      <c r="N103" s="23"/>
      <c r="O103" s="23"/>
      <c r="P103" s="23"/>
      <c r="Q103" s="25"/>
      <c r="R103" s="23"/>
      <c r="S103" s="23"/>
      <c r="T103" s="23"/>
      <c r="U103" s="20" t="str">
        <f ca="1">IF(COUNTA(A103:T103)=0,"",IF(OR(A103="",B103="",C103="",E103="",G103="",H103="",J103="",K103="",L103="",M103=""),"Ошибка: заполните обязательные поля",IF(AND(LEFT(H103,7)&lt;&gt;"http://",LEFT(H103,8)&lt;&gt;"https://"),"Ошибка: некорректная ссылка",IF(COUNTIF($H$6:$H$1005,H103)&gt;1,"Ошибка: дубликат URL",IF(E103&gt;TODAY(),"Ошибка: дата публикации в будущем",IF(S103="Да","Ошибка: подтверждённый дубль",IF(S103="","Проверить: отметьте дубль",IF(S103="Нужно проверить","Проверить возможный дубль",IF(TODAY()-E103&gt;30,"Проверить: старше 30 дней",IF(COUNTIFS(#REF!,G103,#REF!,"Готово")=0,"Проверить источник","Готово"))))))))))</f>
        <v/>
      </c>
    </row>
    <row r="104" spans="1:21" ht="25.5" customHeight="1">
      <c r="A104" s="21"/>
      <c r="B104" s="22"/>
      <c r="C104" s="21"/>
      <c r="D104" s="23"/>
      <c r="E104" s="22"/>
      <c r="F104" s="22"/>
      <c r="G104" s="23"/>
      <c r="H104" s="24"/>
      <c r="I104" s="24"/>
      <c r="J104" s="23"/>
      <c r="K104" s="23"/>
      <c r="L104" s="23"/>
      <c r="M104" s="23"/>
      <c r="N104" s="23"/>
      <c r="O104" s="23"/>
      <c r="P104" s="23"/>
      <c r="Q104" s="25"/>
      <c r="R104" s="23"/>
      <c r="S104" s="23"/>
      <c r="T104" s="23"/>
      <c r="U104" s="20" t="str">
        <f ca="1">IF(COUNTA(A104:T104)=0,"",IF(OR(A104="",B104="",C104="",E104="",G104="",H104="",J104="",K104="",L104="",M104=""),"Ошибка: заполните обязательные поля",IF(AND(LEFT(H104,7)&lt;&gt;"http://",LEFT(H104,8)&lt;&gt;"https://"),"Ошибка: некорректная ссылка",IF(COUNTIF($H$6:$H$1005,H104)&gt;1,"Ошибка: дубликат URL",IF(E104&gt;TODAY(),"Ошибка: дата публикации в будущем",IF(S104="Да","Ошибка: подтверждённый дубль",IF(S104="","Проверить: отметьте дубль",IF(S104="Нужно проверить","Проверить возможный дубль",IF(TODAY()-E104&gt;30,"Проверить: старше 30 дней",IF(COUNTIFS(#REF!,G104,#REF!,"Готово")=0,"Проверить источник","Готово"))))))))))</f>
        <v/>
      </c>
    </row>
    <row r="105" spans="1:21" ht="25.5" customHeight="1">
      <c r="A105" s="21"/>
      <c r="B105" s="22"/>
      <c r="C105" s="21"/>
      <c r="D105" s="23"/>
      <c r="E105" s="22"/>
      <c r="F105" s="22"/>
      <c r="G105" s="23"/>
      <c r="H105" s="24"/>
      <c r="I105" s="24"/>
      <c r="J105" s="23"/>
      <c r="K105" s="23"/>
      <c r="L105" s="23"/>
      <c r="M105" s="23"/>
      <c r="N105" s="23"/>
      <c r="O105" s="23"/>
      <c r="P105" s="23"/>
      <c r="Q105" s="25"/>
      <c r="R105" s="23"/>
      <c r="S105" s="23"/>
      <c r="T105" s="23"/>
      <c r="U105" s="20" t="str">
        <f ca="1">IF(COUNTA(A105:T105)=0,"",IF(OR(A105="",B105="",C105="",E105="",G105="",H105="",J105="",K105="",L105="",M105=""),"Ошибка: заполните обязательные поля",IF(AND(LEFT(H105,7)&lt;&gt;"http://",LEFT(H105,8)&lt;&gt;"https://"),"Ошибка: некорректная ссылка",IF(COUNTIF($H$6:$H$1005,H105)&gt;1,"Ошибка: дубликат URL",IF(E105&gt;TODAY(),"Ошибка: дата публикации в будущем",IF(S105="Да","Ошибка: подтверждённый дубль",IF(S105="","Проверить: отметьте дубль",IF(S105="Нужно проверить","Проверить возможный дубль",IF(TODAY()-E105&gt;30,"Проверить: старше 30 дней",IF(COUNTIFS(#REF!,G105,#REF!,"Готово")=0,"Проверить источник","Готово"))))))))))</f>
        <v/>
      </c>
    </row>
    <row r="106" spans="1:21" ht="25.5" customHeight="1">
      <c r="A106" s="21"/>
      <c r="B106" s="22"/>
      <c r="C106" s="21"/>
      <c r="D106" s="23"/>
      <c r="E106" s="22"/>
      <c r="F106" s="22"/>
      <c r="G106" s="23"/>
      <c r="H106" s="24"/>
      <c r="I106" s="24"/>
      <c r="J106" s="23"/>
      <c r="K106" s="23"/>
      <c r="L106" s="23"/>
      <c r="M106" s="23"/>
      <c r="N106" s="23"/>
      <c r="O106" s="23"/>
      <c r="P106" s="23"/>
      <c r="Q106" s="25"/>
      <c r="R106" s="23"/>
      <c r="S106" s="23"/>
      <c r="T106" s="23"/>
      <c r="U106" s="20" t="str">
        <f ca="1">IF(COUNTA(A106:T106)=0,"",IF(OR(A106="",B106="",C106="",E106="",G106="",H106="",J106="",K106="",L106="",M106=""),"Ошибка: заполните обязательные поля",IF(AND(LEFT(H106,7)&lt;&gt;"http://",LEFT(H106,8)&lt;&gt;"https://"),"Ошибка: некорректная ссылка",IF(COUNTIF($H$6:$H$1005,H106)&gt;1,"Ошибка: дубликат URL",IF(E106&gt;TODAY(),"Ошибка: дата публикации в будущем",IF(S106="Да","Ошибка: подтверждённый дубль",IF(S106="","Проверить: отметьте дубль",IF(S106="Нужно проверить","Проверить возможный дубль",IF(TODAY()-E106&gt;30,"Проверить: старше 30 дней",IF(COUNTIFS(#REF!,G106,#REF!,"Готово")=0,"Проверить источник","Готово"))))))))))</f>
        <v/>
      </c>
    </row>
    <row r="107" spans="1:21" ht="25.5" customHeight="1">
      <c r="A107" s="21"/>
      <c r="B107" s="22"/>
      <c r="C107" s="21"/>
      <c r="D107" s="23"/>
      <c r="E107" s="22"/>
      <c r="F107" s="22"/>
      <c r="G107" s="23"/>
      <c r="H107" s="24"/>
      <c r="I107" s="24"/>
      <c r="J107" s="23"/>
      <c r="K107" s="23"/>
      <c r="L107" s="23"/>
      <c r="M107" s="23"/>
      <c r="N107" s="23"/>
      <c r="O107" s="23"/>
      <c r="P107" s="23"/>
      <c r="Q107" s="25"/>
      <c r="R107" s="23"/>
      <c r="S107" s="23"/>
      <c r="T107" s="23"/>
      <c r="U107" s="20" t="str">
        <f ca="1">IF(COUNTA(A107:T107)=0,"",IF(OR(A107="",B107="",C107="",E107="",G107="",H107="",J107="",K107="",L107="",M107=""),"Ошибка: заполните обязательные поля",IF(AND(LEFT(H107,7)&lt;&gt;"http://",LEFT(H107,8)&lt;&gt;"https://"),"Ошибка: некорректная ссылка",IF(COUNTIF($H$6:$H$1005,H107)&gt;1,"Ошибка: дубликат URL",IF(E107&gt;TODAY(),"Ошибка: дата публикации в будущем",IF(S107="Да","Ошибка: подтверждённый дубль",IF(S107="","Проверить: отметьте дубль",IF(S107="Нужно проверить","Проверить возможный дубль",IF(TODAY()-E107&gt;30,"Проверить: старше 30 дней",IF(COUNTIFS(#REF!,G107,#REF!,"Готово")=0,"Проверить источник","Готово"))))))))))</f>
        <v/>
      </c>
    </row>
    <row r="108" spans="1:21" ht="25.5" customHeight="1">
      <c r="A108" s="21"/>
      <c r="B108" s="22"/>
      <c r="C108" s="21"/>
      <c r="D108" s="23"/>
      <c r="E108" s="22"/>
      <c r="F108" s="22"/>
      <c r="G108" s="23"/>
      <c r="H108" s="24"/>
      <c r="I108" s="24"/>
      <c r="J108" s="23"/>
      <c r="K108" s="23"/>
      <c r="L108" s="23"/>
      <c r="M108" s="23"/>
      <c r="N108" s="23"/>
      <c r="O108" s="23"/>
      <c r="P108" s="23"/>
      <c r="Q108" s="25"/>
      <c r="R108" s="23"/>
      <c r="S108" s="23"/>
      <c r="T108" s="23"/>
      <c r="U108" s="20" t="str">
        <f ca="1">IF(COUNTA(A108:T108)=0,"",IF(OR(A108="",B108="",C108="",E108="",G108="",H108="",J108="",K108="",L108="",M108=""),"Ошибка: заполните обязательные поля",IF(AND(LEFT(H108,7)&lt;&gt;"http://",LEFT(H108,8)&lt;&gt;"https://"),"Ошибка: некорректная ссылка",IF(COUNTIF($H$6:$H$1005,H108)&gt;1,"Ошибка: дубликат URL",IF(E108&gt;TODAY(),"Ошибка: дата публикации в будущем",IF(S108="Да","Ошибка: подтверждённый дубль",IF(S108="","Проверить: отметьте дубль",IF(S108="Нужно проверить","Проверить возможный дубль",IF(TODAY()-E108&gt;30,"Проверить: старше 30 дней",IF(COUNTIFS(#REF!,G108,#REF!,"Готово")=0,"Проверить источник","Готово"))))))))))</f>
        <v/>
      </c>
    </row>
    <row r="109" spans="1:21" ht="25.5" customHeight="1">
      <c r="A109" s="21"/>
      <c r="B109" s="22"/>
      <c r="C109" s="21"/>
      <c r="D109" s="23"/>
      <c r="E109" s="22"/>
      <c r="F109" s="22"/>
      <c r="G109" s="23"/>
      <c r="H109" s="24"/>
      <c r="I109" s="24"/>
      <c r="J109" s="23"/>
      <c r="K109" s="23"/>
      <c r="L109" s="23"/>
      <c r="M109" s="23"/>
      <c r="N109" s="23"/>
      <c r="O109" s="23"/>
      <c r="P109" s="23"/>
      <c r="Q109" s="25"/>
      <c r="R109" s="23"/>
      <c r="S109" s="23"/>
      <c r="T109" s="23"/>
      <c r="U109" s="20" t="str">
        <f ca="1">IF(COUNTA(A109:T109)=0,"",IF(OR(A109="",B109="",C109="",E109="",G109="",H109="",J109="",K109="",L109="",M109=""),"Ошибка: заполните обязательные поля",IF(AND(LEFT(H109,7)&lt;&gt;"http://",LEFT(H109,8)&lt;&gt;"https://"),"Ошибка: некорректная ссылка",IF(COUNTIF($H$6:$H$1005,H109)&gt;1,"Ошибка: дубликат URL",IF(E109&gt;TODAY(),"Ошибка: дата публикации в будущем",IF(S109="Да","Ошибка: подтверждённый дубль",IF(S109="","Проверить: отметьте дубль",IF(S109="Нужно проверить","Проверить возможный дубль",IF(TODAY()-E109&gt;30,"Проверить: старше 30 дней",IF(COUNTIFS(#REF!,G109,#REF!,"Готово")=0,"Проверить источник","Готово"))))))))))</f>
        <v/>
      </c>
    </row>
    <row r="110" spans="1:21" ht="25.5" customHeight="1">
      <c r="A110" s="21"/>
      <c r="B110" s="22"/>
      <c r="C110" s="21"/>
      <c r="D110" s="23"/>
      <c r="E110" s="22"/>
      <c r="F110" s="22"/>
      <c r="G110" s="23"/>
      <c r="H110" s="24"/>
      <c r="I110" s="24"/>
      <c r="J110" s="23"/>
      <c r="K110" s="23"/>
      <c r="L110" s="23"/>
      <c r="M110" s="23"/>
      <c r="N110" s="23"/>
      <c r="O110" s="23"/>
      <c r="P110" s="23"/>
      <c r="Q110" s="25"/>
      <c r="R110" s="23"/>
      <c r="S110" s="23"/>
      <c r="T110" s="23"/>
      <c r="U110" s="20" t="str">
        <f ca="1">IF(COUNTA(A110:T110)=0,"",IF(OR(A110="",B110="",C110="",E110="",G110="",H110="",J110="",K110="",L110="",M110=""),"Ошибка: заполните обязательные поля",IF(AND(LEFT(H110,7)&lt;&gt;"http://",LEFT(H110,8)&lt;&gt;"https://"),"Ошибка: некорректная ссылка",IF(COUNTIF($H$6:$H$1005,H110)&gt;1,"Ошибка: дубликат URL",IF(E110&gt;TODAY(),"Ошибка: дата публикации в будущем",IF(S110="Да","Ошибка: подтверждённый дубль",IF(S110="","Проверить: отметьте дубль",IF(S110="Нужно проверить","Проверить возможный дубль",IF(TODAY()-E110&gt;30,"Проверить: старше 30 дней",IF(COUNTIFS(#REF!,G110,#REF!,"Готово")=0,"Проверить источник","Готово"))))))))))</f>
        <v/>
      </c>
    </row>
    <row r="111" spans="1:21" ht="25.5" customHeight="1">
      <c r="A111" s="21"/>
      <c r="B111" s="22"/>
      <c r="C111" s="21"/>
      <c r="D111" s="23"/>
      <c r="E111" s="22"/>
      <c r="F111" s="22"/>
      <c r="G111" s="23"/>
      <c r="H111" s="24"/>
      <c r="I111" s="24"/>
      <c r="J111" s="23"/>
      <c r="K111" s="23"/>
      <c r="L111" s="23"/>
      <c r="M111" s="23"/>
      <c r="N111" s="23"/>
      <c r="O111" s="23"/>
      <c r="P111" s="23"/>
      <c r="Q111" s="25"/>
      <c r="R111" s="23"/>
      <c r="S111" s="23"/>
      <c r="T111" s="23"/>
      <c r="U111" s="20" t="str">
        <f ca="1">IF(COUNTA(A111:T111)=0,"",IF(OR(A111="",B111="",C111="",E111="",G111="",H111="",J111="",K111="",L111="",M111=""),"Ошибка: заполните обязательные поля",IF(AND(LEFT(H111,7)&lt;&gt;"http://",LEFT(H111,8)&lt;&gt;"https://"),"Ошибка: некорректная ссылка",IF(COUNTIF($H$6:$H$1005,H111)&gt;1,"Ошибка: дубликат URL",IF(E111&gt;TODAY(),"Ошибка: дата публикации в будущем",IF(S111="Да","Ошибка: подтверждённый дубль",IF(S111="","Проверить: отметьте дубль",IF(S111="Нужно проверить","Проверить возможный дубль",IF(TODAY()-E111&gt;30,"Проверить: старше 30 дней",IF(COUNTIFS(#REF!,G111,#REF!,"Готово")=0,"Проверить источник","Готово"))))))))))</f>
        <v/>
      </c>
    </row>
    <row r="112" spans="1:21" ht="25.5" customHeight="1">
      <c r="A112" s="21"/>
      <c r="B112" s="22"/>
      <c r="C112" s="21"/>
      <c r="D112" s="23"/>
      <c r="E112" s="22"/>
      <c r="F112" s="22"/>
      <c r="G112" s="23"/>
      <c r="H112" s="24"/>
      <c r="I112" s="24"/>
      <c r="J112" s="23"/>
      <c r="K112" s="23"/>
      <c r="L112" s="23"/>
      <c r="M112" s="23"/>
      <c r="N112" s="23"/>
      <c r="O112" s="23"/>
      <c r="P112" s="23"/>
      <c r="Q112" s="25"/>
      <c r="R112" s="23"/>
      <c r="S112" s="23"/>
      <c r="T112" s="23"/>
      <c r="U112" s="20" t="str">
        <f ca="1">IF(COUNTA(A112:T112)=0,"",IF(OR(A112="",B112="",C112="",E112="",G112="",H112="",J112="",K112="",L112="",M112=""),"Ошибка: заполните обязательные поля",IF(AND(LEFT(H112,7)&lt;&gt;"http://",LEFT(H112,8)&lt;&gt;"https://"),"Ошибка: некорректная ссылка",IF(COUNTIF($H$6:$H$1005,H112)&gt;1,"Ошибка: дубликат URL",IF(E112&gt;TODAY(),"Ошибка: дата публикации в будущем",IF(S112="Да","Ошибка: подтверждённый дубль",IF(S112="","Проверить: отметьте дубль",IF(S112="Нужно проверить","Проверить возможный дубль",IF(TODAY()-E112&gt;30,"Проверить: старше 30 дней",IF(COUNTIFS(#REF!,G112,#REF!,"Готово")=0,"Проверить источник","Готово"))))))))))</f>
        <v/>
      </c>
    </row>
    <row r="113" spans="1:21" ht="25.5" customHeight="1">
      <c r="A113" s="21"/>
      <c r="B113" s="22"/>
      <c r="C113" s="21"/>
      <c r="D113" s="23"/>
      <c r="E113" s="22"/>
      <c r="F113" s="22"/>
      <c r="G113" s="23"/>
      <c r="H113" s="24"/>
      <c r="I113" s="24"/>
      <c r="J113" s="23"/>
      <c r="K113" s="23"/>
      <c r="L113" s="23"/>
      <c r="M113" s="23"/>
      <c r="N113" s="23"/>
      <c r="O113" s="23"/>
      <c r="P113" s="23"/>
      <c r="Q113" s="25"/>
      <c r="R113" s="23"/>
      <c r="S113" s="23"/>
      <c r="T113" s="23"/>
      <c r="U113" s="20" t="str">
        <f ca="1">IF(COUNTA(A113:T113)=0,"",IF(OR(A113="",B113="",C113="",E113="",G113="",H113="",J113="",K113="",L113="",M113=""),"Ошибка: заполните обязательные поля",IF(AND(LEFT(H113,7)&lt;&gt;"http://",LEFT(H113,8)&lt;&gt;"https://"),"Ошибка: некорректная ссылка",IF(COUNTIF($H$6:$H$1005,H113)&gt;1,"Ошибка: дубликат URL",IF(E113&gt;TODAY(),"Ошибка: дата публикации в будущем",IF(S113="Да","Ошибка: подтверждённый дубль",IF(S113="","Проверить: отметьте дубль",IF(S113="Нужно проверить","Проверить возможный дубль",IF(TODAY()-E113&gt;30,"Проверить: старше 30 дней",IF(COUNTIFS(#REF!,G113,#REF!,"Готово")=0,"Проверить источник","Готово"))))))))))</f>
        <v/>
      </c>
    </row>
    <row r="114" spans="1:21" ht="25.5" customHeight="1">
      <c r="A114" s="21"/>
      <c r="B114" s="22"/>
      <c r="C114" s="21"/>
      <c r="D114" s="23"/>
      <c r="E114" s="22"/>
      <c r="F114" s="22"/>
      <c r="G114" s="23"/>
      <c r="H114" s="24"/>
      <c r="I114" s="24"/>
      <c r="J114" s="23"/>
      <c r="K114" s="23"/>
      <c r="L114" s="23"/>
      <c r="M114" s="23"/>
      <c r="N114" s="23"/>
      <c r="O114" s="23"/>
      <c r="P114" s="23"/>
      <c r="Q114" s="25"/>
      <c r="R114" s="23"/>
      <c r="S114" s="23"/>
      <c r="T114" s="23"/>
      <c r="U114" s="20" t="str">
        <f ca="1">IF(COUNTA(A114:T114)=0,"",IF(OR(A114="",B114="",C114="",E114="",G114="",H114="",J114="",K114="",L114="",M114=""),"Ошибка: заполните обязательные поля",IF(AND(LEFT(H114,7)&lt;&gt;"http://",LEFT(H114,8)&lt;&gt;"https://"),"Ошибка: некорректная ссылка",IF(COUNTIF($H$6:$H$1005,H114)&gt;1,"Ошибка: дубликат URL",IF(E114&gt;TODAY(),"Ошибка: дата публикации в будущем",IF(S114="Да","Ошибка: подтверждённый дубль",IF(S114="","Проверить: отметьте дубль",IF(S114="Нужно проверить","Проверить возможный дубль",IF(TODAY()-E114&gt;30,"Проверить: старше 30 дней",IF(COUNTIFS(#REF!,G114,#REF!,"Готово")=0,"Проверить источник","Готово"))))))))))</f>
        <v/>
      </c>
    </row>
    <row r="115" spans="1:21" ht="25.5" customHeight="1">
      <c r="A115" s="21"/>
      <c r="B115" s="22"/>
      <c r="C115" s="21"/>
      <c r="D115" s="23"/>
      <c r="E115" s="22"/>
      <c r="F115" s="22"/>
      <c r="G115" s="23"/>
      <c r="H115" s="24"/>
      <c r="I115" s="24"/>
      <c r="J115" s="23"/>
      <c r="K115" s="23"/>
      <c r="L115" s="23"/>
      <c r="M115" s="23"/>
      <c r="N115" s="23"/>
      <c r="O115" s="23"/>
      <c r="P115" s="23"/>
      <c r="Q115" s="25"/>
      <c r="R115" s="23"/>
      <c r="S115" s="23"/>
      <c r="T115" s="23"/>
      <c r="U115" s="20" t="str">
        <f ca="1">IF(COUNTA(A115:T115)=0,"",IF(OR(A115="",B115="",C115="",E115="",G115="",H115="",J115="",K115="",L115="",M115=""),"Ошибка: заполните обязательные поля",IF(AND(LEFT(H115,7)&lt;&gt;"http://",LEFT(H115,8)&lt;&gt;"https://"),"Ошибка: некорректная ссылка",IF(COUNTIF($H$6:$H$1005,H115)&gt;1,"Ошибка: дубликат URL",IF(E115&gt;TODAY(),"Ошибка: дата публикации в будущем",IF(S115="Да","Ошибка: подтверждённый дубль",IF(S115="","Проверить: отметьте дубль",IF(S115="Нужно проверить","Проверить возможный дубль",IF(TODAY()-E115&gt;30,"Проверить: старше 30 дней",IF(COUNTIFS(#REF!,G115,#REF!,"Готово")=0,"Проверить источник","Готово"))))))))))</f>
        <v/>
      </c>
    </row>
    <row r="116" spans="1:21" ht="25.5" customHeight="1">
      <c r="A116" s="21"/>
      <c r="B116" s="22"/>
      <c r="C116" s="21"/>
      <c r="D116" s="23"/>
      <c r="E116" s="22"/>
      <c r="F116" s="22"/>
      <c r="G116" s="23"/>
      <c r="H116" s="24"/>
      <c r="I116" s="24"/>
      <c r="J116" s="23"/>
      <c r="K116" s="23"/>
      <c r="L116" s="23"/>
      <c r="M116" s="23"/>
      <c r="N116" s="23"/>
      <c r="O116" s="23"/>
      <c r="P116" s="23"/>
      <c r="Q116" s="25"/>
      <c r="R116" s="23"/>
      <c r="S116" s="23"/>
      <c r="T116" s="23"/>
      <c r="U116" s="20" t="str">
        <f ca="1">IF(COUNTA(A116:T116)=0,"",IF(OR(A116="",B116="",C116="",E116="",G116="",H116="",J116="",K116="",L116="",M116=""),"Ошибка: заполните обязательные поля",IF(AND(LEFT(H116,7)&lt;&gt;"http://",LEFT(H116,8)&lt;&gt;"https://"),"Ошибка: некорректная ссылка",IF(COUNTIF($H$6:$H$1005,H116)&gt;1,"Ошибка: дубликат URL",IF(E116&gt;TODAY(),"Ошибка: дата публикации в будущем",IF(S116="Да","Ошибка: подтверждённый дубль",IF(S116="","Проверить: отметьте дубль",IF(S116="Нужно проверить","Проверить возможный дубль",IF(TODAY()-E116&gt;30,"Проверить: старше 30 дней",IF(COUNTIFS(#REF!,G116,#REF!,"Готово")=0,"Проверить источник","Готово"))))))))))</f>
        <v/>
      </c>
    </row>
    <row r="117" spans="1:21" ht="25.5" customHeight="1">
      <c r="A117" s="21"/>
      <c r="B117" s="22"/>
      <c r="C117" s="21"/>
      <c r="D117" s="23"/>
      <c r="E117" s="22"/>
      <c r="F117" s="22"/>
      <c r="G117" s="23"/>
      <c r="H117" s="24"/>
      <c r="I117" s="24"/>
      <c r="J117" s="23"/>
      <c r="K117" s="23"/>
      <c r="L117" s="23"/>
      <c r="M117" s="23"/>
      <c r="N117" s="23"/>
      <c r="O117" s="23"/>
      <c r="P117" s="23"/>
      <c r="Q117" s="25"/>
      <c r="R117" s="23"/>
      <c r="S117" s="23"/>
      <c r="T117" s="23"/>
      <c r="U117" s="20" t="str">
        <f ca="1">IF(COUNTA(A117:T117)=0,"",IF(OR(A117="",B117="",C117="",E117="",G117="",H117="",J117="",K117="",L117="",M117=""),"Ошибка: заполните обязательные поля",IF(AND(LEFT(H117,7)&lt;&gt;"http://",LEFT(H117,8)&lt;&gt;"https://"),"Ошибка: некорректная ссылка",IF(COUNTIF($H$6:$H$1005,H117)&gt;1,"Ошибка: дубликат URL",IF(E117&gt;TODAY(),"Ошибка: дата публикации в будущем",IF(S117="Да","Ошибка: подтверждённый дубль",IF(S117="","Проверить: отметьте дубль",IF(S117="Нужно проверить","Проверить возможный дубль",IF(TODAY()-E117&gt;30,"Проверить: старше 30 дней",IF(COUNTIFS(#REF!,G117,#REF!,"Готово")=0,"Проверить источник","Готово"))))))))))</f>
        <v/>
      </c>
    </row>
    <row r="118" spans="1:21" ht="25.5" customHeight="1">
      <c r="A118" s="21"/>
      <c r="B118" s="22"/>
      <c r="C118" s="21"/>
      <c r="D118" s="23"/>
      <c r="E118" s="22"/>
      <c r="F118" s="22"/>
      <c r="G118" s="23"/>
      <c r="H118" s="24"/>
      <c r="I118" s="24"/>
      <c r="J118" s="23"/>
      <c r="K118" s="23"/>
      <c r="L118" s="23"/>
      <c r="M118" s="23"/>
      <c r="N118" s="23"/>
      <c r="O118" s="23"/>
      <c r="P118" s="23"/>
      <c r="Q118" s="25"/>
      <c r="R118" s="23"/>
      <c r="S118" s="23"/>
      <c r="T118" s="23"/>
      <c r="U118" s="20" t="str">
        <f ca="1">IF(COUNTA(A118:T118)=0,"",IF(OR(A118="",B118="",C118="",E118="",G118="",H118="",J118="",K118="",L118="",M118=""),"Ошибка: заполните обязательные поля",IF(AND(LEFT(H118,7)&lt;&gt;"http://",LEFT(H118,8)&lt;&gt;"https://"),"Ошибка: некорректная ссылка",IF(COUNTIF($H$6:$H$1005,H118)&gt;1,"Ошибка: дубликат URL",IF(E118&gt;TODAY(),"Ошибка: дата публикации в будущем",IF(S118="Да","Ошибка: подтверждённый дубль",IF(S118="","Проверить: отметьте дубль",IF(S118="Нужно проверить","Проверить возможный дубль",IF(TODAY()-E118&gt;30,"Проверить: старше 30 дней",IF(COUNTIFS(#REF!,G118,#REF!,"Готово")=0,"Проверить источник","Готово"))))))))))</f>
        <v/>
      </c>
    </row>
    <row r="119" spans="1:21" ht="25.5" customHeight="1">
      <c r="A119" s="21"/>
      <c r="B119" s="22"/>
      <c r="C119" s="21"/>
      <c r="D119" s="23"/>
      <c r="E119" s="22"/>
      <c r="F119" s="22"/>
      <c r="G119" s="23"/>
      <c r="H119" s="24"/>
      <c r="I119" s="24"/>
      <c r="J119" s="23"/>
      <c r="K119" s="23"/>
      <c r="L119" s="23"/>
      <c r="M119" s="23"/>
      <c r="N119" s="23"/>
      <c r="O119" s="23"/>
      <c r="P119" s="23"/>
      <c r="Q119" s="25"/>
      <c r="R119" s="23"/>
      <c r="S119" s="23"/>
      <c r="T119" s="23"/>
      <c r="U119" s="20" t="str">
        <f ca="1">IF(COUNTA(A119:T119)=0,"",IF(OR(A119="",B119="",C119="",E119="",G119="",H119="",J119="",K119="",L119="",M119=""),"Ошибка: заполните обязательные поля",IF(AND(LEFT(H119,7)&lt;&gt;"http://",LEFT(H119,8)&lt;&gt;"https://"),"Ошибка: некорректная ссылка",IF(COUNTIF($H$6:$H$1005,H119)&gt;1,"Ошибка: дубликат URL",IF(E119&gt;TODAY(),"Ошибка: дата публикации в будущем",IF(S119="Да","Ошибка: подтверждённый дубль",IF(S119="","Проверить: отметьте дубль",IF(S119="Нужно проверить","Проверить возможный дубль",IF(TODAY()-E119&gt;30,"Проверить: старше 30 дней",IF(COUNTIFS(#REF!,G119,#REF!,"Готово")=0,"Проверить источник","Готово"))))))))))</f>
        <v/>
      </c>
    </row>
    <row r="120" spans="1:21" ht="25.5" customHeight="1">
      <c r="A120" s="21"/>
      <c r="B120" s="22"/>
      <c r="C120" s="21"/>
      <c r="D120" s="23"/>
      <c r="E120" s="22"/>
      <c r="F120" s="22"/>
      <c r="G120" s="23"/>
      <c r="H120" s="24"/>
      <c r="I120" s="24"/>
      <c r="J120" s="23"/>
      <c r="K120" s="23"/>
      <c r="L120" s="23"/>
      <c r="M120" s="23"/>
      <c r="N120" s="23"/>
      <c r="O120" s="23"/>
      <c r="P120" s="23"/>
      <c r="Q120" s="25"/>
      <c r="R120" s="23"/>
      <c r="S120" s="23"/>
      <c r="T120" s="23"/>
      <c r="U120" s="20" t="str">
        <f ca="1">IF(COUNTA(A120:T120)=0,"",IF(OR(A120="",B120="",C120="",E120="",G120="",H120="",J120="",K120="",L120="",M120=""),"Ошибка: заполните обязательные поля",IF(AND(LEFT(H120,7)&lt;&gt;"http://",LEFT(H120,8)&lt;&gt;"https://"),"Ошибка: некорректная ссылка",IF(COUNTIF($H$6:$H$1005,H120)&gt;1,"Ошибка: дубликат URL",IF(E120&gt;TODAY(),"Ошибка: дата публикации в будущем",IF(S120="Да","Ошибка: подтверждённый дубль",IF(S120="","Проверить: отметьте дубль",IF(S120="Нужно проверить","Проверить возможный дубль",IF(TODAY()-E120&gt;30,"Проверить: старше 30 дней",IF(COUNTIFS(#REF!,G120,#REF!,"Готово")=0,"Проверить источник","Готово"))))))))))</f>
        <v/>
      </c>
    </row>
    <row r="121" spans="1:21" ht="25.5" customHeight="1">
      <c r="A121" s="21"/>
      <c r="B121" s="22"/>
      <c r="C121" s="21"/>
      <c r="D121" s="23"/>
      <c r="E121" s="22"/>
      <c r="F121" s="22"/>
      <c r="G121" s="23"/>
      <c r="H121" s="24"/>
      <c r="I121" s="24"/>
      <c r="J121" s="23"/>
      <c r="K121" s="23"/>
      <c r="L121" s="23"/>
      <c r="M121" s="23"/>
      <c r="N121" s="23"/>
      <c r="O121" s="23"/>
      <c r="P121" s="23"/>
      <c r="Q121" s="25"/>
      <c r="R121" s="23"/>
      <c r="S121" s="23"/>
      <c r="T121" s="23"/>
      <c r="U121" s="20" t="str">
        <f ca="1">IF(COUNTA(A121:T121)=0,"",IF(OR(A121="",B121="",C121="",E121="",G121="",H121="",J121="",K121="",L121="",M121=""),"Ошибка: заполните обязательные поля",IF(AND(LEFT(H121,7)&lt;&gt;"http://",LEFT(H121,8)&lt;&gt;"https://"),"Ошибка: некорректная ссылка",IF(COUNTIF($H$6:$H$1005,H121)&gt;1,"Ошибка: дубликат URL",IF(E121&gt;TODAY(),"Ошибка: дата публикации в будущем",IF(S121="Да","Ошибка: подтверждённый дубль",IF(S121="","Проверить: отметьте дубль",IF(S121="Нужно проверить","Проверить возможный дубль",IF(TODAY()-E121&gt;30,"Проверить: старше 30 дней",IF(COUNTIFS(#REF!,G121,#REF!,"Готово")=0,"Проверить источник","Готово"))))))))))</f>
        <v/>
      </c>
    </row>
    <row r="122" spans="1:21" ht="25.5" customHeight="1">
      <c r="A122" s="21"/>
      <c r="B122" s="22"/>
      <c r="C122" s="21"/>
      <c r="D122" s="23"/>
      <c r="E122" s="22"/>
      <c r="F122" s="22"/>
      <c r="G122" s="23"/>
      <c r="H122" s="24"/>
      <c r="I122" s="24"/>
      <c r="J122" s="23"/>
      <c r="K122" s="23"/>
      <c r="L122" s="23"/>
      <c r="M122" s="23"/>
      <c r="N122" s="23"/>
      <c r="O122" s="23"/>
      <c r="P122" s="23"/>
      <c r="Q122" s="25"/>
      <c r="R122" s="23"/>
      <c r="S122" s="23"/>
      <c r="T122" s="23"/>
      <c r="U122" s="20" t="str">
        <f ca="1">IF(COUNTA(A122:T122)=0,"",IF(OR(A122="",B122="",C122="",E122="",G122="",H122="",J122="",K122="",L122="",M122=""),"Ошибка: заполните обязательные поля",IF(AND(LEFT(H122,7)&lt;&gt;"http://",LEFT(H122,8)&lt;&gt;"https://"),"Ошибка: некорректная ссылка",IF(COUNTIF($H$6:$H$1005,H122)&gt;1,"Ошибка: дубликат URL",IF(E122&gt;TODAY(),"Ошибка: дата публикации в будущем",IF(S122="Да","Ошибка: подтверждённый дубль",IF(S122="","Проверить: отметьте дубль",IF(S122="Нужно проверить","Проверить возможный дубль",IF(TODAY()-E122&gt;30,"Проверить: старше 30 дней",IF(COUNTIFS(#REF!,G122,#REF!,"Готово")=0,"Проверить источник","Готово"))))))))))</f>
        <v/>
      </c>
    </row>
    <row r="123" spans="1:21" ht="25.5" customHeight="1">
      <c r="A123" s="21"/>
      <c r="B123" s="22"/>
      <c r="C123" s="21"/>
      <c r="D123" s="23"/>
      <c r="E123" s="22"/>
      <c r="F123" s="22"/>
      <c r="G123" s="23"/>
      <c r="H123" s="24"/>
      <c r="I123" s="24"/>
      <c r="J123" s="23"/>
      <c r="K123" s="23"/>
      <c r="L123" s="23"/>
      <c r="M123" s="23"/>
      <c r="N123" s="23"/>
      <c r="O123" s="23"/>
      <c r="P123" s="23"/>
      <c r="Q123" s="25"/>
      <c r="R123" s="23"/>
      <c r="S123" s="23"/>
      <c r="T123" s="23"/>
      <c r="U123" s="20" t="str">
        <f ca="1">IF(COUNTA(A123:T123)=0,"",IF(OR(A123="",B123="",C123="",E123="",G123="",H123="",J123="",K123="",L123="",M123=""),"Ошибка: заполните обязательные поля",IF(AND(LEFT(H123,7)&lt;&gt;"http://",LEFT(H123,8)&lt;&gt;"https://"),"Ошибка: некорректная ссылка",IF(COUNTIF($H$6:$H$1005,H123)&gt;1,"Ошибка: дубликат URL",IF(E123&gt;TODAY(),"Ошибка: дата публикации в будущем",IF(S123="Да","Ошибка: подтверждённый дубль",IF(S123="","Проверить: отметьте дубль",IF(S123="Нужно проверить","Проверить возможный дубль",IF(TODAY()-E123&gt;30,"Проверить: старше 30 дней",IF(COUNTIFS(#REF!,G123,#REF!,"Готово")=0,"Проверить источник","Готово"))))))))))</f>
        <v/>
      </c>
    </row>
    <row r="124" spans="1:21" ht="25.5" customHeight="1">
      <c r="A124" s="21"/>
      <c r="B124" s="22"/>
      <c r="C124" s="21"/>
      <c r="D124" s="23"/>
      <c r="E124" s="22"/>
      <c r="F124" s="22"/>
      <c r="G124" s="23"/>
      <c r="H124" s="24"/>
      <c r="I124" s="24"/>
      <c r="J124" s="23"/>
      <c r="K124" s="23"/>
      <c r="L124" s="23"/>
      <c r="M124" s="23"/>
      <c r="N124" s="23"/>
      <c r="O124" s="23"/>
      <c r="P124" s="23"/>
      <c r="Q124" s="25"/>
      <c r="R124" s="23"/>
      <c r="S124" s="23"/>
      <c r="T124" s="23"/>
      <c r="U124" s="20" t="str">
        <f ca="1">IF(COUNTA(A124:T124)=0,"",IF(OR(A124="",B124="",C124="",E124="",G124="",H124="",J124="",K124="",L124="",M124=""),"Ошибка: заполните обязательные поля",IF(AND(LEFT(H124,7)&lt;&gt;"http://",LEFT(H124,8)&lt;&gt;"https://"),"Ошибка: некорректная ссылка",IF(COUNTIF($H$6:$H$1005,H124)&gt;1,"Ошибка: дубликат URL",IF(E124&gt;TODAY(),"Ошибка: дата публикации в будущем",IF(S124="Да","Ошибка: подтверждённый дубль",IF(S124="","Проверить: отметьте дубль",IF(S124="Нужно проверить","Проверить возможный дубль",IF(TODAY()-E124&gt;30,"Проверить: старше 30 дней",IF(COUNTIFS(#REF!,G124,#REF!,"Готово")=0,"Проверить источник","Готово"))))))))))</f>
        <v/>
      </c>
    </row>
    <row r="125" spans="1:21" ht="25.5" customHeight="1">
      <c r="A125" s="21"/>
      <c r="B125" s="22"/>
      <c r="C125" s="21"/>
      <c r="D125" s="23"/>
      <c r="E125" s="22"/>
      <c r="F125" s="22"/>
      <c r="G125" s="23"/>
      <c r="H125" s="24"/>
      <c r="I125" s="24"/>
      <c r="J125" s="23"/>
      <c r="K125" s="23"/>
      <c r="L125" s="23"/>
      <c r="M125" s="23"/>
      <c r="N125" s="23"/>
      <c r="O125" s="23"/>
      <c r="P125" s="23"/>
      <c r="Q125" s="25"/>
      <c r="R125" s="23"/>
      <c r="S125" s="23"/>
      <c r="T125" s="23"/>
      <c r="U125" s="20" t="str">
        <f ca="1">IF(COUNTA(A125:T125)=0,"",IF(OR(A125="",B125="",C125="",E125="",G125="",H125="",J125="",K125="",L125="",M125=""),"Ошибка: заполните обязательные поля",IF(AND(LEFT(H125,7)&lt;&gt;"http://",LEFT(H125,8)&lt;&gt;"https://"),"Ошибка: некорректная ссылка",IF(COUNTIF($H$6:$H$1005,H125)&gt;1,"Ошибка: дубликат URL",IF(E125&gt;TODAY(),"Ошибка: дата публикации в будущем",IF(S125="Да","Ошибка: подтверждённый дубль",IF(S125="","Проверить: отметьте дубль",IF(S125="Нужно проверить","Проверить возможный дубль",IF(TODAY()-E125&gt;30,"Проверить: старше 30 дней",IF(COUNTIFS(#REF!,G125,#REF!,"Готово")=0,"Проверить источник","Готово"))))))))))</f>
        <v/>
      </c>
    </row>
    <row r="126" spans="1:21" ht="25.5" customHeight="1">
      <c r="A126" s="21"/>
      <c r="B126" s="22"/>
      <c r="C126" s="21"/>
      <c r="D126" s="23"/>
      <c r="E126" s="22"/>
      <c r="F126" s="22"/>
      <c r="G126" s="23"/>
      <c r="H126" s="24"/>
      <c r="I126" s="24"/>
      <c r="J126" s="23"/>
      <c r="K126" s="23"/>
      <c r="L126" s="23"/>
      <c r="M126" s="23"/>
      <c r="N126" s="23"/>
      <c r="O126" s="23"/>
      <c r="P126" s="23"/>
      <c r="Q126" s="25"/>
      <c r="R126" s="23"/>
      <c r="S126" s="23"/>
      <c r="T126" s="23"/>
      <c r="U126" s="20" t="str">
        <f ca="1">IF(COUNTA(A126:T126)=0,"",IF(OR(A126="",B126="",C126="",E126="",G126="",H126="",J126="",K126="",L126="",M126=""),"Ошибка: заполните обязательные поля",IF(AND(LEFT(H126,7)&lt;&gt;"http://",LEFT(H126,8)&lt;&gt;"https://"),"Ошибка: некорректная ссылка",IF(COUNTIF($H$6:$H$1005,H126)&gt;1,"Ошибка: дубликат URL",IF(E126&gt;TODAY(),"Ошибка: дата публикации в будущем",IF(S126="Да","Ошибка: подтверждённый дубль",IF(S126="","Проверить: отметьте дубль",IF(S126="Нужно проверить","Проверить возможный дубль",IF(TODAY()-E126&gt;30,"Проверить: старше 30 дней",IF(COUNTIFS(#REF!,G126,#REF!,"Готово")=0,"Проверить источник","Готово"))))))))))</f>
        <v/>
      </c>
    </row>
    <row r="127" spans="1:21" ht="25.5" customHeight="1">
      <c r="A127" s="21"/>
      <c r="B127" s="22"/>
      <c r="C127" s="21"/>
      <c r="D127" s="23"/>
      <c r="E127" s="22"/>
      <c r="F127" s="22"/>
      <c r="G127" s="23"/>
      <c r="H127" s="24"/>
      <c r="I127" s="24"/>
      <c r="J127" s="23"/>
      <c r="K127" s="23"/>
      <c r="L127" s="23"/>
      <c r="M127" s="23"/>
      <c r="N127" s="23"/>
      <c r="O127" s="23"/>
      <c r="P127" s="23"/>
      <c r="Q127" s="25"/>
      <c r="R127" s="23"/>
      <c r="S127" s="23"/>
      <c r="T127" s="23"/>
      <c r="U127" s="20" t="str">
        <f ca="1">IF(COUNTA(A127:T127)=0,"",IF(OR(A127="",B127="",C127="",E127="",G127="",H127="",J127="",K127="",L127="",M127=""),"Ошибка: заполните обязательные поля",IF(AND(LEFT(H127,7)&lt;&gt;"http://",LEFT(H127,8)&lt;&gt;"https://"),"Ошибка: некорректная ссылка",IF(COUNTIF($H$6:$H$1005,H127)&gt;1,"Ошибка: дубликат URL",IF(E127&gt;TODAY(),"Ошибка: дата публикации в будущем",IF(S127="Да","Ошибка: подтверждённый дубль",IF(S127="","Проверить: отметьте дубль",IF(S127="Нужно проверить","Проверить возможный дубль",IF(TODAY()-E127&gt;30,"Проверить: старше 30 дней",IF(COUNTIFS(#REF!,G127,#REF!,"Готово")=0,"Проверить источник","Готово"))))))))))</f>
        <v/>
      </c>
    </row>
    <row r="128" spans="1:21" ht="25.5" customHeight="1">
      <c r="A128" s="21"/>
      <c r="B128" s="22"/>
      <c r="C128" s="21"/>
      <c r="D128" s="23"/>
      <c r="E128" s="22"/>
      <c r="F128" s="22"/>
      <c r="G128" s="23"/>
      <c r="H128" s="24"/>
      <c r="I128" s="24"/>
      <c r="J128" s="23"/>
      <c r="K128" s="23"/>
      <c r="L128" s="23"/>
      <c r="M128" s="23"/>
      <c r="N128" s="23"/>
      <c r="O128" s="23"/>
      <c r="P128" s="23"/>
      <c r="Q128" s="25"/>
      <c r="R128" s="23"/>
      <c r="S128" s="23"/>
      <c r="T128" s="23"/>
      <c r="U128" s="20" t="str">
        <f ca="1">IF(COUNTA(A128:T128)=0,"",IF(OR(A128="",B128="",C128="",E128="",G128="",H128="",J128="",K128="",L128="",M128=""),"Ошибка: заполните обязательные поля",IF(AND(LEFT(H128,7)&lt;&gt;"http://",LEFT(H128,8)&lt;&gt;"https://"),"Ошибка: некорректная ссылка",IF(COUNTIF($H$6:$H$1005,H128)&gt;1,"Ошибка: дубликат URL",IF(E128&gt;TODAY(),"Ошибка: дата публикации в будущем",IF(S128="Да","Ошибка: подтверждённый дубль",IF(S128="","Проверить: отметьте дубль",IF(S128="Нужно проверить","Проверить возможный дубль",IF(TODAY()-E128&gt;30,"Проверить: старше 30 дней",IF(COUNTIFS(#REF!,G128,#REF!,"Готово")=0,"Проверить источник","Готово"))))))))))</f>
        <v/>
      </c>
    </row>
    <row r="129" spans="1:21" ht="25.5" customHeight="1">
      <c r="A129" s="21"/>
      <c r="B129" s="22"/>
      <c r="C129" s="21"/>
      <c r="D129" s="23"/>
      <c r="E129" s="22"/>
      <c r="F129" s="22"/>
      <c r="G129" s="23"/>
      <c r="H129" s="24"/>
      <c r="I129" s="24"/>
      <c r="J129" s="23"/>
      <c r="K129" s="23"/>
      <c r="L129" s="23"/>
      <c r="M129" s="23"/>
      <c r="N129" s="23"/>
      <c r="O129" s="23"/>
      <c r="P129" s="23"/>
      <c r="Q129" s="25"/>
      <c r="R129" s="23"/>
      <c r="S129" s="23"/>
      <c r="T129" s="23"/>
      <c r="U129" s="20" t="str">
        <f ca="1">IF(COUNTA(A129:T129)=0,"",IF(OR(A129="",B129="",C129="",E129="",G129="",H129="",J129="",K129="",L129="",M129=""),"Ошибка: заполните обязательные поля",IF(AND(LEFT(H129,7)&lt;&gt;"http://",LEFT(H129,8)&lt;&gt;"https://"),"Ошибка: некорректная ссылка",IF(COUNTIF($H$6:$H$1005,H129)&gt;1,"Ошибка: дубликат URL",IF(E129&gt;TODAY(),"Ошибка: дата публикации в будущем",IF(S129="Да","Ошибка: подтверждённый дубль",IF(S129="","Проверить: отметьте дубль",IF(S129="Нужно проверить","Проверить возможный дубль",IF(TODAY()-E129&gt;30,"Проверить: старше 30 дней",IF(COUNTIFS(#REF!,G129,#REF!,"Готово")=0,"Проверить источник","Готово"))))))))))</f>
        <v/>
      </c>
    </row>
    <row r="130" spans="1:21" ht="25.5" customHeight="1">
      <c r="A130" s="21"/>
      <c r="B130" s="22"/>
      <c r="C130" s="21"/>
      <c r="D130" s="23"/>
      <c r="E130" s="22"/>
      <c r="F130" s="22"/>
      <c r="G130" s="23"/>
      <c r="H130" s="24"/>
      <c r="I130" s="24"/>
      <c r="J130" s="23"/>
      <c r="K130" s="23"/>
      <c r="L130" s="23"/>
      <c r="M130" s="23"/>
      <c r="N130" s="23"/>
      <c r="O130" s="23"/>
      <c r="P130" s="23"/>
      <c r="Q130" s="25"/>
      <c r="R130" s="23"/>
      <c r="S130" s="23"/>
      <c r="T130" s="23"/>
      <c r="U130" s="20" t="str">
        <f ca="1">IF(COUNTA(A130:T130)=0,"",IF(OR(A130="",B130="",C130="",E130="",G130="",H130="",J130="",K130="",L130="",M130=""),"Ошибка: заполните обязательные поля",IF(AND(LEFT(H130,7)&lt;&gt;"http://",LEFT(H130,8)&lt;&gt;"https://"),"Ошибка: некорректная ссылка",IF(COUNTIF($H$6:$H$1005,H130)&gt;1,"Ошибка: дубликат URL",IF(E130&gt;TODAY(),"Ошибка: дата публикации в будущем",IF(S130="Да","Ошибка: подтверждённый дубль",IF(S130="","Проверить: отметьте дубль",IF(S130="Нужно проверить","Проверить возможный дубль",IF(TODAY()-E130&gt;30,"Проверить: старше 30 дней",IF(COUNTIFS(#REF!,G130,#REF!,"Готово")=0,"Проверить источник","Готово"))))))))))</f>
        <v/>
      </c>
    </row>
    <row r="131" spans="1:21" ht="25.5" customHeight="1">
      <c r="A131" s="21"/>
      <c r="B131" s="22"/>
      <c r="C131" s="21"/>
      <c r="D131" s="23"/>
      <c r="E131" s="22"/>
      <c r="F131" s="22"/>
      <c r="G131" s="23"/>
      <c r="H131" s="24"/>
      <c r="I131" s="24"/>
      <c r="J131" s="23"/>
      <c r="K131" s="23"/>
      <c r="L131" s="23"/>
      <c r="M131" s="23"/>
      <c r="N131" s="23"/>
      <c r="O131" s="23"/>
      <c r="P131" s="23"/>
      <c r="Q131" s="25"/>
      <c r="R131" s="23"/>
      <c r="S131" s="23"/>
      <c r="T131" s="23"/>
      <c r="U131" s="20" t="str">
        <f ca="1">IF(COUNTA(A131:T131)=0,"",IF(OR(A131="",B131="",C131="",E131="",G131="",H131="",J131="",K131="",L131="",M131=""),"Ошибка: заполните обязательные поля",IF(AND(LEFT(H131,7)&lt;&gt;"http://",LEFT(H131,8)&lt;&gt;"https://"),"Ошибка: некорректная ссылка",IF(COUNTIF($H$6:$H$1005,H131)&gt;1,"Ошибка: дубликат URL",IF(E131&gt;TODAY(),"Ошибка: дата публикации в будущем",IF(S131="Да","Ошибка: подтверждённый дубль",IF(S131="","Проверить: отметьте дубль",IF(S131="Нужно проверить","Проверить возможный дубль",IF(TODAY()-E131&gt;30,"Проверить: старше 30 дней",IF(COUNTIFS(#REF!,G131,#REF!,"Готово")=0,"Проверить источник","Готово"))))))))))</f>
        <v/>
      </c>
    </row>
    <row r="132" spans="1:21" ht="25.5" customHeight="1">
      <c r="A132" s="21"/>
      <c r="B132" s="22"/>
      <c r="C132" s="21"/>
      <c r="D132" s="23"/>
      <c r="E132" s="22"/>
      <c r="F132" s="22"/>
      <c r="G132" s="23"/>
      <c r="H132" s="24"/>
      <c r="I132" s="24"/>
      <c r="J132" s="23"/>
      <c r="K132" s="23"/>
      <c r="L132" s="23"/>
      <c r="M132" s="23"/>
      <c r="N132" s="23"/>
      <c r="O132" s="23"/>
      <c r="P132" s="23"/>
      <c r="Q132" s="25"/>
      <c r="R132" s="23"/>
      <c r="S132" s="23"/>
      <c r="T132" s="23"/>
      <c r="U132" s="20" t="str">
        <f ca="1">IF(COUNTA(A132:T132)=0,"",IF(OR(A132="",B132="",C132="",E132="",G132="",H132="",J132="",K132="",L132="",M132=""),"Ошибка: заполните обязательные поля",IF(AND(LEFT(H132,7)&lt;&gt;"http://",LEFT(H132,8)&lt;&gt;"https://"),"Ошибка: некорректная ссылка",IF(COUNTIF($H$6:$H$1005,H132)&gt;1,"Ошибка: дубликат URL",IF(E132&gt;TODAY(),"Ошибка: дата публикации в будущем",IF(S132="Да","Ошибка: подтверждённый дубль",IF(S132="","Проверить: отметьте дубль",IF(S132="Нужно проверить","Проверить возможный дубль",IF(TODAY()-E132&gt;30,"Проверить: старше 30 дней",IF(COUNTIFS(#REF!,G132,#REF!,"Готово")=0,"Проверить источник","Готово"))))))))))</f>
        <v/>
      </c>
    </row>
    <row r="133" spans="1:21" ht="25.5" customHeight="1">
      <c r="A133" s="21"/>
      <c r="B133" s="22"/>
      <c r="C133" s="21"/>
      <c r="D133" s="23"/>
      <c r="E133" s="22"/>
      <c r="F133" s="22"/>
      <c r="G133" s="23"/>
      <c r="H133" s="24"/>
      <c r="I133" s="24"/>
      <c r="J133" s="23"/>
      <c r="K133" s="23"/>
      <c r="L133" s="23"/>
      <c r="M133" s="23"/>
      <c r="N133" s="23"/>
      <c r="O133" s="23"/>
      <c r="P133" s="23"/>
      <c r="Q133" s="25"/>
      <c r="R133" s="23"/>
      <c r="S133" s="23"/>
      <c r="T133" s="23"/>
      <c r="U133" s="20" t="str">
        <f ca="1">IF(COUNTA(A133:T133)=0,"",IF(OR(A133="",B133="",C133="",E133="",G133="",H133="",J133="",K133="",L133="",M133=""),"Ошибка: заполните обязательные поля",IF(AND(LEFT(H133,7)&lt;&gt;"http://",LEFT(H133,8)&lt;&gt;"https://"),"Ошибка: некорректная ссылка",IF(COUNTIF($H$6:$H$1005,H133)&gt;1,"Ошибка: дубликат URL",IF(E133&gt;TODAY(),"Ошибка: дата публикации в будущем",IF(S133="Да","Ошибка: подтверждённый дубль",IF(S133="","Проверить: отметьте дубль",IF(S133="Нужно проверить","Проверить возможный дубль",IF(TODAY()-E133&gt;30,"Проверить: старше 30 дней",IF(COUNTIFS(#REF!,G133,#REF!,"Готово")=0,"Проверить источник","Готово"))))))))))</f>
        <v/>
      </c>
    </row>
    <row r="134" spans="1:21" ht="25.5" customHeight="1">
      <c r="A134" s="21"/>
      <c r="B134" s="22"/>
      <c r="C134" s="21"/>
      <c r="D134" s="23"/>
      <c r="E134" s="22"/>
      <c r="F134" s="22"/>
      <c r="G134" s="23"/>
      <c r="H134" s="24"/>
      <c r="I134" s="24"/>
      <c r="J134" s="23"/>
      <c r="K134" s="23"/>
      <c r="L134" s="23"/>
      <c r="M134" s="23"/>
      <c r="N134" s="23"/>
      <c r="O134" s="23"/>
      <c r="P134" s="23"/>
      <c r="Q134" s="25"/>
      <c r="R134" s="23"/>
      <c r="S134" s="23"/>
      <c r="T134" s="23"/>
      <c r="U134" s="20" t="str">
        <f ca="1">IF(COUNTA(A134:T134)=0,"",IF(OR(A134="",B134="",C134="",E134="",G134="",H134="",J134="",K134="",L134="",M134=""),"Ошибка: заполните обязательные поля",IF(AND(LEFT(H134,7)&lt;&gt;"http://",LEFT(H134,8)&lt;&gt;"https://"),"Ошибка: некорректная ссылка",IF(COUNTIF($H$6:$H$1005,H134)&gt;1,"Ошибка: дубликат URL",IF(E134&gt;TODAY(),"Ошибка: дата публикации в будущем",IF(S134="Да","Ошибка: подтверждённый дубль",IF(S134="","Проверить: отметьте дубль",IF(S134="Нужно проверить","Проверить возможный дубль",IF(TODAY()-E134&gt;30,"Проверить: старше 30 дней",IF(COUNTIFS(#REF!,G134,#REF!,"Готово")=0,"Проверить источник","Готово"))))))))))</f>
        <v/>
      </c>
    </row>
    <row r="135" spans="1:21" ht="25.5" customHeight="1">
      <c r="A135" s="21"/>
      <c r="B135" s="22"/>
      <c r="C135" s="21"/>
      <c r="D135" s="23"/>
      <c r="E135" s="22"/>
      <c r="F135" s="22"/>
      <c r="G135" s="23"/>
      <c r="H135" s="24"/>
      <c r="I135" s="24"/>
      <c r="J135" s="23"/>
      <c r="K135" s="23"/>
      <c r="L135" s="23"/>
      <c r="M135" s="23"/>
      <c r="N135" s="23"/>
      <c r="O135" s="23"/>
      <c r="P135" s="23"/>
      <c r="Q135" s="25"/>
      <c r="R135" s="23"/>
      <c r="S135" s="23"/>
      <c r="T135" s="23"/>
      <c r="U135" s="20" t="str">
        <f ca="1">IF(COUNTA(A135:T135)=0,"",IF(OR(A135="",B135="",C135="",E135="",G135="",H135="",J135="",K135="",L135="",M135=""),"Ошибка: заполните обязательные поля",IF(AND(LEFT(H135,7)&lt;&gt;"http://",LEFT(H135,8)&lt;&gt;"https://"),"Ошибка: некорректная ссылка",IF(COUNTIF($H$6:$H$1005,H135)&gt;1,"Ошибка: дубликат URL",IF(E135&gt;TODAY(),"Ошибка: дата публикации в будущем",IF(S135="Да","Ошибка: подтверждённый дубль",IF(S135="","Проверить: отметьте дубль",IF(S135="Нужно проверить","Проверить возможный дубль",IF(TODAY()-E135&gt;30,"Проверить: старше 30 дней",IF(COUNTIFS(#REF!,G135,#REF!,"Готово")=0,"Проверить источник","Готово"))))))))))</f>
        <v/>
      </c>
    </row>
    <row r="136" spans="1:21" ht="25.5" customHeight="1">
      <c r="A136" s="21"/>
      <c r="B136" s="22"/>
      <c r="C136" s="21"/>
      <c r="D136" s="23"/>
      <c r="E136" s="22"/>
      <c r="F136" s="22"/>
      <c r="G136" s="23"/>
      <c r="H136" s="24"/>
      <c r="I136" s="24"/>
      <c r="J136" s="23"/>
      <c r="K136" s="23"/>
      <c r="L136" s="23"/>
      <c r="M136" s="23"/>
      <c r="N136" s="23"/>
      <c r="O136" s="23"/>
      <c r="P136" s="23"/>
      <c r="Q136" s="25"/>
      <c r="R136" s="23"/>
      <c r="S136" s="23"/>
      <c r="T136" s="23"/>
      <c r="U136" s="20" t="str">
        <f ca="1">IF(COUNTA(A136:T136)=0,"",IF(OR(A136="",B136="",C136="",E136="",G136="",H136="",J136="",K136="",L136="",M136=""),"Ошибка: заполните обязательные поля",IF(AND(LEFT(H136,7)&lt;&gt;"http://",LEFT(H136,8)&lt;&gt;"https://"),"Ошибка: некорректная ссылка",IF(COUNTIF($H$6:$H$1005,H136)&gt;1,"Ошибка: дубликат URL",IF(E136&gt;TODAY(),"Ошибка: дата публикации в будущем",IF(S136="Да","Ошибка: подтверждённый дубль",IF(S136="","Проверить: отметьте дубль",IF(S136="Нужно проверить","Проверить возможный дубль",IF(TODAY()-E136&gt;30,"Проверить: старше 30 дней",IF(COUNTIFS(#REF!,G136,#REF!,"Готово")=0,"Проверить источник","Готово"))))))))))</f>
        <v/>
      </c>
    </row>
    <row r="137" spans="1:21" ht="25.5" customHeight="1">
      <c r="A137" s="21"/>
      <c r="B137" s="22"/>
      <c r="C137" s="21"/>
      <c r="D137" s="23"/>
      <c r="E137" s="22"/>
      <c r="F137" s="22"/>
      <c r="G137" s="23"/>
      <c r="H137" s="24"/>
      <c r="I137" s="24"/>
      <c r="J137" s="23"/>
      <c r="K137" s="23"/>
      <c r="L137" s="23"/>
      <c r="M137" s="23"/>
      <c r="N137" s="23"/>
      <c r="O137" s="23"/>
      <c r="P137" s="23"/>
      <c r="Q137" s="25"/>
      <c r="R137" s="23"/>
      <c r="S137" s="23"/>
      <c r="T137" s="23"/>
      <c r="U137" s="20" t="str">
        <f ca="1">IF(COUNTA(A137:T137)=0,"",IF(OR(A137="",B137="",C137="",E137="",G137="",H137="",J137="",K137="",L137="",M137=""),"Ошибка: заполните обязательные поля",IF(AND(LEFT(H137,7)&lt;&gt;"http://",LEFT(H137,8)&lt;&gt;"https://"),"Ошибка: некорректная ссылка",IF(COUNTIF($H$6:$H$1005,H137)&gt;1,"Ошибка: дубликат URL",IF(E137&gt;TODAY(),"Ошибка: дата публикации в будущем",IF(S137="Да","Ошибка: подтверждённый дубль",IF(S137="","Проверить: отметьте дубль",IF(S137="Нужно проверить","Проверить возможный дубль",IF(TODAY()-E137&gt;30,"Проверить: старше 30 дней",IF(COUNTIFS(#REF!,G137,#REF!,"Готово")=0,"Проверить источник","Готово"))))))))))</f>
        <v/>
      </c>
    </row>
    <row r="138" spans="1:21" ht="25.5" customHeight="1">
      <c r="A138" s="21"/>
      <c r="B138" s="22"/>
      <c r="C138" s="21"/>
      <c r="D138" s="23"/>
      <c r="E138" s="22"/>
      <c r="F138" s="22"/>
      <c r="G138" s="23"/>
      <c r="H138" s="24"/>
      <c r="I138" s="24"/>
      <c r="J138" s="23"/>
      <c r="K138" s="23"/>
      <c r="L138" s="23"/>
      <c r="M138" s="23"/>
      <c r="N138" s="23"/>
      <c r="O138" s="23"/>
      <c r="P138" s="23"/>
      <c r="Q138" s="25"/>
      <c r="R138" s="23"/>
      <c r="S138" s="23"/>
      <c r="T138" s="23"/>
      <c r="U138" s="20" t="str">
        <f ca="1">IF(COUNTA(A138:T138)=0,"",IF(OR(A138="",B138="",C138="",E138="",G138="",H138="",J138="",K138="",L138="",M138=""),"Ошибка: заполните обязательные поля",IF(AND(LEFT(H138,7)&lt;&gt;"http://",LEFT(H138,8)&lt;&gt;"https://"),"Ошибка: некорректная ссылка",IF(COUNTIF($H$6:$H$1005,H138)&gt;1,"Ошибка: дубликат URL",IF(E138&gt;TODAY(),"Ошибка: дата публикации в будущем",IF(S138="Да","Ошибка: подтверждённый дубль",IF(S138="","Проверить: отметьте дубль",IF(S138="Нужно проверить","Проверить возможный дубль",IF(TODAY()-E138&gt;30,"Проверить: старше 30 дней",IF(COUNTIFS(#REF!,G138,#REF!,"Готово")=0,"Проверить источник","Готово"))))))))))</f>
        <v/>
      </c>
    </row>
    <row r="139" spans="1:21" ht="25.5" customHeight="1">
      <c r="A139" s="21"/>
      <c r="B139" s="22"/>
      <c r="C139" s="21"/>
      <c r="D139" s="23"/>
      <c r="E139" s="22"/>
      <c r="F139" s="22"/>
      <c r="G139" s="23"/>
      <c r="H139" s="24"/>
      <c r="I139" s="24"/>
      <c r="J139" s="23"/>
      <c r="K139" s="23"/>
      <c r="L139" s="23"/>
      <c r="M139" s="23"/>
      <c r="N139" s="23"/>
      <c r="O139" s="23"/>
      <c r="P139" s="23"/>
      <c r="Q139" s="25"/>
      <c r="R139" s="23"/>
      <c r="S139" s="23"/>
      <c r="T139" s="23"/>
      <c r="U139" s="20" t="str">
        <f ca="1">IF(COUNTA(A139:T139)=0,"",IF(OR(A139="",B139="",C139="",E139="",G139="",H139="",J139="",K139="",L139="",M139=""),"Ошибка: заполните обязательные поля",IF(AND(LEFT(H139,7)&lt;&gt;"http://",LEFT(H139,8)&lt;&gt;"https://"),"Ошибка: некорректная ссылка",IF(COUNTIF($H$6:$H$1005,H139)&gt;1,"Ошибка: дубликат URL",IF(E139&gt;TODAY(),"Ошибка: дата публикации в будущем",IF(S139="Да","Ошибка: подтверждённый дубль",IF(S139="","Проверить: отметьте дубль",IF(S139="Нужно проверить","Проверить возможный дубль",IF(TODAY()-E139&gt;30,"Проверить: старше 30 дней",IF(COUNTIFS(#REF!,G139,#REF!,"Готово")=0,"Проверить источник","Готово"))))))))))</f>
        <v/>
      </c>
    </row>
    <row r="140" spans="1:21" ht="25.5" customHeight="1">
      <c r="A140" s="21"/>
      <c r="B140" s="22"/>
      <c r="C140" s="21"/>
      <c r="D140" s="23"/>
      <c r="E140" s="22"/>
      <c r="F140" s="22"/>
      <c r="G140" s="23"/>
      <c r="H140" s="24"/>
      <c r="I140" s="24"/>
      <c r="J140" s="23"/>
      <c r="K140" s="23"/>
      <c r="L140" s="23"/>
      <c r="M140" s="23"/>
      <c r="N140" s="23"/>
      <c r="O140" s="23"/>
      <c r="P140" s="23"/>
      <c r="Q140" s="25"/>
      <c r="R140" s="23"/>
      <c r="S140" s="23"/>
      <c r="T140" s="23"/>
      <c r="U140" s="20" t="str">
        <f ca="1">IF(COUNTA(A140:T140)=0,"",IF(OR(A140="",B140="",C140="",E140="",G140="",H140="",J140="",K140="",L140="",M140=""),"Ошибка: заполните обязательные поля",IF(AND(LEFT(H140,7)&lt;&gt;"http://",LEFT(H140,8)&lt;&gt;"https://"),"Ошибка: некорректная ссылка",IF(COUNTIF($H$6:$H$1005,H140)&gt;1,"Ошибка: дубликат URL",IF(E140&gt;TODAY(),"Ошибка: дата публикации в будущем",IF(S140="Да","Ошибка: подтверждённый дубль",IF(S140="","Проверить: отметьте дубль",IF(S140="Нужно проверить","Проверить возможный дубль",IF(TODAY()-E140&gt;30,"Проверить: старше 30 дней",IF(COUNTIFS(#REF!,G140,#REF!,"Готово")=0,"Проверить источник","Готово"))))))))))</f>
        <v/>
      </c>
    </row>
    <row r="141" spans="1:21" ht="25.5" customHeight="1">
      <c r="A141" s="21"/>
      <c r="B141" s="22"/>
      <c r="C141" s="21"/>
      <c r="D141" s="23"/>
      <c r="E141" s="22"/>
      <c r="F141" s="22"/>
      <c r="G141" s="23"/>
      <c r="H141" s="24"/>
      <c r="I141" s="24"/>
      <c r="J141" s="23"/>
      <c r="K141" s="23"/>
      <c r="L141" s="23"/>
      <c r="M141" s="23"/>
      <c r="N141" s="23"/>
      <c r="O141" s="23"/>
      <c r="P141" s="23"/>
      <c r="Q141" s="25"/>
      <c r="R141" s="23"/>
      <c r="S141" s="23"/>
      <c r="T141" s="23"/>
      <c r="U141" s="20" t="str">
        <f ca="1">IF(COUNTA(A141:T141)=0,"",IF(OR(A141="",B141="",C141="",E141="",G141="",H141="",J141="",K141="",L141="",M141=""),"Ошибка: заполните обязательные поля",IF(AND(LEFT(H141,7)&lt;&gt;"http://",LEFT(H141,8)&lt;&gt;"https://"),"Ошибка: некорректная ссылка",IF(COUNTIF($H$6:$H$1005,H141)&gt;1,"Ошибка: дубликат URL",IF(E141&gt;TODAY(),"Ошибка: дата публикации в будущем",IF(S141="Да","Ошибка: подтверждённый дубль",IF(S141="","Проверить: отметьте дубль",IF(S141="Нужно проверить","Проверить возможный дубль",IF(TODAY()-E141&gt;30,"Проверить: старше 30 дней",IF(COUNTIFS(#REF!,G141,#REF!,"Готово")=0,"Проверить источник","Готово"))))))))))</f>
        <v/>
      </c>
    </row>
    <row r="142" spans="1:21" ht="25.5" customHeight="1">
      <c r="A142" s="21"/>
      <c r="B142" s="22"/>
      <c r="C142" s="21"/>
      <c r="D142" s="23"/>
      <c r="E142" s="22"/>
      <c r="F142" s="22"/>
      <c r="G142" s="23"/>
      <c r="H142" s="24"/>
      <c r="I142" s="24"/>
      <c r="J142" s="23"/>
      <c r="K142" s="23"/>
      <c r="L142" s="23"/>
      <c r="M142" s="23"/>
      <c r="N142" s="23"/>
      <c r="O142" s="23"/>
      <c r="P142" s="23"/>
      <c r="Q142" s="25"/>
      <c r="R142" s="23"/>
      <c r="S142" s="23"/>
      <c r="T142" s="23"/>
      <c r="U142" s="20" t="str">
        <f ca="1">IF(COUNTA(A142:T142)=0,"",IF(OR(A142="",B142="",C142="",E142="",G142="",H142="",J142="",K142="",L142="",M142=""),"Ошибка: заполните обязательные поля",IF(AND(LEFT(H142,7)&lt;&gt;"http://",LEFT(H142,8)&lt;&gt;"https://"),"Ошибка: некорректная ссылка",IF(COUNTIF($H$6:$H$1005,H142)&gt;1,"Ошибка: дубликат URL",IF(E142&gt;TODAY(),"Ошибка: дата публикации в будущем",IF(S142="Да","Ошибка: подтверждённый дубль",IF(S142="","Проверить: отметьте дубль",IF(S142="Нужно проверить","Проверить возможный дубль",IF(TODAY()-E142&gt;30,"Проверить: старше 30 дней",IF(COUNTIFS(#REF!,G142,#REF!,"Готово")=0,"Проверить источник","Готово"))))))))))</f>
        <v/>
      </c>
    </row>
    <row r="143" spans="1:21" ht="25.5" customHeight="1">
      <c r="A143" s="21"/>
      <c r="B143" s="22"/>
      <c r="C143" s="21"/>
      <c r="D143" s="23"/>
      <c r="E143" s="22"/>
      <c r="F143" s="22"/>
      <c r="G143" s="23"/>
      <c r="H143" s="24"/>
      <c r="I143" s="24"/>
      <c r="J143" s="23"/>
      <c r="K143" s="23"/>
      <c r="L143" s="23"/>
      <c r="M143" s="23"/>
      <c r="N143" s="23"/>
      <c r="O143" s="23"/>
      <c r="P143" s="23"/>
      <c r="Q143" s="25"/>
      <c r="R143" s="23"/>
      <c r="S143" s="23"/>
      <c r="T143" s="23"/>
      <c r="U143" s="20" t="str">
        <f ca="1">IF(COUNTA(A143:T143)=0,"",IF(OR(A143="",B143="",C143="",E143="",G143="",H143="",J143="",K143="",L143="",M143=""),"Ошибка: заполните обязательные поля",IF(AND(LEFT(H143,7)&lt;&gt;"http://",LEFT(H143,8)&lt;&gt;"https://"),"Ошибка: некорректная ссылка",IF(COUNTIF($H$6:$H$1005,H143)&gt;1,"Ошибка: дубликат URL",IF(E143&gt;TODAY(),"Ошибка: дата публикации в будущем",IF(S143="Да","Ошибка: подтверждённый дубль",IF(S143="","Проверить: отметьте дубль",IF(S143="Нужно проверить","Проверить возможный дубль",IF(TODAY()-E143&gt;30,"Проверить: старше 30 дней",IF(COUNTIFS(#REF!,G143,#REF!,"Готово")=0,"Проверить источник","Готово"))))))))))</f>
        <v/>
      </c>
    </row>
    <row r="144" spans="1:21" ht="25.5" customHeight="1">
      <c r="A144" s="21"/>
      <c r="B144" s="22"/>
      <c r="C144" s="21"/>
      <c r="D144" s="23"/>
      <c r="E144" s="22"/>
      <c r="F144" s="22"/>
      <c r="G144" s="23"/>
      <c r="H144" s="24"/>
      <c r="I144" s="24"/>
      <c r="J144" s="23"/>
      <c r="K144" s="23"/>
      <c r="L144" s="23"/>
      <c r="M144" s="23"/>
      <c r="N144" s="23"/>
      <c r="O144" s="23"/>
      <c r="P144" s="23"/>
      <c r="Q144" s="25"/>
      <c r="R144" s="23"/>
      <c r="S144" s="23"/>
      <c r="T144" s="23"/>
      <c r="U144" s="20" t="str">
        <f ca="1">IF(COUNTA(A144:T144)=0,"",IF(OR(A144="",B144="",C144="",E144="",G144="",H144="",J144="",K144="",L144="",M144=""),"Ошибка: заполните обязательные поля",IF(AND(LEFT(H144,7)&lt;&gt;"http://",LEFT(H144,8)&lt;&gt;"https://"),"Ошибка: некорректная ссылка",IF(COUNTIF($H$6:$H$1005,H144)&gt;1,"Ошибка: дубликат URL",IF(E144&gt;TODAY(),"Ошибка: дата публикации в будущем",IF(S144="Да","Ошибка: подтверждённый дубль",IF(S144="","Проверить: отметьте дубль",IF(S144="Нужно проверить","Проверить возможный дубль",IF(TODAY()-E144&gt;30,"Проверить: старше 30 дней",IF(COUNTIFS(#REF!,G144,#REF!,"Готово")=0,"Проверить источник","Готово"))))))))))</f>
        <v/>
      </c>
    </row>
    <row r="145" spans="1:21" ht="25.5" customHeight="1">
      <c r="A145" s="21"/>
      <c r="B145" s="22"/>
      <c r="C145" s="21"/>
      <c r="D145" s="23"/>
      <c r="E145" s="22"/>
      <c r="F145" s="22"/>
      <c r="G145" s="23"/>
      <c r="H145" s="24"/>
      <c r="I145" s="24"/>
      <c r="J145" s="23"/>
      <c r="K145" s="23"/>
      <c r="L145" s="23"/>
      <c r="M145" s="23"/>
      <c r="N145" s="23"/>
      <c r="O145" s="23"/>
      <c r="P145" s="23"/>
      <c r="Q145" s="25"/>
      <c r="R145" s="23"/>
      <c r="S145" s="23"/>
      <c r="T145" s="23"/>
      <c r="U145" s="20" t="str">
        <f ca="1">IF(COUNTA(A145:T145)=0,"",IF(OR(A145="",B145="",C145="",E145="",G145="",H145="",J145="",K145="",L145="",M145=""),"Ошибка: заполните обязательные поля",IF(AND(LEFT(H145,7)&lt;&gt;"http://",LEFT(H145,8)&lt;&gt;"https://"),"Ошибка: некорректная ссылка",IF(COUNTIF($H$6:$H$1005,H145)&gt;1,"Ошибка: дубликат URL",IF(E145&gt;TODAY(),"Ошибка: дата публикации в будущем",IF(S145="Да","Ошибка: подтверждённый дубль",IF(S145="","Проверить: отметьте дубль",IF(S145="Нужно проверить","Проверить возможный дубль",IF(TODAY()-E145&gt;30,"Проверить: старше 30 дней",IF(COUNTIFS(#REF!,G145,#REF!,"Готово")=0,"Проверить источник","Готово"))))))))))</f>
        <v/>
      </c>
    </row>
    <row r="146" spans="1:21" ht="25.5" customHeight="1">
      <c r="A146" s="21"/>
      <c r="B146" s="22"/>
      <c r="C146" s="21"/>
      <c r="D146" s="23"/>
      <c r="E146" s="22"/>
      <c r="F146" s="22"/>
      <c r="G146" s="23"/>
      <c r="H146" s="24"/>
      <c r="I146" s="24"/>
      <c r="J146" s="23"/>
      <c r="K146" s="23"/>
      <c r="L146" s="23"/>
      <c r="M146" s="23"/>
      <c r="N146" s="23"/>
      <c r="O146" s="23"/>
      <c r="P146" s="23"/>
      <c r="Q146" s="25"/>
      <c r="R146" s="23"/>
      <c r="S146" s="23"/>
      <c r="T146" s="23"/>
      <c r="U146" s="20" t="str">
        <f ca="1">IF(COUNTA(A146:T146)=0,"",IF(OR(A146="",B146="",C146="",E146="",G146="",H146="",J146="",K146="",L146="",M146=""),"Ошибка: заполните обязательные поля",IF(AND(LEFT(H146,7)&lt;&gt;"http://",LEFT(H146,8)&lt;&gt;"https://"),"Ошибка: некорректная ссылка",IF(COUNTIF($H$6:$H$1005,H146)&gt;1,"Ошибка: дубликат URL",IF(E146&gt;TODAY(),"Ошибка: дата публикации в будущем",IF(S146="Да","Ошибка: подтверждённый дубль",IF(S146="","Проверить: отметьте дубль",IF(S146="Нужно проверить","Проверить возможный дубль",IF(TODAY()-E146&gt;30,"Проверить: старше 30 дней",IF(COUNTIFS(#REF!,G146,#REF!,"Готово")=0,"Проверить источник","Готово"))))))))))</f>
        <v/>
      </c>
    </row>
    <row r="147" spans="1:21" ht="25.5" customHeight="1">
      <c r="A147" s="21"/>
      <c r="B147" s="22"/>
      <c r="C147" s="21"/>
      <c r="D147" s="23"/>
      <c r="E147" s="22"/>
      <c r="F147" s="22"/>
      <c r="G147" s="23"/>
      <c r="H147" s="24"/>
      <c r="I147" s="24"/>
      <c r="J147" s="23"/>
      <c r="K147" s="23"/>
      <c r="L147" s="23"/>
      <c r="M147" s="23"/>
      <c r="N147" s="23"/>
      <c r="O147" s="23"/>
      <c r="P147" s="23"/>
      <c r="Q147" s="25"/>
      <c r="R147" s="23"/>
      <c r="S147" s="23"/>
      <c r="T147" s="23"/>
      <c r="U147" s="20" t="str">
        <f ca="1">IF(COUNTA(A147:T147)=0,"",IF(OR(A147="",B147="",C147="",E147="",G147="",H147="",J147="",K147="",L147="",M147=""),"Ошибка: заполните обязательные поля",IF(AND(LEFT(H147,7)&lt;&gt;"http://",LEFT(H147,8)&lt;&gt;"https://"),"Ошибка: некорректная ссылка",IF(COUNTIF($H$6:$H$1005,H147)&gt;1,"Ошибка: дубликат URL",IF(E147&gt;TODAY(),"Ошибка: дата публикации в будущем",IF(S147="Да","Ошибка: подтверждённый дубль",IF(S147="","Проверить: отметьте дубль",IF(S147="Нужно проверить","Проверить возможный дубль",IF(TODAY()-E147&gt;30,"Проверить: старше 30 дней",IF(COUNTIFS(#REF!,G147,#REF!,"Готово")=0,"Проверить источник","Готово"))))))))))</f>
        <v/>
      </c>
    </row>
    <row r="148" spans="1:21" ht="25.5" customHeight="1">
      <c r="A148" s="21"/>
      <c r="B148" s="22"/>
      <c r="C148" s="21"/>
      <c r="D148" s="23"/>
      <c r="E148" s="22"/>
      <c r="F148" s="22"/>
      <c r="G148" s="23"/>
      <c r="H148" s="24"/>
      <c r="I148" s="24"/>
      <c r="J148" s="23"/>
      <c r="K148" s="23"/>
      <c r="L148" s="23"/>
      <c r="M148" s="23"/>
      <c r="N148" s="23"/>
      <c r="O148" s="23"/>
      <c r="P148" s="23"/>
      <c r="Q148" s="25"/>
      <c r="R148" s="23"/>
      <c r="S148" s="23"/>
      <c r="T148" s="23"/>
      <c r="U148" s="20" t="str">
        <f ca="1">IF(COUNTA(A148:T148)=0,"",IF(OR(A148="",B148="",C148="",E148="",G148="",H148="",J148="",K148="",L148="",M148=""),"Ошибка: заполните обязательные поля",IF(AND(LEFT(H148,7)&lt;&gt;"http://",LEFT(H148,8)&lt;&gt;"https://"),"Ошибка: некорректная ссылка",IF(COUNTIF($H$6:$H$1005,H148)&gt;1,"Ошибка: дубликат URL",IF(E148&gt;TODAY(),"Ошибка: дата публикации в будущем",IF(S148="Да","Ошибка: подтверждённый дубль",IF(S148="","Проверить: отметьте дубль",IF(S148="Нужно проверить","Проверить возможный дубль",IF(TODAY()-E148&gt;30,"Проверить: старше 30 дней",IF(COUNTIFS(#REF!,G148,#REF!,"Готово")=0,"Проверить источник","Готово"))))))))))</f>
        <v/>
      </c>
    </row>
    <row r="149" spans="1:21" ht="25.5" customHeight="1">
      <c r="A149" s="21"/>
      <c r="B149" s="22"/>
      <c r="C149" s="21"/>
      <c r="D149" s="23"/>
      <c r="E149" s="22"/>
      <c r="F149" s="22"/>
      <c r="G149" s="23"/>
      <c r="H149" s="24"/>
      <c r="I149" s="24"/>
      <c r="J149" s="23"/>
      <c r="K149" s="23"/>
      <c r="L149" s="23"/>
      <c r="M149" s="23"/>
      <c r="N149" s="23"/>
      <c r="O149" s="23"/>
      <c r="P149" s="23"/>
      <c r="Q149" s="25"/>
      <c r="R149" s="23"/>
      <c r="S149" s="23"/>
      <c r="T149" s="23"/>
      <c r="U149" s="20" t="str">
        <f ca="1">IF(COUNTA(A149:T149)=0,"",IF(OR(A149="",B149="",C149="",E149="",G149="",H149="",J149="",K149="",L149="",M149=""),"Ошибка: заполните обязательные поля",IF(AND(LEFT(H149,7)&lt;&gt;"http://",LEFT(H149,8)&lt;&gt;"https://"),"Ошибка: некорректная ссылка",IF(COUNTIF($H$6:$H$1005,H149)&gt;1,"Ошибка: дубликат URL",IF(E149&gt;TODAY(),"Ошибка: дата публикации в будущем",IF(S149="Да","Ошибка: подтверждённый дубль",IF(S149="","Проверить: отметьте дубль",IF(S149="Нужно проверить","Проверить возможный дубль",IF(TODAY()-E149&gt;30,"Проверить: старше 30 дней",IF(COUNTIFS(#REF!,G149,#REF!,"Готово")=0,"Проверить источник","Готово"))))))))))</f>
        <v/>
      </c>
    </row>
    <row r="150" spans="1:21" ht="25.5" customHeight="1">
      <c r="A150" s="21"/>
      <c r="B150" s="22"/>
      <c r="C150" s="21"/>
      <c r="D150" s="23"/>
      <c r="E150" s="22"/>
      <c r="F150" s="22"/>
      <c r="G150" s="23"/>
      <c r="H150" s="24"/>
      <c r="I150" s="24"/>
      <c r="J150" s="23"/>
      <c r="K150" s="23"/>
      <c r="L150" s="23"/>
      <c r="M150" s="23"/>
      <c r="N150" s="23"/>
      <c r="O150" s="23"/>
      <c r="P150" s="23"/>
      <c r="Q150" s="25"/>
      <c r="R150" s="23"/>
      <c r="S150" s="23"/>
      <c r="T150" s="23"/>
      <c r="U150" s="20" t="str">
        <f ca="1">IF(COUNTA(A150:T150)=0,"",IF(OR(A150="",B150="",C150="",E150="",G150="",H150="",J150="",K150="",L150="",M150=""),"Ошибка: заполните обязательные поля",IF(AND(LEFT(H150,7)&lt;&gt;"http://",LEFT(H150,8)&lt;&gt;"https://"),"Ошибка: некорректная ссылка",IF(COUNTIF($H$6:$H$1005,H150)&gt;1,"Ошибка: дубликат URL",IF(E150&gt;TODAY(),"Ошибка: дата публикации в будущем",IF(S150="Да","Ошибка: подтверждённый дубль",IF(S150="","Проверить: отметьте дубль",IF(S150="Нужно проверить","Проверить возможный дубль",IF(TODAY()-E150&gt;30,"Проверить: старше 30 дней",IF(COUNTIFS(#REF!,G150,#REF!,"Готово")=0,"Проверить источник","Готово"))))))))))</f>
        <v/>
      </c>
    </row>
    <row r="151" spans="1:21" ht="25.5" customHeight="1">
      <c r="A151" s="21"/>
      <c r="B151" s="22"/>
      <c r="C151" s="21"/>
      <c r="D151" s="23"/>
      <c r="E151" s="22"/>
      <c r="F151" s="22"/>
      <c r="G151" s="23"/>
      <c r="H151" s="24"/>
      <c r="I151" s="24"/>
      <c r="J151" s="23"/>
      <c r="K151" s="23"/>
      <c r="L151" s="23"/>
      <c r="M151" s="23"/>
      <c r="N151" s="23"/>
      <c r="O151" s="23"/>
      <c r="P151" s="23"/>
      <c r="Q151" s="25"/>
      <c r="R151" s="23"/>
      <c r="S151" s="23"/>
      <c r="T151" s="23"/>
      <c r="U151" s="20" t="str">
        <f ca="1">IF(COUNTA(A151:T151)=0,"",IF(OR(A151="",B151="",C151="",E151="",G151="",H151="",J151="",K151="",L151="",M151=""),"Ошибка: заполните обязательные поля",IF(AND(LEFT(H151,7)&lt;&gt;"http://",LEFT(H151,8)&lt;&gt;"https://"),"Ошибка: некорректная ссылка",IF(COUNTIF($H$6:$H$1005,H151)&gt;1,"Ошибка: дубликат URL",IF(E151&gt;TODAY(),"Ошибка: дата публикации в будущем",IF(S151="Да","Ошибка: подтверждённый дубль",IF(S151="","Проверить: отметьте дубль",IF(S151="Нужно проверить","Проверить возможный дубль",IF(TODAY()-E151&gt;30,"Проверить: старше 30 дней",IF(COUNTIFS(#REF!,G151,#REF!,"Готово")=0,"Проверить источник","Готово"))))))))))</f>
        <v/>
      </c>
    </row>
    <row r="152" spans="1:21" ht="25.5" customHeight="1">
      <c r="A152" s="21"/>
      <c r="B152" s="22"/>
      <c r="C152" s="21"/>
      <c r="D152" s="23"/>
      <c r="E152" s="22"/>
      <c r="F152" s="22"/>
      <c r="G152" s="23"/>
      <c r="H152" s="24"/>
      <c r="I152" s="24"/>
      <c r="J152" s="23"/>
      <c r="K152" s="23"/>
      <c r="L152" s="23"/>
      <c r="M152" s="23"/>
      <c r="N152" s="23"/>
      <c r="O152" s="23"/>
      <c r="P152" s="23"/>
      <c r="Q152" s="25"/>
      <c r="R152" s="23"/>
      <c r="S152" s="23"/>
      <c r="T152" s="23"/>
      <c r="U152" s="20" t="str">
        <f ca="1">IF(COUNTA(A152:T152)=0,"",IF(OR(A152="",B152="",C152="",E152="",G152="",H152="",J152="",K152="",L152="",M152=""),"Ошибка: заполните обязательные поля",IF(AND(LEFT(H152,7)&lt;&gt;"http://",LEFT(H152,8)&lt;&gt;"https://"),"Ошибка: некорректная ссылка",IF(COUNTIF($H$6:$H$1005,H152)&gt;1,"Ошибка: дубликат URL",IF(E152&gt;TODAY(),"Ошибка: дата публикации в будущем",IF(S152="Да","Ошибка: подтверждённый дубль",IF(S152="","Проверить: отметьте дубль",IF(S152="Нужно проверить","Проверить возможный дубль",IF(TODAY()-E152&gt;30,"Проверить: старше 30 дней",IF(COUNTIFS(#REF!,G152,#REF!,"Готово")=0,"Проверить источник","Готово"))))))))))</f>
        <v/>
      </c>
    </row>
    <row r="153" spans="1:21" ht="25.5" customHeight="1">
      <c r="A153" s="21"/>
      <c r="B153" s="22"/>
      <c r="C153" s="21"/>
      <c r="D153" s="23"/>
      <c r="E153" s="22"/>
      <c r="F153" s="22"/>
      <c r="G153" s="23"/>
      <c r="H153" s="24"/>
      <c r="I153" s="24"/>
      <c r="J153" s="23"/>
      <c r="K153" s="23"/>
      <c r="L153" s="23"/>
      <c r="M153" s="23"/>
      <c r="N153" s="23"/>
      <c r="O153" s="23"/>
      <c r="P153" s="23"/>
      <c r="Q153" s="25"/>
      <c r="R153" s="23"/>
      <c r="S153" s="23"/>
      <c r="T153" s="23"/>
      <c r="U153" s="20" t="str">
        <f ca="1">IF(COUNTA(A153:T153)=0,"",IF(OR(A153="",B153="",C153="",E153="",G153="",H153="",J153="",K153="",L153="",M153=""),"Ошибка: заполните обязательные поля",IF(AND(LEFT(H153,7)&lt;&gt;"http://",LEFT(H153,8)&lt;&gt;"https://"),"Ошибка: некорректная ссылка",IF(COUNTIF($H$6:$H$1005,H153)&gt;1,"Ошибка: дубликат URL",IF(E153&gt;TODAY(),"Ошибка: дата публикации в будущем",IF(S153="Да","Ошибка: подтверждённый дубль",IF(S153="","Проверить: отметьте дубль",IF(S153="Нужно проверить","Проверить возможный дубль",IF(TODAY()-E153&gt;30,"Проверить: старше 30 дней",IF(COUNTIFS(#REF!,G153,#REF!,"Готово")=0,"Проверить источник","Готово"))))))))))</f>
        <v/>
      </c>
    </row>
    <row r="154" spans="1:21" ht="25.5" customHeight="1">
      <c r="A154" s="21"/>
      <c r="B154" s="22"/>
      <c r="C154" s="21"/>
      <c r="D154" s="23"/>
      <c r="E154" s="22"/>
      <c r="F154" s="22"/>
      <c r="G154" s="23"/>
      <c r="H154" s="24"/>
      <c r="I154" s="24"/>
      <c r="J154" s="23"/>
      <c r="K154" s="23"/>
      <c r="L154" s="23"/>
      <c r="M154" s="23"/>
      <c r="N154" s="23"/>
      <c r="O154" s="23"/>
      <c r="P154" s="23"/>
      <c r="Q154" s="25"/>
      <c r="R154" s="23"/>
      <c r="S154" s="23"/>
      <c r="T154" s="23"/>
      <c r="U154" s="20" t="str">
        <f ca="1">IF(COUNTA(A154:T154)=0,"",IF(OR(A154="",B154="",C154="",E154="",G154="",H154="",J154="",K154="",L154="",M154=""),"Ошибка: заполните обязательные поля",IF(AND(LEFT(H154,7)&lt;&gt;"http://",LEFT(H154,8)&lt;&gt;"https://"),"Ошибка: некорректная ссылка",IF(COUNTIF($H$6:$H$1005,H154)&gt;1,"Ошибка: дубликат URL",IF(E154&gt;TODAY(),"Ошибка: дата публикации в будущем",IF(S154="Да","Ошибка: подтверждённый дубль",IF(S154="","Проверить: отметьте дубль",IF(S154="Нужно проверить","Проверить возможный дубль",IF(TODAY()-E154&gt;30,"Проверить: старше 30 дней",IF(COUNTIFS(#REF!,G154,#REF!,"Готово")=0,"Проверить источник","Готово"))))))))))</f>
        <v/>
      </c>
    </row>
    <row r="155" spans="1:21" ht="25.5" customHeight="1">
      <c r="A155" s="21"/>
      <c r="B155" s="22"/>
      <c r="C155" s="21"/>
      <c r="D155" s="23"/>
      <c r="E155" s="22"/>
      <c r="F155" s="22"/>
      <c r="G155" s="23"/>
      <c r="H155" s="24"/>
      <c r="I155" s="24"/>
      <c r="J155" s="23"/>
      <c r="K155" s="23"/>
      <c r="L155" s="23"/>
      <c r="M155" s="23"/>
      <c r="N155" s="23"/>
      <c r="O155" s="23"/>
      <c r="P155" s="23"/>
      <c r="Q155" s="25"/>
      <c r="R155" s="23"/>
      <c r="S155" s="23"/>
      <c r="T155" s="23"/>
      <c r="U155" s="20" t="str">
        <f ca="1">IF(COUNTA(A155:T155)=0,"",IF(OR(A155="",B155="",C155="",E155="",G155="",H155="",J155="",K155="",L155="",M155=""),"Ошибка: заполните обязательные поля",IF(AND(LEFT(H155,7)&lt;&gt;"http://",LEFT(H155,8)&lt;&gt;"https://"),"Ошибка: некорректная ссылка",IF(COUNTIF($H$6:$H$1005,H155)&gt;1,"Ошибка: дубликат URL",IF(E155&gt;TODAY(),"Ошибка: дата публикации в будущем",IF(S155="Да","Ошибка: подтверждённый дубль",IF(S155="","Проверить: отметьте дубль",IF(S155="Нужно проверить","Проверить возможный дубль",IF(TODAY()-E155&gt;30,"Проверить: старше 30 дней",IF(COUNTIFS(#REF!,G155,#REF!,"Готово")=0,"Проверить источник","Готово"))))))))))</f>
        <v/>
      </c>
    </row>
    <row r="156" spans="1:21" ht="25.5" customHeight="1">
      <c r="A156" s="21"/>
      <c r="B156" s="22"/>
      <c r="C156" s="21"/>
      <c r="D156" s="23"/>
      <c r="E156" s="22"/>
      <c r="F156" s="22"/>
      <c r="G156" s="23"/>
      <c r="H156" s="24"/>
      <c r="I156" s="24"/>
      <c r="J156" s="23"/>
      <c r="K156" s="23"/>
      <c r="L156" s="23"/>
      <c r="M156" s="23"/>
      <c r="N156" s="23"/>
      <c r="O156" s="23"/>
      <c r="P156" s="23"/>
      <c r="Q156" s="25"/>
      <c r="R156" s="23"/>
      <c r="S156" s="23"/>
      <c r="T156" s="23"/>
      <c r="U156" s="20" t="str">
        <f ca="1">IF(COUNTA(A156:T156)=0,"",IF(OR(A156="",B156="",C156="",E156="",G156="",H156="",J156="",K156="",L156="",M156=""),"Ошибка: заполните обязательные поля",IF(AND(LEFT(H156,7)&lt;&gt;"http://",LEFT(H156,8)&lt;&gt;"https://"),"Ошибка: некорректная ссылка",IF(COUNTIF($H$6:$H$1005,H156)&gt;1,"Ошибка: дубликат URL",IF(E156&gt;TODAY(),"Ошибка: дата публикации в будущем",IF(S156="Да","Ошибка: подтверждённый дубль",IF(S156="","Проверить: отметьте дубль",IF(S156="Нужно проверить","Проверить возможный дубль",IF(TODAY()-E156&gt;30,"Проверить: старше 30 дней",IF(COUNTIFS(#REF!,G156,#REF!,"Готово")=0,"Проверить источник","Готово"))))))))))</f>
        <v/>
      </c>
    </row>
    <row r="157" spans="1:21" ht="25.5" customHeight="1">
      <c r="A157" s="21"/>
      <c r="B157" s="22"/>
      <c r="C157" s="21"/>
      <c r="D157" s="23"/>
      <c r="E157" s="22"/>
      <c r="F157" s="22"/>
      <c r="G157" s="23"/>
      <c r="H157" s="24"/>
      <c r="I157" s="24"/>
      <c r="J157" s="23"/>
      <c r="K157" s="23"/>
      <c r="L157" s="23"/>
      <c r="M157" s="23"/>
      <c r="N157" s="23"/>
      <c r="O157" s="23"/>
      <c r="P157" s="23"/>
      <c r="Q157" s="25"/>
      <c r="R157" s="23"/>
      <c r="S157" s="23"/>
      <c r="T157" s="23"/>
      <c r="U157" s="20" t="str">
        <f ca="1">IF(COUNTA(A157:T157)=0,"",IF(OR(A157="",B157="",C157="",E157="",G157="",H157="",J157="",K157="",L157="",M157=""),"Ошибка: заполните обязательные поля",IF(AND(LEFT(H157,7)&lt;&gt;"http://",LEFT(H157,8)&lt;&gt;"https://"),"Ошибка: некорректная ссылка",IF(COUNTIF($H$6:$H$1005,H157)&gt;1,"Ошибка: дубликат URL",IF(E157&gt;TODAY(),"Ошибка: дата публикации в будущем",IF(S157="Да","Ошибка: подтверждённый дубль",IF(S157="","Проверить: отметьте дубль",IF(S157="Нужно проверить","Проверить возможный дубль",IF(TODAY()-E157&gt;30,"Проверить: старше 30 дней",IF(COUNTIFS(#REF!,G157,#REF!,"Готово")=0,"Проверить источник","Готово"))))))))))</f>
        <v/>
      </c>
    </row>
    <row r="158" spans="1:21" ht="25.5" customHeight="1">
      <c r="A158" s="21"/>
      <c r="B158" s="22"/>
      <c r="C158" s="21"/>
      <c r="D158" s="23"/>
      <c r="E158" s="22"/>
      <c r="F158" s="22"/>
      <c r="G158" s="23"/>
      <c r="H158" s="24"/>
      <c r="I158" s="24"/>
      <c r="J158" s="23"/>
      <c r="K158" s="23"/>
      <c r="L158" s="23"/>
      <c r="M158" s="23"/>
      <c r="N158" s="23"/>
      <c r="O158" s="23"/>
      <c r="P158" s="23"/>
      <c r="Q158" s="25"/>
      <c r="R158" s="23"/>
      <c r="S158" s="23"/>
      <c r="T158" s="23"/>
      <c r="U158" s="20" t="str">
        <f ca="1">IF(COUNTA(A158:T158)=0,"",IF(OR(A158="",B158="",C158="",E158="",G158="",H158="",J158="",K158="",L158="",M158=""),"Ошибка: заполните обязательные поля",IF(AND(LEFT(H158,7)&lt;&gt;"http://",LEFT(H158,8)&lt;&gt;"https://"),"Ошибка: некорректная ссылка",IF(COUNTIF($H$6:$H$1005,H158)&gt;1,"Ошибка: дубликат URL",IF(E158&gt;TODAY(),"Ошибка: дата публикации в будущем",IF(S158="Да","Ошибка: подтверждённый дубль",IF(S158="","Проверить: отметьте дубль",IF(S158="Нужно проверить","Проверить возможный дубль",IF(TODAY()-E158&gt;30,"Проверить: старше 30 дней",IF(COUNTIFS(#REF!,G158,#REF!,"Готово")=0,"Проверить источник","Готово"))))))))))</f>
        <v/>
      </c>
    </row>
    <row r="159" spans="1:21" ht="25.5" customHeight="1">
      <c r="A159" s="21"/>
      <c r="B159" s="22"/>
      <c r="C159" s="21"/>
      <c r="D159" s="23"/>
      <c r="E159" s="22"/>
      <c r="F159" s="22"/>
      <c r="G159" s="23"/>
      <c r="H159" s="24"/>
      <c r="I159" s="24"/>
      <c r="J159" s="23"/>
      <c r="K159" s="23"/>
      <c r="L159" s="23"/>
      <c r="M159" s="23"/>
      <c r="N159" s="23"/>
      <c r="O159" s="23"/>
      <c r="P159" s="23"/>
      <c r="Q159" s="25"/>
      <c r="R159" s="23"/>
      <c r="S159" s="23"/>
      <c r="T159" s="23"/>
      <c r="U159" s="20" t="str">
        <f ca="1">IF(COUNTA(A159:T159)=0,"",IF(OR(A159="",B159="",C159="",E159="",G159="",H159="",J159="",K159="",L159="",M159=""),"Ошибка: заполните обязательные поля",IF(AND(LEFT(H159,7)&lt;&gt;"http://",LEFT(H159,8)&lt;&gt;"https://"),"Ошибка: некорректная ссылка",IF(COUNTIF($H$6:$H$1005,H159)&gt;1,"Ошибка: дубликат URL",IF(E159&gt;TODAY(),"Ошибка: дата публикации в будущем",IF(S159="Да","Ошибка: подтверждённый дубль",IF(S159="","Проверить: отметьте дубль",IF(S159="Нужно проверить","Проверить возможный дубль",IF(TODAY()-E159&gt;30,"Проверить: старше 30 дней",IF(COUNTIFS(#REF!,G159,#REF!,"Готово")=0,"Проверить источник","Готово"))))))))))</f>
        <v/>
      </c>
    </row>
    <row r="160" spans="1:21" ht="25.5" customHeight="1">
      <c r="A160" s="21"/>
      <c r="B160" s="22"/>
      <c r="C160" s="21"/>
      <c r="D160" s="23"/>
      <c r="E160" s="22"/>
      <c r="F160" s="22"/>
      <c r="G160" s="23"/>
      <c r="H160" s="24"/>
      <c r="I160" s="24"/>
      <c r="J160" s="23"/>
      <c r="K160" s="23"/>
      <c r="L160" s="23"/>
      <c r="M160" s="23"/>
      <c r="N160" s="23"/>
      <c r="O160" s="23"/>
      <c r="P160" s="23"/>
      <c r="Q160" s="25"/>
      <c r="R160" s="23"/>
      <c r="S160" s="23"/>
      <c r="T160" s="23"/>
      <c r="U160" s="20" t="str">
        <f ca="1">IF(COUNTA(A160:T160)=0,"",IF(OR(A160="",B160="",C160="",E160="",G160="",H160="",J160="",K160="",L160="",M160=""),"Ошибка: заполните обязательные поля",IF(AND(LEFT(H160,7)&lt;&gt;"http://",LEFT(H160,8)&lt;&gt;"https://"),"Ошибка: некорректная ссылка",IF(COUNTIF($H$6:$H$1005,H160)&gt;1,"Ошибка: дубликат URL",IF(E160&gt;TODAY(),"Ошибка: дата публикации в будущем",IF(S160="Да","Ошибка: подтверждённый дубль",IF(S160="","Проверить: отметьте дубль",IF(S160="Нужно проверить","Проверить возможный дубль",IF(TODAY()-E160&gt;30,"Проверить: старше 30 дней",IF(COUNTIFS(#REF!,G160,#REF!,"Готово")=0,"Проверить источник","Готово"))))))))))</f>
        <v/>
      </c>
    </row>
    <row r="161" spans="1:21" ht="25.5" customHeight="1">
      <c r="A161" s="21"/>
      <c r="B161" s="22"/>
      <c r="C161" s="21"/>
      <c r="D161" s="23"/>
      <c r="E161" s="22"/>
      <c r="F161" s="22"/>
      <c r="G161" s="23"/>
      <c r="H161" s="24"/>
      <c r="I161" s="24"/>
      <c r="J161" s="23"/>
      <c r="K161" s="23"/>
      <c r="L161" s="23"/>
      <c r="M161" s="23"/>
      <c r="N161" s="23"/>
      <c r="O161" s="23"/>
      <c r="P161" s="23"/>
      <c r="Q161" s="25"/>
      <c r="R161" s="23"/>
      <c r="S161" s="23"/>
      <c r="T161" s="23"/>
      <c r="U161" s="20" t="str">
        <f ca="1">IF(COUNTA(A161:T161)=0,"",IF(OR(A161="",B161="",C161="",E161="",G161="",H161="",J161="",K161="",L161="",M161=""),"Ошибка: заполните обязательные поля",IF(AND(LEFT(H161,7)&lt;&gt;"http://",LEFT(H161,8)&lt;&gt;"https://"),"Ошибка: некорректная ссылка",IF(COUNTIF($H$6:$H$1005,H161)&gt;1,"Ошибка: дубликат URL",IF(E161&gt;TODAY(),"Ошибка: дата публикации в будущем",IF(S161="Да","Ошибка: подтверждённый дубль",IF(S161="","Проверить: отметьте дубль",IF(S161="Нужно проверить","Проверить возможный дубль",IF(TODAY()-E161&gt;30,"Проверить: старше 30 дней",IF(COUNTIFS(#REF!,G161,#REF!,"Готово")=0,"Проверить источник","Готово"))))))))))</f>
        <v/>
      </c>
    </row>
    <row r="162" spans="1:21" ht="25.5" customHeight="1">
      <c r="A162" s="21"/>
      <c r="B162" s="22"/>
      <c r="C162" s="21"/>
      <c r="D162" s="23"/>
      <c r="E162" s="22"/>
      <c r="F162" s="22"/>
      <c r="G162" s="23"/>
      <c r="H162" s="24"/>
      <c r="I162" s="24"/>
      <c r="J162" s="23"/>
      <c r="K162" s="23"/>
      <c r="L162" s="23"/>
      <c r="M162" s="23"/>
      <c r="N162" s="23"/>
      <c r="O162" s="23"/>
      <c r="P162" s="23"/>
      <c r="Q162" s="25"/>
      <c r="R162" s="23"/>
      <c r="S162" s="23"/>
      <c r="T162" s="23"/>
      <c r="U162" s="20" t="str">
        <f ca="1">IF(COUNTA(A162:T162)=0,"",IF(OR(A162="",B162="",C162="",E162="",G162="",H162="",J162="",K162="",L162="",M162=""),"Ошибка: заполните обязательные поля",IF(AND(LEFT(H162,7)&lt;&gt;"http://",LEFT(H162,8)&lt;&gt;"https://"),"Ошибка: некорректная ссылка",IF(COUNTIF($H$6:$H$1005,H162)&gt;1,"Ошибка: дубликат URL",IF(E162&gt;TODAY(),"Ошибка: дата публикации в будущем",IF(S162="Да","Ошибка: подтверждённый дубль",IF(S162="","Проверить: отметьте дубль",IF(S162="Нужно проверить","Проверить возможный дубль",IF(TODAY()-E162&gt;30,"Проверить: старше 30 дней",IF(COUNTIFS(#REF!,G162,#REF!,"Готово")=0,"Проверить источник","Готово"))))))))))</f>
        <v/>
      </c>
    </row>
    <row r="163" spans="1:21" ht="25.5" customHeight="1">
      <c r="A163" s="21"/>
      <c r="B163" s="22"/>
      <c r="C163" s="21"/>
      <c r="D163" s="23"/>
      <c r="E163" s="22"/>
      <c r="F163" s="22"/>
      <c r="G163" s="23"/>
      <c r="H163" s="24"/>
      <c r="I163" s="24"/>
      <c r="J163" s="23"/>
      <c r="K163" s="23"/>
      <c r="L163" s="23"/>
      <c r="M163" s="23"/>
      <c r="N163" s="23"/>
      <c r="O163" s="23"/>
      <c r="P163" s="23"/>
      <c r="Q163" s="25"/>
      <c r="R163" s="23"/>
      <c r="S163" s="23"/>
      <c r="T163" s="23"/>
      <c r="U163" s="20" t="str">
        <f ca="1">IF(COUNTA(A163:T163)=0,"",IF(OR(A163="",B163="",C163="",E163="",G163="",H163="",J163="",K163="",L163="",M163=""),"Ошибка: заполните обязательные поля",IF(AND(LEFT(H163,7)&lt;&gt;"http://",LEFT(H163,8)&lt;&gt;"https://"),"Ошибка: некорректная ссылка",IF(COUNTIF($H$6:$H$1005,H163)&gt;1,"Ошибка: дубликат URL",IF(E163&gt;TODAY(),"Ошибка: дата публикации в будущем",IF(S163="Да","Ошибка: подтверждённый дубль",IF(S163="","Проверить: отметьте дубль",IF(S163="Нужно проверить","Проверить возможный дубль",IF(TODAY()-E163&gt;30,"Проверить: старше 30 дней",IF(COUNTIFS(#REF!,G163,#REF!,"Готово")=0,"Проверить источник","Готово"))))))))))</f>
        <v/>
      </c>
    </row>
    <row r="164" spans="1:21" ht="25.5" customHeight="1">
      <c r="A164" s="21"/>
      <c r="B164" s="22"/>
      <c r="C164" s="21"/>
      <c r="D164" s="23"/>
      <c r="E164" s="22"/>
      <c r="F164" s="22"/>
      <c r="G164" s="23"/>
      <c r="H164" s="24"/>
      <c r="I164" s="24"/>
      <c r="J164" s="23"/>
      <c r="K164" s="23"/>
      <c r="L164" s="23"/>
      <c r="M164" s="23"/>
      <c r="N164" s="23"/>
      <c r="O164" s="23"/>
      <c r="P164" s="23"/>
      <c r="Q164" s="25"/>
      <c r="R164" s="23"/>
      <c r="S164" s="23"/>
      <c r="T164" s="23"/>
      <c r="U164" s="20" t="str">
        <f ca="1">IF(COUNTA(A164:T164)=0,"",IF(OR(A164="",B164="",C164="",E164="",G164="",H164="",J164="",K164="",L164="",M164=""),"Ошибка: заполните обязательные поля",IF(AND(LEFT(H164,7)&lt;&gt;"http://",LEFT(H164,8)&lt;&gt;"https://"),"Ошибка: некорректная ссылка",IF(COUNTIF($H$6:$H$1005,H164)&gt;1,"Ошибка: дубликат URL",IF(E164&gt;TODAY(),"Ошибка: дата публикации в будущем",IF(S164="Да","Ошибка: подтверждённый дубль",IF(S164="","Проверить: отметьте дубль",IF(S164="Нужно проверить","Проверить возможный дубль",IF(TODAY()-E164&gt;30,"Проверить: старше 30 дней",IF(COUNTIFS(#REF!,G164,#REF!,"Готово")=0,"Проверить источник","Готово"))))))))))</f>
        <v/>
      </c>
    </row>
    <row r="165" spans="1:21" ht="25.5" customHeight="1">
      <c r="A165" s="21"/>
      <c r="B165" s="22"/>
      <c r="C165" s="21"/>
      <c r="D165" s="23"/>
      <c r="E165" s="22"/>
      <c r="F165" s="22"/>
      <c r="G165" s="23"/>
      <c r="H165" s="24"/>
      <c r="I165" s="24"/>
      <c r="J165" s="23"/>
      <c r="K165" s="23"/>
      <c r="L165" s="23"/>
      <c r="M165" s="23"/>
      <c r="N165" s="23"/>
      <c r="O165" s="23"/>
      <c r="P165" s="23"/>
      <c r="Q165" s="25"/>
      <c r="R165" s="23"/>
      <c r="S165" s="23"/>
      <c r="T165" s="23"/>
      <c r="U165" s="20" t="str">
        <f ca="1">IF(COUNTA(A165:T165)=0,"",IF(OR(A165="",B165="",C165="",E165="",G165="",H165="",J165="",K165="",L165="",M165=""),"Ошибка: заполните обязательные поля",IF(AND(LEFT(H165,7)&lt;&gt;"http://",LEFT(H165,8)&lt;&gt;"https://"),"Ошибка: некорректная ссылка",IF(COUNTIF($H$6:$H$1005,H165)&gt;1,"Ошибка: дубликат URL",IF(E165&gt;TODAY(),"Ошибка: дата публикации в будущем",IF(S165="Да","Ошибка: подтверждённый дубль",IF(S165="","Проверить: отметьте дубль",IF(S165="Нужно проверить","Проверить возможный дубль",IF(TODAY()-E165&gt;30,"Проверить: старше 30 дней",IF(COUNTIFS(#REF!,G165,#REF!,"Готово")=0,"Проверить источник","Готово"))))))))))</f>
        <v/>
      </c>
    </row>
    <row r="166" spans="1:21" ht="25.5" customHeight="1">
      <c r="A166" s="21"/>
      <c r="B166" s="22"/>
      <c r="C166" s="21"/>
      <c r="D166" s="23"/>
      <c r="E166" s="22"/>
      <c r="F166" s="22"/>
      <c r="G166" s="23"/>
      <c r="H166" s="24"/>
      <c r="I166" s="24"/>
      <c r="J166" s="23"/>
      <c r="K166" s="23"/>
      <c r="L166" s="23"/>
      <c r="M166" s="23"/>
      <c r="N166" s="23"/>
      <c r="O166" s="23"/>
      <c r="P166" s="23"/>
      <c r="Q166" s="25"/>
      <c r="R166" s="23"/>
      <c r="S166" s="23"/>
      <c r="T166" s="23"/>
      <c r="U166" s="20" t="str">
        <f ca="1">IF(COUNTA(A166:T166)=0,"",IF(OR(A166="",B166="",C166="",E166="",G166="",H166="",J166="",K166="",L166="",M166=""),"Ошибка: заполните обязательные поля",IF(AND(LEFT(H166,7)&lt;&gt;"http://",LEFT(H166,8)&lt;&gt;"https://"),"Ошибка: некорректная ссылка",IF(COUNTIF($H$6:$H$1005,H166)&gt;1,"Ошибка: дубликат URL",IF(E166&gt;TODAY(),"Ошибка: дата публикации в будущем",IF(S166="Да","Ошибка: подтверждённый дубль",IF(S166="","Проверить: отметьте дубль",IF(S166="Нужно проверить","Проверить возможный дубль",IF(TODAY()-E166&gt;30,"Проверить: старше 30 дней",IF(COUNTIFS(#REF!,G166,#REF!,"Готово")=0,"Проверить источник","Готово"))))))))))</f>
        <v/>
      </c>
    </row>
    <row r="167" spans="1:21" ht="25.5" customHeight="1">
      <c r="A167" s="21"/>
      <c r="B167" s="22"/>
      <c r="C167" s="21"/>
      <c r="D167" s="23"/>
      <c r="E167" s="22"/>
      <c r="F167" s="22"/>
      <c r="G167" s="23"/>
      <c r="H167" s="24"/>
      <c r="I167" s="24"/>
      <c r="J167" s="23"/>
      <c r="K167" s="23"/>
      <c r="L167" s="23"/>
      <c r="M167" s="23"/>
      <c r="N167" s="23"/>
      <c r="O167" s="23"/>
      <c r="P167" s="23"/>
      <c r="Q167" s="25"/>
      <c r="R167" s="23"/>
      <c r="S167" s="23"/>
      <c r="T167" s="23"/>
      <c r="U167" s="20" t="str">
        <f ca="1">IF(COUNTA(A167:T167)=0,"",IF(OR(A167="",B167="",C167="",E167="",G167="",H167="",J167="",K167="",L167="",M167=""),"Ошибка: заполните обязательные поля",IF(AND(LEFT(H167,7)&lt;&gt;"http://",LEFT(H167,8)&lt;&gt;"https://"),"Ошибка: некорректная ссылка",IF(COUNTIF($H$6:$H$1005,H167)&gt;1,"Ошибка: дубликат URL",IF(E167&gt;TODAY(),"Ошибка: дата публикации в будущем",IF(S167="Да","Ошибка: подтверждённый дубль",IF(S167="","Проверить: отметьте дубль",IF(S167="Нужно проверить","Проверить возможный дубль",IF(TODAY()-E167&gt;30,"Проверить: старше 30 дней",IF(COUNTIFS(#REF!,G167,#REF!,"Готово")=0,"Проверить источник","Готово"))))))))))</f>
        <v/>
      </c>
    </row>
    <row r="168" spans="1:21" ht="25.5" customHeight="1">
      <c r="A168" s="21"/>
      <c r="B168" s="22"/>
      <c r="C168" s="21"/>
      <c r="D168" s="23"/>
      <c r="E168" s="22"/>
      <c r="F168" s="22"/>
      <c r="G168" s="23"/>
      <c r="H168" s="24"/>
      <c r="I168" s="24"/>
      <c r="J168" s="23"/>
      <c r="K168" s="23"/>
      <c r="L168" s="23"/>
      <c r="M168" s="23"/>
      <c r="N168" s="23"/>
      <c r="O168" s="23"/>
      <c r="P168" s="23"/>
      <c r="Q168" s="25"/>
      <c r="R168" s="23"/>
      <c r="S168" s="23"/>
      <c r="T168" s="23"/>
      <c r="U168" s="20" t="str">
        <f ca="1">IF(COUNTA(A168:T168)=0,"",IF(OR(A168="",B168="",C168="",E168="",G168="",H168="",J168="",K168="",L168="",M168=""),"Ошибка: заполните обязательные поля",IF(AND(LEFT(H168,7)&lt;&gt;"http://",LEFT(H168,8)&lt;&gt;"https://"),"Ошибка: некорректная ссылка",IF(COUNTIF($H$6:$H$1005,H168)&gt;1,"Ошибка: дубликат URL",IF(E168&gt;TODAY(),"Ошибка: дата публикации в будущем",IF(S168="Да","Ошибка: подтверждённый дубль",IF(S168="","Проверить: отметьте дубль",IF(S168="Нужно проверить","Проверить возможный дубль",IF(TODAY()-E168&gt;30,"Проверить: старше 30 дней",IF(COUNTIFS(#REF!,G168,#REF!,"Готово")=0,"Проверить источник","Готово"))))))))))</f>
        <v/>
      </c>
    </row>
    <row r="169" spans="1:21" ht="25.5" customHeight="1">
      <c r="A169" s="21"/>
      <c r="B169" s="22"/>
      <c r="C169" s="21"/>
      <c r="D169" s="23"/>
      <c r="E169" s="22"/>
      <c r="F169" s="22"/>
      <c r="G169" s="23"/>
      <c r="H169" s="24"/>
      <c r="I169" s="24"/>
      <c r="J169" s="23"/>
      <c r="K169" s="23"/>
      <c r="L169" s="23"/>
      <c r="M169" s="23"/>
      <c r="N169" s="23"/>
      <c r="O169" s="23"/>
      <c r="P169" s="23"/>
      <c r="Q169" s="25"/>
      <c r="R169" s="23"/>
      <c r="S169" s="23"/>
      <c r="T169" s="23"/>
      <c r="U169" s="20" t="str">
        <f ca="1">IF(COUNTA(A169:T169)=0,"",IF(OR(A169="",B169="",C169="",E169="",G169="",H169="",J169="",K169="",L169="",M169=""),"Ошибка: заполните обязательные поля",IF(AND(LEFT(H169,7)&lt;&gt;"http://",LEFT(H169,8)&lt;&gt;"https://"),"Ошибка: некорректная ссылка",IF(COUNTIF($H$6:$H$1005,H169)&gt;1,"Ошибка: дубликат URL",IF(E169&gt;TODAY(),"Ошибка: дата публикации в будущем",IF(S169="Да","Ошибка: подтверждённый дубль",IF(S169="","Проверить: отметьте дубль",IF(S169="Нужно проверить","Проверить возможный дубль",IF(TODAY()-E169&gt;30,"Проверить: старше 30 дней",IF(COUNTIFS(#REF!,G169,#REF!,"Готово")=0,"Проверить источник","Готово"))))))))))</f>
        <v/>
      </c>
    </row>
    <row r="170" spans="1:21" ht="25.5" customHeight="1">
      <c r="A170" s="21"/>
      <c r="B170" s="22"/>
      <c r="C170" s="21"/>
      <c r="D170" s="23"/>
      <c r="E170" s="22"/>
      <c r="F170" s="22"/>
      <c r="G170" s="23"/>
      <c r="H170" s="24"/>
      <c r="I170" s="24"/>
      <c r="J170" s="23"/>
      <c r="K170" s="23"/>
      <c r="L170" s="23"/>
      <c r="M170" s="23"/>
      <c r="N170" s="23"/>
      <c r="O170" s="23"/>
      <c r="P170" s="23"/>
      <c r="Q170" s="25"/>
      <c r="R170" s="23"/>
      <c r="S170" s="23"/>
      <c r="T170" s="23"/>
      <c r="U170" s="20" t="str">
        <f ca="1">IF(COUNTA(A170:T170)=0,"",IF(OR(A170="",B170="",C170="",E170="",G170="",H170="",J170="",K170="",L170="",M170=""),"Ошибка: заполните обязательные поля",IF(AND(LEFT(H170,7)&lt;&gt;"http://",LEFT(H170,8)&lt;&gt;"https://"),"Ошибка: некорректная ссылка",IF(COUNTIF($H$6:$H$1005,H170)&gt;1,"Ошибка: дубликат URL",IF(E170&gt;TODAY(),"Ошибка: дата публикации в будущем",IF(S170="Да","Ошибка: подтверждённый дубль",IF(S170="","Проверить: отметьте дубль",IF(S170="Нужно проверить","Проверить возможный дубль",IF(TODAY()-E170&gt;30,"Проверить: старше 30 дней",IF(COUNTIFS(#REF!,G170,#REF!,"Готово")=0,"Проверить источник","Готово"))))))))))</f>
        <v/>
      </c>
    </row>
    <row r="171" spans="1:21" ht="25.5" customHeight="1">
      <c r="A171" s="21"/>
      <c r="B171" s="22"/>
      <c r="C171" s="21"/>
      <c r="D171" s="23"/>
      <c r="E171" s="22"/>
      <c r="F171" s="22"/>
      <c r="G171" s="23"/>
      <c r="H171" s="24"/>
      <c r="I171" s="24"/>
      <c r="J171" s="23"/>
      <c r="K171" s="23"/>
      <c r="L171" s="23"/>
      <c r="M171" s="23"/>
      <c r="N171" s="23"/>
      <c r="O171" s="23"/>
      <c r="P171" s="23"/>
      <c r="Q171" s="25"/>
      <c r="R171" s="23"/>
      <c r="S171" s="23"/>
      <c r="T171" s="23"/>
      <c r="U171" s="20" t="str">
        <f ca="1">IF(COUNTA(A171:T171)=0,"",IF(OR(A171="",B171="",C171="",E171="",G171="",H171="",J171="",K171="",L171="",M171=""),"Ошибка: заполните обязательные поля",IF(AND(LEFT(H171,7)&lt;&gt;"http://",LEFT(H171,8)&lt;&gt;"https://"),"Ошибка: некорректная ссылка",IF(COUNTIF($H$6:$H$1005,H171)&gt;1,"Ошибка: дубликат URL",IF(E171&gt;TODAY(),"Ошибка: дата публикации в будущем",IF(S171="Да","Ошибка: подтверждённый дубль",IF(S171="","Проверить: отметьте дубль",IF(S171="Нужно проверить","Проверить возможный дубль",IF(TODAY()-E171&gt;30,"Проверить: старше 30 дней",IF(COUNTIFS(#REF!,G171,#REF!,"Готово")=0,"Проверить источник","Готово"))))))))))</f>
        <v/>
      </c>
    </row>
    <row r="172" spans="1:21" ht="25.5" customHeight="1">
      <c r="A172" s="21"/>
      <c r="B172" s="22"/>
      <c r="C172" s="21"/>
      <c r="D172" s="23"/>
      <c r="E172" s="22"/>
      <c r="F172" s="22"/>
      <c r="G172" s="23"/>
      <c r="H172" s="24"/>
      <c r="I172" s="24"/>
      <c r="J172" s="23"/>
      <c r="K172" s="23"/>
      <c r="L172" s="23"/>
      <c r="M172" s="23"/>
      <c r="N172" s="23"/>
      <c r="O172" s="23"/>
      <c r="P172" s="23"/>
      <c r="Q172" s="25"/>
      <c r="R172" s="23"/>
      <c r="S172" s="23"/>
      <c r="T172" s="23"/>
      <c r="U172" s="20" t="str">
        <f ca="1">IF(COUNTA(A172:T172)=0,"",IF(OR(A172="",B172="",C172="",E172="",G172="",H172="",J172="",K172="",L172="",M172=""),"Ошибка: заполните обязательные поля",IF(AND(LEFT(H172,7)&lt;&gt;"http://",LEFT(H172,8)&lt;&gt;"https://"),"Ошибка: некорректная ссылка",IF(COUNTIF($H$6:$H$1005,H172)&gt;1,"Ошибка: дубликат URL",IF(E172&gt;TODAY(),"Ошибка: дата публикации в будущем",IF(S172="Да","Ошибка: подтверждённый дубль",IF(S172="","Проверить: отметьте дубль",IF(S172="Нужно проверить","Проверить возможный дубль",IF(TODAY()-E172&gt;30,"Проверить: старше 30 дней",IF(COUNTIFS(#REF!,G172,#REF!,"Готово")=0,"Проверить источник","Готово"))))))))))</f>
        <v/>
      </c>
    </row>
    <row r="173" spans="1:21" ht="25.5" customHeight="1">
      <c r="A173" s="21"/>
      <c r="B173" s="22"/>
      <c r="C173" s="21"/>
      <c r="D173" s="23"/>
      <c r="E173" s="22"/>
      <c r="F173" s="22"/>
      <c r="G173" s="23"/>
      <c r="H173" s="24"/>
      <c r="I173" s="24"/>
      <c r="J173" s="23"/>
      <c r="K173" s="23"/>
      <c r="L173" s="23"/>
      <c r="M173" s="23"/>
      <c r="N173" s="23"/>
      <c r="O173" s="23"/>
      <c r="P173" s="23"/>
      <c r="Q173" s="25"/>
      <c r="R173" s="23"/>
      <c r="S173" s="23"/>
      <c r="T173" s="23"/>
      <c r="U173" s="20" t="str">
        <f ca="1">IF(COUNTA(A173:T173)=0,"",IF(OR(A173="",B173="",C173="",E173="",G173="",H173="",J173="",K173="",L173="",M173=""),"Ошибка: заполните обязательные поля",IF(AND(LEFT(H173,7)&lt;&gt;"http://",LEFT(H173,8)&lt;&gt;"https://"),"Ошибка: некорректная ссылка",IF(COUNTIF($H$6:$H$1005,H173)&gt;1,"Ошибка: дубликат URL",IF(E173&gt;TODAY(),"Ошибка: дата публикации в будущем",IF(S173="Да","Ошибка: подтверждённый дубль",IF(S173="","Проверить: отметьте дубль",IF(S173="Нужно проверить","Проверить возможный дубль",IF(TODAY()-E173&gt;30,"Проверить: старше 30 дней",IF(COUNTIFS(#REF!,G173,#REF!,"Готово")=0,"Проверить источник","Готово"))))))))))</f>
        <v/>
      </c>
    </row>
    <row r="174" spans="1:21" ht="25.5" customHeight="1">
      <c r="A174" s="21"/>
      <c r="B174" s="22"/>
      <c r="C174" s="21"/>
      <c r="D174" s="23"/>
      <c r="E174" s="22"/>
      <c r="F174" s="22"/>
      <c r="G174" s="23"/>
      <c r="H174" s="24"/>
      <c r="I174" s="24"/>
      <c r="J174" s="23"/>
      <c r="K174" s="23"/>
      <c r="L174" s="23"/>
      <c r="M174" s="23"/>
      <c r="N174" s="23"/>
      <c r="O174" s="23"/>
      <c r="P174" s="23"/>
      <c r="Q174" s="25"/>
      <c r="R174" s="23"/>
      <c r="S174" s="23"/>
      <c r="T174" s="23"/>
      <c r="U174" s="20" t="str">
        <f ca="1">IF(COUNTA(A174:T174)=0,"",IF(OR(A174="",B174="",C174="",E174="",G174="",H174="",J174="",K174="",L174="",M174=""),"Ошибка: заполните обязательные поля",IF(AND(LEFT(H174,7)&lt;&gt;"http://",LEFT(H174,8)&lt;&gt;"https://"),"Ошибка: некорректная ссылка",IF(COUNTIF($H$6:$H$1005,H174)&gt;1,"Ошибка: дубликат URL",IF(E174&gt;TODAY(),"Ошибка: дата публикации в будущем",IF(S174="Да","Ошибка: подтверждённый дубль",IF(S174="","Проверить: отметьте дубль",IF(S174="Нужно проверить","Проверить возможный дубль",IF(TODAY()-E174&gt;30,"Проверить: старше 30 дней",IF(COUNTIFS(#REF!,G174,#REF!,"Готово")=0,"Проверить источник","Готово"))))))))))</f>
        <v/>
      </c>
    </row>
    <row r="175" spans="1:21" ht="25.5" customHeight="1">
      <c r="A175" s="21"/>
      <c r="B175" s="22"/>
      <c r="C175" s="21"/>
      <c r="D175" s="23"/>
      <c r="E175" s="22"/>
      <c r="F175" s="22"/>
      <c r="G175" s="23"/>
      <c r="H175" s="24"/>
      <c r="I175" s="24"/>
      <c r="J175" s="23"/>
      <c r="K175" s="23"/>
      <c r="L175" s="23"/>
      <c r="M175" s="23"/>
      <c r="N175" s="23"/>
      <c r="O175" s="23"/>
      <c r="P175" s="23"/>
      <c r="Q175" s="25"/>
      <c r="R175" s="23"/>
      <c r="S175" s="23"/>
      <c r="T175" s="23"/>
      <c r="U175" s="20" t="str">
        <f ca="1">IF(COUNTA(A175:T175)=0,"",IF(OR(A175="",B175="",C175="",E175="",G175="",H175="",J175="",K175="",L175="",M175=""),"Ошибка: заполните обязательные поля",IF(AND(LEFT(H175,7)&lt;&gt;"http://",LEFT(H175,8)&lt;&gt;"https://"),"Ошибка: некорректная ссылка",IF(COUNTIF($H$6:$H$1005,H175)&gt;1,"Ошибка: дубликат URL",IF(E175&gt;TODAY(),"Ошибка: дата публикации в будущем",IF(S175="Да","Ошибка: подтверждённый дубль",IF(S175="","Проверить: отметьте дубль",IF(S175="Нужно проверить","Проверить возможный дубль",IF(TODAY()-E175&gt;30,"Проверить: старше 30 дней",IF(COUNTIFS(#REF!,G175,#REF!,"Готово")=0,"Проверить источник","Готово"))))))))))</f>
        <v/>
      </c>
    </row>
    <row r="176" spans="1:21" ht="25.5" customHeight="1">
      <c r="A176" s="21"/>
      <c r="B176" s="22"/>
      <c r="C176" s="21"/>
      <c r="D176" s="23"/>
      <c r="E176" s="22"/>
      <c r="F176" s="22"/>
      <c r="G176" s="23"/>
      <c r="H176" s="24"/>
      <c r="I176" s="24"/>
      <c r="J176" s="23"/>
      <c r="K176" s="23"/>
      <c r="L176" s="23"/>
      <c r="M176" s="23"/>
      <c r="N176" s="23"/>
      <c r="O176" s="23"/>
      <c r="P176" s="23"/>
      <c r="Q176" s="25"/>
      <c r="R176" s="23"/>
      <c r="S176" s="23"/>
      <c r="T176" s="23"/>
      <c r="U176" s="20" t="str">
        <f ca="1">IF(COUNTA(A176:T176)=0,"",IF(OR(A176="",B176="",C176="",E176="",G176="",H176="",J176="",K176="",L176="",M176=""),"Ошибка: заполните обязательные поля",IF(AND(LEFT(H176,7)&lt;&gt;"http://",LEFT(H176,8)&lt;&gt;"https://"),"Ошибка: некорректная ссылка",IF(COUNTIF($H$6:$H$1005,H176)&gt;1,"Ошибка: дубликат URL",IF(E176&gt;TODAY(),"Ошибка: дата публикации в будущем",IF(S176="Да","Ошибка: подтверждённый дубль",IF(S176="","Проверить: отметьте дубль",IF(S176="Нужно проверить","Проверить возможный дубль",IF(TODAY()-E176&gt;30,"Проверить: старше 30 дней",IF(COUNTIFS(#REF!,G176,#REF!,"Готово")=0,"Проверить источник","Готово"))))))))))</f>
        <v/>
      </c>
    </row>
    <row r="177" spans="1:21" ht="25.5" customHeight="1">
      <c r="A177" s="21"/>
      <c r="B177" s="22"/>
      <c r="C177" s="21"/>
      <c r="D177" s="23"/>
      <c r="E177" s="22"/>
      <c r="F177" s="22"/>
      <c r="G177" s="23"/>
      <c r="H177" s="24"/>
      <c r="I177" s="24"/>
      <c r="J177" s="23"/>
      <c r="K177" s="23"/>
      <c r="L177" s="23"/>
      <c r="M177" s="23"/>
      <c r="N177" s="23"/>
      <c r="O177" s="23"/>
      <c r="P177" s="23"/>
      <c r="Q177" s="25"/>
      <c r="R177" s="23"/>
      <c r="S177" s="23"/>
      <c r="T177" s="23"/>
      <c r="U177" s="20" t="str">
        <f ca="1">IF(COUNTA(A177:T177)=0,"",IF(OR(A177="",B177="",C177="",E177="",G177="",H177="",J177="",K177="",L177="",M177=""),"Ошибка: заполните обязательные поля",IF(AND(LEFT(H177,7)&lt;&gt;"http://",LEFT(H177,8)&lt;&gt;"https://"),"Ошибка: некорректная ссылка",IF(COUNTIF($H$6:$H$1005,H177)&gt;1,"Ошибка: дубликат URL",IF(E177&gt;TODAY(),"Ошибка: дата публикации в будущем",IF(S177="Да","Ошибка: подтверждённый дубль",IF(S177="","Проверить: отметьте дубль",IF(S177="Нужно проверить","Проверить возможный дубль",IF(TODAY()-E177&gt;30,"Проверить: старше 30 дней",IF(COUNTIFS(#REF!,G177,#REF!,"Готово")=0,"Проверить источник","Готово"))))))))))</f>
        <v/>
      </c>
    </row>
    <row r="178" spans="1:21" ht="25.5" customHeight="1">
      <c r="A178" s="21"/>
      <c r="B178" s="22"/>
      <c r="C178" s="21"/>
      <c r="D178" s="23"/>
      <c r="E178" s="22"/>
      <c r="F178" s="22"/>
      <c r="G178" s="23"/>
      <c r="H178" s="24"/>
      <c r="I178" s="24"/>
      <c r="J178" s="23"/>
      <c r="K178" s="23"/>
      <c r="L178" s="23"/>
      <c r="M178" s="23"/>
      <c r="N178" s="23"/>
      <c r="O178" s="23"/>
      <c r="P178" s="23"/>
      <c r="Q178" s="25"/>
      <c r="R178" s="23"/>
      <c r="S178" s="23"/>
      <c r="T178" s="23"/>
      <c r="U178" s="20" t="str">
        <f ca="1">IF(COUNTA(A178:T178)=0,"",IF(OR(A178="",B178="",C178="",E178="",G178="",H178="",J178="",K178="",L178="",M178=""),"Ошибка: заполните обязательные поля",IF(AND(LEFT(H178,7)&lt;&gt;"http://",LEFT(H178,8)&lt;&gt;"https://"),"Ошибка: некорректная ссылка",IF(COUNTIF($H$6:$H$1005,H178)&gt;1,"Ошибка: дубликат URL",IF(E178&gt;TODAY(),"Ошибка: дата публикации в будущем",IF(S178="Да","Ошибка: подтверждённый дубль",IF(S178="","Проверить: отметьте дубль",IF(S178="Нужно проверить","Проверить возможный дубль",IF(TODAY()-E178&gt;30,"Проверить: старше 30 дней",IF(COUNTIFS(#REF!,G178,#REF!,"Готово")=0,"Проверить источник","Готово"))))))))))</f>
        <v/>
      </c>
    </row>
    <row r="179" spans="1:21" ht="25.5" customHeight="1">
      <c r="A179" s="21"/>
      <c r="B179" s="22"/>
      <c r="C179" s="21"/>
      <c r="D179" s="23"/>
      <c r="E179" s="22"/>
      <c r="F179" s="22"/>
      <c r="G179" s="23"/>
      <c r="H179" s="24"/>
      <c r="I179" s="24"/>
      <c r="J179" s="23"/>
      <c r="K179" s="23"/>
      <c r="L179" s="23"/>
      <c r="M179" s="23"/>
      <c r="N179" s="23"/>
      <c r="O179" s="23"/>
      <c r="P179" s="23"/>
      <c r="Q179" s="25"/>
      <c r="R179" s="23"/>
      <c r="S179" s="23"/>
      <c r="T179" s="23"/>
      <c r="U179" s="20" t="str">
        <f ca="1">IF(COUNTA(A179:T179)=0,"",IF(OR(A179="",B179="",C179="",E179="",G179="",H179="",J179="",K179="",L179="",M179=""),"Ошибка: заполните обязательные поля",IF(AND(LEFT(H179,7)&lt;&gt;"http://",LEFT(H179,8)&lt;&gt;"https://"),"Ошибка: некорректная ссылка",IF(COUNTIF($H$6:$H$1005,H179)&gt;1,"Ошибка: дубликат URL",IF(E179&gt;TODAY(),"Ошибка: дата публикации в будущем",IF(S179="Да","Ошибка: подтверждённый дубль",IF(S179="","Проверить: отметьте дубль",IF(S179="Нужно проверить","Проверить возможный дубль",IF(TODAY()-E179&gt;30,"Проверить: старше 30 дней",IF(COUNTIFS(#REF!,G179,#REF!,"Готово")=0,"Проверить источник","Готово"))))))))))</f>
        <v/>
      </c>
    </row>
    <row r="180" spans="1:21" ht="25.5" customHeight="1">
      <c r="A180" s="21"/>
      <c r="B180" s="22"/>
      <c r="C180" s="21"/>
      <c r="D180" s="23"/>
      <c r="E180" s="22"/>
      <c r="F180" s="22"/>
      <c r="G180" s="23"/>
      <c r="H180" s="24"/>
      <c r="I180" s="24"/>
      <c r="J180" s="23"/>
      <c r="K180" s="23"/>
      <c r="L180" s="23"/>
      <c r="M180" s="23"/>
      <c r="N180" s="23"/>
      <c r="O180" s="23"/>
      <c r="P180" s="23"/>
      <c r="Q180" s="25"/>
      <c r="R180" s="23"/>
      <c r="S180" s="23"/>
      <c r="T180" s="23"/>
      <c r="U180" s="20" t="str">
        <f ca="1">IF(COUNTA(A180:T180)=0,"",IF(OR(A180="",B180="",C180="",E180="",G180="",H180="",J180="",K180="",L180="",M180=""),"Ошибка: заполните обязательные поля",IF(AND(LEFT(H180,7)&lt;&gt;"http://",LEFT(H180,8)&lt;&gt;"https://"),"Ошибка: некорректная ссылка",IF(COUNTIF($H$6:$H$1005,H180)&gt;1,"Ошибка: дубликат URL",IF(E180&gt;TODAY(),"Ошибка: дата публикации в будущем",IF(S180="Да","Ошибка: подтверждённый дубль",IF(S180="","Проверить: отметьте дубль",IF(S180="Нужно проверить","Проверить возможный дубль",IF(TODAY()-E180&gt;30,"Проверить: старше 30 дней",IF(COUNTIFS(#REF!,G180,#REF!,"Готово")=0,"Проверить источник","Готово"))))))))))</f>
        <v/>
      </c>
    </row>
    <row r="181" spans="1:21" ht="25.5" customHeight="1">
      <c r="A181" s="21"/>
      <c r="B181" s="22"/>
      <c r="C181" s="21"/>
      <c r="D181" s="23"/>
      <c r="E181" s="22"/>
      <c r="F181" s="22"/>
      <c r="G181" s="23"/>
      <c r="H181" s="24"/>
      <c r="I181" s="24"/>
      <c r="J181" s="23"/>
      <c r="K181" s="23"/>
      <c r="L181" s="23"/>
      <c r="M181" s="23"/>
      <c r="N181" s="23"/>
      <c r="O181" s="23"/>
      <c r="P181" s="23"/>
      <c r="Q181" s="25"/>
      <c r="R181" s="23"/>
      <c r="S181" s="23"/>
      <c r="T181" s="23"/>
      <c r="U181" s="20" t="str">
        <f ca="1">IF(COUNTA(A181:T181)=0,"",IF(OR(A181="",B181="",C181="",E181="",G181="",H181="",J181="",K181="",L181="",M181=""),"Ошибка: заполните обязательные поля",IF(AND(LEFT(H181,7)&lt;&gt;"http://",LEFT(H181,8)&lt;&gt;"https://"),"Ошибка: некорректная ссылка",IF(COUNTIF($H$6:$H$1005,H181)&gt;1,"Ошибка: дубликат URL",IF(E181&gt;TODAY(),"Ошибка: дата публикации в будущем",IF(S181="Да","Ошибка: подтверждённый дубль",IF(S181="","Проверить: отметьте дубль",IF(S181="Нужно проверить","Проверить возможный дубль",IF(TODAY()-E181&gt;30,"Проверить: старше 30 дней",IF(COUNTIFS(#REF!,G181,#REF!,"Готово")=0,"Проверить источник","Готово"))))))))))</f>
        <v/>
      </c>
    </row>
    <row r="182" spans="1:21" ht="25.5" customHeight="1">
      <c r="A182" s="21"/>
      <c r="B182" s="22"/>
      <c r="C182" s="21"/>
      <c r="D182" s="23"/>
      <c r="E182" s="22"/>
      <c r="F182" s="22"/>
      <c r="G182" s="23"/>
      <c r="H182" s="24"/>
      <c r="I182" s="24"/>
      <c r="J182" s="23"/>
      <c r="K182" s="23"/>
      <c r="L182" s="23"/>
      <c r="M182" s="23"/>
      <c r="N182" s="23"/>
      <c r="O182" s="23"/>
      <c r="P182" s="23"/>
      <c r="Q182" s="25"/>
      <c r="R182" s="23"/>
      <c r="S182" s="23"/>
      <c r="T182" s="23"/>
      <c r="U182" s="20" t="str">
        <f ca="1">IF(COUNTA(A182:T182)=0,"",IF(OR(A182="",B182="",C182="",E182="",G182="",H182="",J182="",K182="",L182="",M182=""),"Ошибка: заполните обязательные поля",IF(AND(LEFT(H182,7)&lt;&gt;"http://",LEFT(H182,8)&lt;&gt;"https://"),"Ошибка: некорректная ссылка",IF(COUNTIF($H$6:$H$1005,H182)&gt;1,"Ошибка: дубликат URL",IF(E182&gt;TODAY(),"Ошибка: дата публикации в будущем",IF(S182="Да","Ошибка: подтверждённый дубль",IF(S182="","Проверить: отметьте дубль",IF(S182="Нужно проверить","Проверить возможный дубль",IF(TODAY()-E182&gt;30,"Проверить: старше 30 дней",IF(COUNTIFS(#REF!,G182,#REF!,"Готово")=0,"Проверить источник","Готово"))))))))))</f>
        <v/>
      </c>
    </row>
    <row r="183" spans="1:21" ht="25.5" customHeight="1">
      <c r="A183" s="21"/>
      <c r="B183" s="22"/>
      <c r="C183" s="21"/>
      <c r="D183" s="23"/>
      <c r="E183" s="22"/>
      <c r="F183" s="22"/>
      <c r="G183" s="23"/>
      <c r="H183" s="24"/>
      <c r="I183" s="24"/>
      <c r="J183" s="23"/>
      <c r="K183" s="23"/>
      <c r="L183" s="23"/>
      <c r="M183" s="23"/>
      <c r="N183" s="23"/>
      <c r="O183" s="23"/>
      <c r="P183" s="23"/>
      <c r="Q183" s="25"/>
      <c r="R183" s="23"/>
      <c r="S183" s="23"/>
      <c r="T183" s="23"/>
      <c r="U183" s="20" t="str">
        <f ca="1">IF(COUNTA(A183:T183)=0,"",IF(OR(A183="",B183="",C183="",E183="",G183="",H183="",J183="",K183="",L183="",M183=""),"Ошибка: заполните обязательные поля",IF(AND(LEFT(H183,7)&lt;&gt;"http://",LEFT(H183,8)&lt;&gt;"https://"),"Ошибка: некорректная ссылка",IF(COUNTIF($H$6:$H$1005,H183)&gt;1,"Ошибка: дубликат URL",IF(E183&gt;TODAY(),"Ошибка: дата публикации в будущем",IF(S183="Да","Ошибка: подтверждённый дубль",IF(S183="","Проверить: отметьте дубль",IF(S183="Нужно проверить","Проверить возможный дубль",IF(TODAY()-E183&gt;30,"Проверить: старше 30 дней",IF(COUNTIFS(#REF!,G183,#REF!,"Готово")=0,"Проверить источник","Готово"))))))))))</f>
        <v/>
      </c>
    </row>
    <row r="184" spans="1:21" ht="25.5" customHeight="1">
      <c r="A184" s="21"/>
      <c r="B184" s="22"/>
      <c r="C184" s="21"/>
      <c r="D184" s="23"/>
      <c r="E184" s="22"/>
      <c r="F184" s="22"/>
      <c r="G184" s="23"/>
      <c r="H184" s="24"/>
      <c r="I184" s="24"/>
      <c r="J184" s="23"/>
      <c r="K184" s="23"/>
      <c r="L184" s="23"/>
      <c r="M184" s="23"/>
      <c r="N184" s="23"/>
      <c r="O184" s="23"/>
      <c r="P184" s="23"/>
      <c r="Q184" s="25"/>
      <c r="R184" s="23"/>
      <c r="S184" s="23"/>
      <c r="T184" s="23"/>
      <c r="U184" s="20" t="str">
        <f ca="1">IF(COUNTA(A184:T184)=0,"",IF(OR(A184="",B184="",C184="",E184="",G184="",H184="",J184="",K184="",L184="",M184=""),"Ошибка: заполните обязательные поля",IF(AND(LEFT(H184,7)&lt;&gt;"http://",LEFT(H184,8)&lt;&gt;"https://"),"Ошибка: некорректная ссылка",IF(COUNTIF($H$6:$H$1005,H184)&gt;1,"Ошибка: дубликат URL",IF(E184&gt;TODAY(),"Ошибка: дата публикации в будущем",IF(S184="Да","Ошибка: подтверждённый дубль",IF(S184="","Проверить: отметьте дубль",IF(S184="Нужно проверить","Проверить возможный дубль",IF(TODAY()-E184&gt;30,"Проверить: старше 30 дней",IF(COUNTIFS(#REF!,G184,#REF!,"Готово")=0,"Проверить источник","Готово"))))))))))</f>
        <v/>
      </c>
    </row>
    <row r="185" spans="1:21" ht="25.5" customHeight="1">
      <c r="A185" s="21"/>
      <c r="B185" s="22"/>
      <c r="C185" s="21"/>
      <c r="D185" s="23"/>
      <c r="E185" s="22"/>
      <c r="F185" s="22"/>
      <c r="G185" s="23"/>
      <c r="H185" s="24"/>
      <c r="I185" s="24"/>
      <c r="J185" s="23"/>
      <c r="K185" s="23"/>
      <c r="L185" s="23"/>
      <c r="M185" s="23"/>
      <c r="N185" s="23"/>
      <c r="O185" s="23"/>
      <c r="P185" s="23"/>
      <c r="Q185" s="25"/>
      <c r="R185" s="23"/>
      <c r="S185" s="23"/>
      <c r="T185" s="23"/>
      <c r="U185" s="20" t="str">
        <f ca="1">IF(COUNTA(A185:T185)=0,"",IF(OR(A185="",B185="",C185="",E185="",G185="",H185="",J185="",K185="",L185="",M185=""),"Ошибка: заполните обязательные поля",IF(AND(LEFT(H185,7)&lt;&gt;"http://",LEFT(H185,8)&lt;&gt;"https://"),"Ошибка: некорректная ссылка",IF(COUNTIF($H$6:$H$1005,H185)&gt;1,"Ошибка: дубликат URL",IF(E185&gt;TODAY(),"Ошибка: дата публикации в будущем",IF(S185="Да","Ошибка: подтверждённый дубль",IF(S185="","Проверить: отметьте дубль",IF(S185="Нужно проверить","Проверить возможный дубль",IF(TODAY()-E185&gt;30,"Проверить: старше 30 дней",IF(COUNTIFS(#REF!,G185,#REF!,"Готово")=0,"Проверить источник","Готово"))))))))))</f>
        <v/>
      </c>
    </row>
    <row r="186" spans="1:21" ht="25.5" customHeight="1">
      <c r="A186" s="21"/>
      <c r="B186" s="22"/>
      <c r="C186" s="21"/>
      <c r="D186" s="23"/>
      <c r="E186" s="22"/>
      <c r="F186" s="22"/>
      <c r="G186" s="23"/>
      <c r="H186" s="24"/>
      <c r="I186" s="24"/>
      <c r="J186" s="23"/>
      <c r="K186" s="23"/>
      <c r="L186" s="23"/>
      <c r="M186" s="23"/>
      <c r="N186" s="23"/>
      <c r="O186" s="23"/>
      <c r="P186" s="23"/>
      <c r="Q186" s="25"/>
      <c r="R186" s="23"/>
      <c r="S186" s="23"/>
      <c r="T186" s="23"/>
      <c r="U186" s="20" t="str">
        <f ca="1">IF(COUNTA(A186:T186)=0,"",IF(OR(A186="",B186="",C186="",E186="",G186="",H186="",J186="",K186="",L186="",M186=""),"Ошибка: заполните обязательные поля",IF(AND(LEFT(H186,7)&lt;&gt;"http://",LEFT(H186,8)&lt;&gt;"https://"),"Ошибка: некорректная ссылка",IF(COUNTIF($H$6:$H$1005,H186)&gt;1,"Ошибка: дубликат URL",IF(E186&gt;TODAY(),"Ошибка: дата публикации в будущем",IF(S186="Да","Ошибка: подтверждённый дубль",IF(S186="","Проверить: отметьте дубль",IF(S186="Нужно проверить","Проверить возможный дубль",IF(TODAY()-E186&gt;30,"Проверить: старше 30 дней",IF(COUNTIFS(#REF!,G186,#REF!,"Готово")=0,"Проверить источник","Готово"))))))))))</f>
        <v/>
      </c>
    </row>
    <row r="187" spans="1:21" ht="25.5" customHeight="1">
      <c r="A187" s="21"/>
      <c r="B187" s="22"/>
      <c r="C187" s="21"/>
      <c r="D187" s="23"/>
      <c r="E187" s="22"/>
      <c r="F187" s="22"/>
      <c r="G187" s="23"/>
      <c r="H187" s="24"/>
      <c r="I187" s="24"/>
      <c r="J187" s="23"/>
      <c r="K187" s="23"/>
      <c r="L187" s="23"/>
      <c r="M187" s="23"/>
      <c r="N187" s="23"/>
      <c r="O187" s="23"/>
      <c r="P187" s="23"/>
      <c r="Q187" s="25"/>
      <c r="R187" s="23"/>
      <c r="S187" s="23"/>
      <c r="T187" s="23"/>
      <c r="U187" s="20" t="str">
        <f ca="1">IF(COUNTA(A187:T187)=0,"",IF(OR(A187="",B187="",C187="",E187="",G187="",H187="",J187="",K187="",L187="",M187=""),"Ошибка: заполните обязательные поля",IF(AND(LEFT(H187,7)&lt;&gt;"http://",LEFT(H187,8)&lt;&gt;"https://"),"Ошибка: некорректная ссылка",IF(COUNTIF($H$6:$H$1005,H187)&gt;1,"Ошибка: дубликат URL",IF(E187&gt;TODAY(),"Ошибка: дата публикации в будущем",IF(S187="Да","Ошибка: подтверждённый дубль",IF(S187="","Проверить: отметьте дубль",IF(S187="Нужно проверить","Проверить возможный дубль",IF(TODAY()-E187&gt;30,"Проверить: старше 30 дней",IF(COUNTIFS(#REF!,G187,#REF!,"Готово")=0,"Проверить источник","Готово"))))))))))</f>
        <v/>
      </c>
    </row>
    <row r="188" spans="1:21" ht="25.5" customHeight="1">
      <c r="A188" s="21"/>
      <c r="B188" s="22"/>
      <c r="C188" s="21"/>
      <c r="D188" s="23"/>
      <c r="E188" s="22"/>
      <c r="F188" s="22"/>
      <c r="G188" s="23"/>
      <c r="H188" s="24"/>
      <c r="I188" s="24"/>
      <c r="J188" s="23"/>
      <c r="K188" s="23"/>
      <c r="L188" s="23"/>
      <c r="M188" s="23"/>
      <c r="N188" s="23"/>
      <c r="O188" s="23"/>
      <c r="P188" s="23"/>
      <c r="Q188" s="25"/>
      <c r="R188" s="23"/>
      <c r="S188" s="23"/>
      <c r="T188" s="23"/>
      <c r="U188" s="20" t="str">
        <f ca="1">IF(COUNTA(A188:T188)=0,"",IF(OR(A188="",B188="",C188="",E188="",G188="",H188="",J188="",K188="",L188="",M188=""),"Ошибка: заполните обязательные поля",IF(AND(LEFT(H188,7)&lt;&gt;"http://",LEFT(H188,8)&lt;&gt;"https://"),"Ошибка: некорректная ссылка",IF(COUNTIF($H$6:$H$1005,H188)&gt;1,"Ошибка: дубликат URL",IF(E188&gt;TODAY(),"Ошибка: дата публикации в будущем",IF(S188="Да","Ошибка: подтверждённый дубль",IF(S188="","Проверить: отметьте дубль",IF(S188="Нужно проверить","Проверить возможный дубль",IF(TODAY()-E188&gt;30,"Проверить: старше 30 дней",IF(COUNTIFS(#REF!,G188,#REF!,"Готово")=0,"Проверить источник","Готово"))))))))))</f>
        <v/>
      </c>
    </row>
    <row r="189" spans="1:21" ht="25.5" customHeight="1">
      <c r="A189" s="21"/>
      <c r="B189" s="22"/>
      <c r="C189" s="21"/>
      <c r="D189" s="23"/>
      <c r="E189" s="22"/>
      <c r="F189" s="22"/>
      <c r="G189" s="23"/>
      <c r="H189" s="24"/>
      <c r="I189" s="24"/>
      <c r="J189" s="23"/>
      <c r="K189" s="23"/>
      <c r="L189" s="23"/>
      <c r="M189" s="23"/>
      <c r="N189" s="23"/>
      <c r="O189" s="23"/>
      <c r="P189" s="23"/>
      <c r="Q189" s="25"/>
      <c r="R189" s="23"/>
      <c r="S189" s="23"/>
      <c r="T189" s="23"/>
      <c r="U189" s="20" t="str">
        <f ca="1">IF(COUNTA(A189:T189)=0,"",IF(OR(A189="",B189="",C189="",E189="",G189="",H189="",J189="",K189="",L189="",M189=""),"Ошибка: заполните обязательные поля",IF(AND(LEFT(H189,7)&lt;&gt;"http://",LEFT(H189,8)&lt;&gt;"https://"),"Ошибка: некорректная ссылка",IF(COUNTIF($H$6:$H$1005,H189)&gt;1,"Ошибка: дубликат URL",IF(E189&gt;TODAY(),"Ошибка: дата публикации в будущем",IF(S189="Да","Ошибка: подтверждённый дубль",IF(S189="","Проверить: отметьте дубль",IF(S189="Нужно проверить","Проверить возможный дубль",IF(TODAY()-E189&gt;30,"Проверить: старше 30 дней",IF(COUNTIFS(#REF!,G189,#REF!,"Готово")=0,"Проверить источник","Готово"))))))))))</f>
        <v/>
      </c>
    </row>
    <row r="190" spans="1:21" ht="25.5" customHeight="1">
      <c r="A190" s="21"/>
      <c r="B190" s="22"/>
      <c r="C190" s="21"/>
      <c r="D190" s="23"/>
      <c r="E190" s="22"/>
      <c r="F190" s="22"/>
      <c r="G190" s="23"/>
      <c r="H190" s="24"/>
      <c r="I190" s="24"/>
      <c r="J190" s="23"/>
      <c r="K190" s="23"/>
      <c r="L190" s="23"/>
      <c r="M190" s="23"/>
      <c r="N190" s="23"/>
      <c r="O190" s="23"/>
      <c r="P190" s="23"/>
      <c r="Q190" s="25"/>
      <c r="R190" s="23"/>
      <c r="S190" s="23"/>
      <c r="T190" s="23"/>
      <c r="U190" s="20" t="str">
        <f ca="1">IF(COUNTA(A190:T190)=0,"",IF(OR(A190="",B190="",C190="",E190="",G190="",H190="",J190="",K190="",L190="",M190=""),"Ошибка: заполните обязательные поля",IF(AND(LEFT(H190,7)&lt;&gt;"http://",LEFT(H190,8)&lt;&gt;"https://"),"Ошибка: некорректная ссылка",IF(COUNTIF($H$6:$H$1005,H190)&gt;1,"Ошибка: дубликат URL",IF(E190&gt;TODAY(),"Ошибка: дата публикации в будущем",IF(S190="Да","Ошибка: подтверждённый дубль",IF(S190="","Проверить: отметьте дубль",IF(S190="Нужно проверить","Проверить возможный дубль",IF(TODAY()-E190&gt;30,"Проверить: старше 30 дней",IF(COUNTIFS(#REF!,G190,#REF!,"Готово")=0,"Проверить источник","Готово"))))))))))</f>
        <v/>
      </c>
    </row>
    <row r="191" spans="1:21" ht="25.5" customHeight="1">
      <c r="A191" s="21"/>
      <c r="B191" s="22"/>
      <c r="C191" s="21"/>
      <c r="D191" s="23"/>
      <c r="E191" s="22"/>
      <c r="F191" s="22"/>
      <c r="G191" s="23"/>
      <c r="H191" s="24"/>
      <c r="I191" s="24"/>
      <c r="J191" s="23"/>
      <c r="K191" s="23"/>
      <c r="L191" s="23"/>
      <c r="M191" s="23"/>
      <c r="N191" s="23"/>
      <c r="O191" s="23"/>
      <c r="P191" s="23"/>
      <c r="Q191" s="25"/>
      <c r="R191" s="23"/>
      <c r="S191" s="23"/>
      <c r="T191" s="23"/>
      <c r="U191" s="20" t="str">
        <f ca="1">IF(COUNTA(A191:T191)=0,"",IF(OR(A191="",B191="",C191="",E191="",G191="",H191="",J191="",K191="",L191="",M191=""),"Ошибка: заполните обязательные поля",IF(AND(LEFT(H191,7)&lt;&gt;"http://",LEFT(H191,8)&lt;&gt;"https://"),"Ошибка: некорректная ссылка",IF(COUNTIF($H$6:$H$1005,H191)&gt;1,"Ошибка: дубликат URL",IF(E191&gt;TODAY(),"Ошибка: дата публикации в будущем",IF(S191="Да","Ошибка: подтверждённый дубль",IF(S191="","Проверить: отметьте дубль",IF(S191="Нужно проверить","Проверить возможный дубль",IF(TODAY()-E191&gt;30,"Проверить: старше 30 дней",IF(COUNTIFS(#REF!,G191,#REF!,"Готово")=0,"Проверить источник","Готово"))))))))))</f>
        <v/>
      </c>
    </row>
    <row r="192" spans="1:21" ht="25.5" customHeight="1">
      <c r="A192" s="21"/>
      <c r="B192" s="22"/>
      <c r="C192" s="21"/>
      <c r="D192" s="23"/>
      <c r="E192" s="22"/>
      <c r="F192" s="22"/>
      <c r="G192" s="23"/>
      <c r="H192" s="24"/>
      <c r="I192" s="24"/>
      <c r="J192" s="23"/>
      <c r="K192" s="23"/>
      <c r="L192" s="23"/>
      <c r="M192" s="23"/>
      <c r="N192" s="23"/>
      <c r="O192" s="23"/>
      <c r="P192" s="23"/>
      <c r="Q192" s="25"/>
      <c r="R192" s="23"/>
      <c r="S192" s="23"/>
      <c r="T192" s="23"/>
      <c r="U192" s="20" t="str">
        <f ca="1">IF(COUNTA(A192:T192)=0,"",IF(OR(A192="",B192="",C192="",E192="",G192="",H192="",J192="",K192="",L192="",M192=""),"Ошибка: заполните обязательные поля",IF(AND(LEFT(H192,7)&lt;&gt;"http://",LEFT(H192,8)&lt;&gt;"https://"),"Ошибка: некорректная ссылка",IF(COUNTIF($H$6:$H$1005,H192)&gt;1,"Ошибка: дубликат URL",IF(E192&gt;TODAY(),"Ошибка: дата публикации в будущем",IF(S192="Да","Ошибка: подтверждённый дубль",IF(S192="","Проверить: отметьте дубль",IF(S192="Нужно проверить","Проверить возможный дубль",IF(TODAY()-E192&gt;30,"Проверить: старше 30 дней",IF(COUNTIFS(#REF!,G192,#REF!,"Готово")=0,"Проверить источник","Готово"))))))))))</f>
        <v/>
      </c>
    </row>
    <row r="193" spans="1:21" ht="25.5" customHeight="1">
      <c r="A193" s="21"/>
      <c r="B193" s="22"/>
      <c r="C193" s="21"/>
      <c r="D193" s="23"/>
      <c r="E193" s="22"/>
      <c r="F193" s="22"/>
      <c r="G193" s="23"/>
      <c r="H193" s="24"/>
      <c r="I193" s="24"/>
      <c r="J193" s="23"/>
      <c r="K193" s="23"/>
      <c r="L193" s="23"/>
      <c r="M193" s="23"/>
      <c r="N193" s="23"/>
      <c r="O193" s="23"/>
      <c r="P193" s="23"/>
      <c r="Q193" s="25"/>
      <c r="R193" s="23"/>
      <c r="S193" s="23"/>
      <c r="T193" s="23"/>
      <c r="U193" s="20" t="str">
        <f ca="1">IF(COUNTA(A193:T193)=0,"",IF(OR(A193="",B193="",C193="",E193="",G193="",H193="",J193="",K193="",L193="",M193=""),"Ошибка: заполните обязательные поля",IF(AND(LEFT(H193,7)&lt;&gt;"http://",LEFT(H193,8)&lt;&gt;"https://"),"Ошибка: некорректная ссылка",IF(COUNTIF($H$6:$H$1005,H193)&gt;1,"Ошибка: дубликат URL",IF(E193&gt;TODAY(),"Ошибка: дата публикации в будущем",IF(S193="Да","Ошибка: подтверждённый дубль",IF(S193="","Проверить: отметьте дубль",IF(S193="Нужно проверить","Проверить возможный дубль",IF(TODAY()-E193&gt;30,"Проверить: старше 30 дней",IF(COUNTIFS(#REF!,G193,#REF!,"Готово")=0,"Проверить источник","Готово"))))))))))</f>
        <v/>
      </c>
    </row>
    <row r="194" spans="1:21" ht="25.5" customHeight="1">
      <c r="A194" s="21"/>
      <c r="B194" s="22"/>
      <c r="C194" s="21"/>
      <c r="D194" s="23"/>
      <c r="E194" s="22"/>
      <c r="F194" s="22"/>
      <c r="G194" s="23"/>
      <c r="H194" s="24"/>
      <c r="I194" s="24"/>
      <c r="J194" s="23"/>
      <c r="K194" s="23"/>
      <c r="L194" s="23"/>
      <c r="M194" s="23"/>
      <c r="N194" s="23"/>
      <c r="O194" s="23"/>
      <c r="P194" s="23"/>
      <c r="Q194" s="25"/>
      <c r="R194" s="23"/>
      <c r="S194" s="23"/>
      <c r="T194" s="23"/>
      <c r="U194" s="20" t="str">
        <f ca="1">IF(COUNTA(A194:T194)=0,"",IF(OR(A194="",B194="",C194="",E194="",G194="",H194="",J194="",K194="",L194="",M194=""),"Ошибка: заполните обязательные поля",IF(AND(LEFT(H194,7)&lt;&gt;"http://",LEFT(H194,8)&lt;&gt;"https://"),"Ошибка: некорректная ссылка",IF(COUNTIF($H$6:$H$1005,H194)&gt;1,"Ошибка: дубликат URL",IF(E194&gt;TODAY(),"Ошибка: дата публикации в будущем",IF(S194="Да","Ошибка: подтверждённый дубль",IF(S194="","Проверить: отметьте дубль",IF(S194="Нужно проверить","Проверить возможный дубль",IF(TODAY()-E194&gt;30,"Проверить: старше 30 дней",IF(COUNTIFS(#REF!,G194,#REF!,"Готово")=0,"Проверить источник","Готово"))))))))))</f>
        <v/>
      </c>
    </row>
    <row r="195" spans="1:21" ht="25.5" customHeight="1">
      <c r="A195" s="21"/>
      <c r="B195" s="22"/>
      <c r="C195" s="21"/>
      <c r="D195" s="23"/>
      <c r="E195" s="22"/>
      <c r="F195" s="22"/>
      <c r="G195" s="23"/>
      <c r="H195" s="24"/>
      <c r="I195" s="24"/>
      <c r="J195" s="23"/>
      <c r="K195" s="23"/>
      <c r="L195" s="23"/>
      <c r="M195" s="23"/>
      <c r="N195" s="23"/>
      <c r="O195" s="23"/>
      <c r="P195" s="23"/>
      <c r="Q195" s="25"/>
      <c r="R195" s="23"/>
      <c r="S195" s="23"/>
      <c r="T195" s="23"/>
      <c r="U195" s="20" t="str">
        <f ca="1">IF(COUNTA(A195:T195)=0,"",IF(OR(A195="",B195="",C195="",E195="",G195="",H195="",J195="",K195="",L195="",M195=""),"Ошибка: заполните обязательные поля",IF(AND(LEFT(H195,7)&lt;&gt;"http://",LEFT(H195,8)&lt;&gt;"https://"),"Ошибка: некорректная ссылка",IF(COUNTIF($H$6:$H$1005,H195)&gt;1,"Ошибка: дубликат URL",IF(E195&gt;TODAY(),"Ошибка: дата публикации в будущем",IF(S195="Да","Ошибка: подтверждённый дубль",IF(S195="","Проверить: отметьте дубль",IF(S195="Нужно проверить","Проверить возможный дубль",IF(TODAY()-E195&gt;30,"Проверить: старше 30 дней",IF(COUNTIFS(#REF!,G195,#REF!,"Готово")=0,"Проверить источник","Готово"))))))))))</f>
        <v/>
      </c>
    </row>
    <row r="196" spans="1:21" ht="25.5" customHeight="1">
      <c r="A196" s="21"/>
      <c r="B196" s="22"/>
      <c r="C196" s="21"/>
      <c r="D196" s="23"/>
      <c r="E196" s="22"/>
      <c r="F196" s="22"/>
      <c r="G196" s="23"/>
      <c r="H196" s="24"/>
      <c r="I196" s="24"/>
      <c r="J196" s="23"/>
      <c r="K196" s="23"/>
      <c r="L196" s="23"/>
      <c r="M196" s="23"/>
      <c r="N196" s="23"/>
      <c r="O196" s="23"/>
      <c r="P196" s="23"/>
      <c r="Q196" s="25"/>
      <c r="R196" s="23"/>
      <c r="S196" s="23"/>
      <c r="T196" s="23"/>
      <c r="U196" s="20" t="str">
        <f ca="1">IF(COUNTA(A196:T196)=0,"",IF(OR(A196="",B196="",C196="",E196="",G196="",H196="",J196="",K196="",L196="",M196=""),"Ошибка: заполните обязательные поля",IF(AND(LEFT(H196,7)&lt;&gt;"http://",LEFT(H196,8)&lt;&gt;"https://"),"Ошибка: некорректная ссылка",IF(COUNTIF($H$6:$H$1005,H196)&gt;1,"Ошибка: дубликат URL",IF(E196&gt;TODAY(),"Ошибка: дата публикации в будущем",IF(S196="Да","Ошибка: подтверждённый дубль",IF(S196="","Проверить: отметьте дубль",IF(S196="Нужно проверить","Проверить возможный дубль",IF(TODAY()-E196&gt;30,"Проверить: старше 30 дней",IF(COUNTIFS(#REF!,G196,#REF!,"Готово")=0,"Проверить источник","Готово"))))))))))</f>
        <v/>
      </c>
    </row>
    <row r="197" spans="1:21" ht="25.5" customHeight="1">
      <c r="A197" s="21"/>
      <c r="B197" s="22"/>
      <c r="C197" s="21"/>
      <c r="D197" s="23"/>
      <c r="E197" s="22"/>
      <c r="F197" s="22"/>
      <c r="G197" s="23"/>
      <c r="H197" s="24"/>
      <c r="I197" s="24"/>
      <c r="J197" s="23"/>
      <c r="K197" s="23"/>
      <c r="L197" s="23"/>
      <c r="M197" s="23"/>
      <c r="N197" s="23"/>
      <c r="O197" s="23"/>
      <c r="P197" s="23"/>
      <c r="Q197" s="25"/>
      <c r="R197" s="23"/>
      <c r="S197" s="23"/>
      <c r="T197" s="23"/>
      <c r="U197" s="20" t="str">
        <f ca="1">IF(COUNTA(A197:T197)=0,"",IF(OR(A197="",B197="",C197="",E197="",G197="",H197="",J197="",K197="",L197="",M197=""),"Ошибка: заполните обязательные поля",IF(AND(LEFT(H197,7)&lt;&gt;"http://",LEFT(H197,8)&lt;&gt;"https://"),"Ошибка: некорректная ссылка",IF(COUNTIF($H$6:$H$1005,H197)&gt;1,"Ошибка: дубликат URL",IF(E197&gt;TODAY(),"Ошибка: дата публикации в будущем",IF(S197="Да","Ошибка: подтверждённый дубль",IF(S197="","Проверить: отметьте дубль",IF(S197="Нужно проверить","Проверить возможный дубль",IF(TODAY()-E197&gt;30,"Проверить: старше 30 дней",IF(COUNTIFS(#REF!,G197,#REF!,"Готово")=0,"Проверить источник","Готово"))))))))))</f>
        <v/>
      </c>
    </row>
    <row r="198" spans="1:21" ht="25.5" customHeight="1">
      <c r="A198" s="21"/>
      <c r="B198" s="22"/>
      <c r="C198" s="21"/>
      <c r="D198" s="23"/>
      <c r="E198" s="22"/>
      <c r="F198" s="22"/>
      <c r="G198" s="23"/>
      <c r="H198" s="24"/>
      <c r="I198" s="24"/>
      <c r="J198" s="23"/>
      <c r="K198" s="23"/>
      <c r="L198" s="23"/>
      <c r="M198" s="23"/>
      <c r="N198" s="23"/>
      <c r="O198" s="23"/>
      <c r="P198" s="23"/>
      <c r="Q198" s="25"/>
      <c r="R198" s="23"/>
      <c r="S198" s="23"/>
      <c r="T198" s="23"/>
      <c r="U198" s="20" t="str">
        <f ca="1">IF(COUNTA(A198:T198)=0,"",IF(OR(A198="",B198="",C198="",E198="",G198="",H198="",J198="",K198="",L198="",M198=""),"Ошибка: заполните обязательные поля",IF(AND(LEFT(H198,7)&lt;&gt;"http://",LEFT(H198,8)&lt;&gt;"https://"),"Ошибка: некорректная ссылка",IF(COUNTIF($H$6:$H$1005,H198)&gt;1,"Ошибка: дубликат URL",IF(E198&gt;TODAY(),"Ошибка: дата публикации в будущем",IF(S198="Да","Ошибка: подтверждённый дубль",IF(S198="","Проверить: отметьте дубль",IF(S198="Нужно проверить","Проверить возможный дубль",IF(TODAY()-E198&gt;30,"Проверить: старше 30 дней",IF(COUNTIFS(#REF!,G198,#REF!,"Готово")=0,"Проверить источник","Готово"))))))))))</f>
        <v/>
      </c>
    </row>
    <row r="199" spans="1:21" ht="25.5" customHeight="1">
      <c r="A199" s="21"/>
      <c r="B199" s="22"/>
      <c r="C199" s="21"/>
      <c r="D199" s="23"/>
      <c r="E199" s="22"/>
      <c r="F199" s="22"/>
      <c r="G199" s="23"/>
      <c r="H199" s="24"/>
      <c r="I199" s="24"/>
      <c r="J199" s="23"/>
      <c r="K199" s="23"/>
      <c r="L199" s="23"/>
      <c r="M199" s="23"/>
      <c r="N199" s="23"/>
      <c r="O199" s="23"/>
      <c r="P199" s="23"/>
      <c r="Q199" s="25"/>
      <c r="R199" s="23"/>
      <c r="S199" s="23"/>
      <c r="T199" s="23"/>
      <c r="U199" s="20" t="str">
        <f ca="1">IF(COUNTA(A199:T199)=0,"",IF(OR(A199="",B199="",C199="",E199="",G199="",H199="",J199="",K199="",L199="",M199=""),"Ошибка: заполните обязательные поля",IF(AND(LEFT(H199,7)&lt;&gt;"http://",LEFT(H199,8)&lt;&gt;"https://"),"Ошибка: некорректная ссылка",IF(COUNTIF($H$6:$H$1005,H199)&gt;1,"Ошибка: дубликат URL",IF(E199&gt;TODAY(),"Ошибка: дата публикации в будущем",IF(S199="Да","Ошибка: подтверждённый дубль",IF(S199="","Проверить: отметьте дубль",IF(S199="Нужно проверить","Проверить возможный дубль",IF(TODAY()-E199&gt;30,"Проверить: старше 30 дней",IF(COUNTIFS(#REF!,G199,#REF!,"Готово")=0,"Проверить источник","Готово"))))))))))</f>
        <v/>
      </c>
    </row>
    <row r="200" spans="1:21" ht="25.5" customHeight="1">
      <c r="A200" s="21"/>
      <c r="B200" s="22"/>
      <c r="C200" s="21"/>
      <c r="D200" s="23"/>
      <c r="E200" s="22"/>
      <c r="F200" s="22"/>
      <c r="G200" s="23"/>
      <c r="H200" s="24"/>
      <c r="I200" s="24"/>
      <c r="J200" s="23"/>
      <c r="K200" s="23"/>
      <c r="L200" s="23"/>
      <c r="M200" s="23"/>
      <c r="N200" s="23"/>
      <c r="O200" s="23"/>
      <c r="P200" s="23"/>
      <c r="Q200" s="25"/>
      <c r="R200" s="23"/>
      <c r="S200" s="23"/>
      <c r="T200" s="23"/>
      <c r="U200" s="20" t="str">
        <f ca="1">IF(COUNTA(A200:T200)=0,"",IF(OR(A200="",B200="",C200="",E200="",G200="",H200="",J200="",K200="",L200="",M200=""),"Ошибка: заполните обязательные поля",IF(AND(LEFT(H200,7)&lt;&gt;"http://",LEFT(H200,8)&lt;&gt;"https://"),"Ошибка: некорректная ссылка",IF(COUNTIF($H$6:$H$1005,H200)&gt;1,"Ошибка: дубликат URL",IF(E200&gt;TODAY(),"Ошибка: дата публикации в будущем",IF(S200="Да","Ошибка: подтверждённый дубль",IF(S200="","Проверить: отметьте дубль",IF(S200="Нужно проверить","Проверить возможный дубль",IF(TODAY()-E200&gt;30,"Проверить: старше 30 дней",IF(COUNTIFS(#REF!,G200,#REF!,"Готово")=0,"Проверить источник","Готово"))))))))))</f>
        <v/>
      </c>
    </row>
    <row r="201" spans="1:21" ht="25.5" customHeight="1">
      <c r="A201" s="21"/>
      <c r="B201" s="22"/>
      <c r="C201" s="21"/>
      <c r="D201" s="23"/>
      <c r="E201" s="22"/>
      <c r="F201" s="22"/>
      <c r="G201" s="23"/>
      <c r="H201" s="24"/>
      <c r="I201" s="24"/>
      <c r="J201" s="23"/>
      <c r="K201" s="23"/>
      <c r="L201" s="23"/>
      <c r="M201" s="23"/>
      <c r="N201" s="23"/>
      <c r="O201" s="23"/>
      <c r="P201" s="23"/>
      <c r="Q201" s="25"/>
      <c r="R201" s="23"/>
      <c r="S201" s="23"/>
      <c r="T201" s="23"/>
      <c r="U201" s="20" t="str">
        <f ca="1">IF(COUNTA(A201:T201)=0,"",IF(OR(A201="",B201="",C201="",E201="",G201="",H201="",J201="",K201="",L201="",M201=""),"Ошибка: заполните обязательные поля",IF(AND(LEFT(H201,7)&lt;&gt;"http://",LEFT(H201,8)&lt;&gt;"https://"),"Ошибка: некорректная ссылка",IF(COUNTIF($H$6:$H$1005,H201)&gt;1,"Ошибка: дубликат URL",IF(E201&gt;TODAY(),"Ошибка: дата публикации в будущем",IF(S201="Да","Ошибка: подтверждённый дубль",IF(S201="","Проверить: отметьте дубль",IF(S201="Нужно проверить","Проверить возможный дубль",IF(TODAY()-E201&gt;30,"Проверить: старше 30 дней",IF(COUNTIFS(#REF!,G201,#REF!,"Готово")=0,"Проверить источник","Готово"))))))))))</f>
        <v/>
      </c>
    </row>
    <row r="202" spans="1:21" ht="25.5" customHeight="1">
      <c r="A202" s="21"/>
      <c r="B202" s="22"/>
      <c r="C202" s="21"/>
      <c r="D202" s="23"/>
      <c r="E202" s="22"/>
      <c r="F202" s="22"/>
      <c r="G202" s="23"/>
      <c r="H202" s="24"/>
      <c r="I202" s="24"/>
      <c r="J202" s="23"/>
      <c r="K202" s="23"/>
      <c r="L202" s="23"/>
      <c r="M202" s="23"/>
      <c r="N202" s="23"/>
      <c r="O202" s="23"/>
      <c r="P202" s="23"/>
      <c r="Q202" s="25"/>
      <c r="R202" s="23"/>
      <c r="S202" s="23"/>
      <c r="T202" s="23"/>
      <c r="U202" s="20" t="str">
        <f ca="1">IF(COUNTA(A202:T202)=0,"",IF(OR(A202="",B202="",C202="",E202="",G202="",H202="",J202="",K202="",L202="",M202=""),"Ошибка: заполните обязательные поля",IF(AND(LEFT(H202,7)&lt;&gt;"http://",LEFT(H202,8)&lt;&gt;"https://"),"Ошибка: некорректная ссылка",IF(COUNTIF($H$6:$H$1005,H202)&gt;1,"Ошибка: дубликат URL",IF(E202&gt;TODAY(),"Ошибка: дата публикации в будущем",IF(S202="Да","Ошибка: подтверждённый дубль",IF(S202="","Проверить: отметьте дубль",IF(S202="Нужно проверить","Проверить возможный дубль",IF(TODAY()-E202&gt;30,"Проверить: старше 30 дней",IF(COUNTIFS(#REF!,G202,#REF!,"Готово")=0,"Проверить источник","Готово"))))))))))</f>
        <v/>
      </c>
    </row>
    <row r="203" spans="1:21" ht="25.5" customHeight="1">
      <c r="A203" s="21"/>
      <c r="B203" s="22"/>
      <c r="C203" s="21"/>
      <c r="D203" s="23"/>
      <c r="E203" s="22"/>
      <c r="F203" s="22"/>
      <c r="G203" s="23"/>
      <c r="H203" s="24"/>
      <c r="I203" s="24"/>
      <c r="J203" s="23"/>
      <c r="K203" s="23"/>
      <c r="L203" s="23"/>
      <c r="M203" s="23"/>
      <c r="N203" s="23"/>
      <c r="O203" s="23"/>
      <c r="P203" s="23"/>
      <c r="Q203" s="25"/>
      <c r="R203" s="23"/>
      <c r="S203" s="23"/>
      <c r="T203" s="23"/>
      <c r="U203" s="20" t="str">
        <f ca="1">IF(COUNTA(A203:T203)=0,"",IF(OR(A203="",B203="",C203="",E203="",G203="",H203="",J203="",K203="",L203="",M203=""),"Ошибка: заполните обязательные поля",IF(AND(LEFT(H203,7)&lt;&gt;"http://",LEFT(H203,8)&lt;&gt;"https://"),"Ошибка: некорректная ссылка",IF(COUNTIF($H$6:$H$1005,H203)&gt;1,"Ошибка: дубликат URL",IF(E203&gt;TODAY(),"Ошибка: дата публикации в будущем",IF(S203="Да","Ошибка: подтверждённый дубль",IF(S203="","Проверить: отметьте дубль",IF(S203="Нужно проверить","Проверить возможный дубль",IF(TODAY()-E203&gt;30,"Проверить: старше 30 дней",IF(COUNTIFS(#REF!,G203,#REF!,"Готово")=0,"Проверить источник","Готово"))))))))))</f>
        <v/>
      </c>
    </row>
    <row r="204" spans="1:21" ht="25.5" customHeight="1">
      <c r="A204" s="21"/>
      <c r="B204" s="22"/>
      <c r="C204" s="21"/>
      <c r="D204" s="23"/>
      <c r="E204" s="22"/>
      <c r="F204" s="22"/>
      <c r="G204" s="23"/>
      <c r="H204" s="24"/>
      <c r="I204" s="24"/>
      <c r="J204" s="23"/>
      <c r="K204" s="23"/>
      <c r="L204" s="23"/>
      <c r="M204" s="23"/>
      <c r="N204" s="23"/>
      <c r="O204" s="23"/>
      <c r="P204" s="23"/>
      <c r="Q204" s="25"/>
      <c r="R204" s="23"/>
      <c r="S204" s="23"/>
      <c r="T204" s="23"/>
      <c r="U204" s="20" t="str">
        <f ca="1">IF(COUNTA(A204:T204)=0,"",IF(OR(A204="",B204="",C204="",E204="",G204="",H204="",J204="",K204="",L204="",M204=""),"Ошибка: заполните обязательные поля",IF(AND(LEFT(H204,7)&lt;&gt;"http://",LEFT(H204,8)&lt;&gt;"https://"),"Ошибка: некорректная ссылка",IF(COUNTIF($H$6:$H$1005,H204)&gt;1,"Ошибка: дубликат URL",IF(E204&gt;TODAY(),"Ошибка: дата публикации в будущем",IF(S204="Да","Ошибка: подтверждённый дубль",IF(S204="","Проверить: отметьте дубль",IF(S204="Нужно проверить","Проверить возможный дубль",IF(TODAY()-E204&gt;30,"Проверить: старше 30 дней",IF(COUNTIFS(#REF!,G204,#REF!,"Готово")=0,"Проверить источник","Готово"))))))))))</f>
        <v/>
      </c>
    </row>
    <row r="205" spans="1:21" ht="25.5" customHeight="1">
      <c r="A205" s="21"/>
      <c r="B205" s="22"/>
      <c r="C205" s="21"/>
      <c r="D205" s="23"/>
      <c r="E205" s="22"/>
      <c r="F205" s="22"/>
      <c r="G205" s="23"/>
      <c r="H205" s="24"/>
      <c r="I205" s="24"/>
      <c r="J205" s="23"/>
      <c r="K205" s="23"/>
      <c r="L205" s="23"/>
      <c r="M205" s="23"/>
      <c r="N205" s="23"/>
      <c r="O205" s="23"/>
      <c r="P205" s="23"/>
      <c r="Q205" s="25"/>
      <c r="R205" s="23"/>
      <c r="S205" s="23"/>
      <c r="T205" s="23"/>
      <c r="U205" s="20" t="str">
        <f ca="1">IF(COUNTA(A205:T205)=0,"",IF(OR(A205="",B205="",C205="",E205="",G205="",H205="",J205="",K205="",L205="",M205=""),"Ошибка: заполните обязательные поля",IF(AND(LEFT(H205,7)&lt;&gt;"http://",LEFT(H205,8)&lt;&gt;"https://"),"Ошибка: некорректная ссылка",IF(COUNTIF($H$6:$H$1005,H205)&gt;1,"Ошибка: дубликат URL",IF(E205&gt;TODAY(),"Ошибка: дата публикации в будущем",IF(S205="Да","Ошибка: подтверждённый дубль",IF(S205="","Проверить: отметьте дубль",IF(S205="Нужно проверить","Проверить возможный дубль",IF(TODAY()-E205&gt;30,"Проверить: старше 30 дней",IF(COUNTIFS(#REF!,G205,#REF!,"Готово")=0,"Проверить источник","Готово"))))))))))</f>
        <v/>
      </c>
    </row>
    <row r="206" spans="1:21" ht="25.5" customHeight="1">
      <c r="A206" s="21"/>
      <c r="B206" s="22"/>
      <c r="C206" s="21"/>
      <c r="D206" s="23"/>
      <c r="E206" s="22"/>
      <c r="F206" s="22"/>
      <c r="G206" s="23"/>
      <c r="H206" s="24"/>
      <c r="I206" s="24"/>
      <c r="J206" s="23"/>
      <c r="K206" s="23"/>
      <c r="L206" s="23"/>
      <c r="M206" s="23"/>
      <c r="N206" s="23"/>
      <c r="O206" s="23"/>
      <c r="P206" s="23"/>
      <c r="Q206" s="25"/>
      <c r="R206" s="23"/>
      <c r="S206" s="23"/>
      <c r="T206" s="23"/>
      <c r="U206" s="20" t="str">
        <f ca="1">IF(COUNTA(A206:T206)=0,"",IF(OR(A206="",B206="",C206="",E206="",G206="",H206="",J206="",K206="",L206="",M206=""),"Ошибка: заполните обязательные поля",IF(AND(LEFT(H206,7)&lt;&gt;"http://",LEFT(H206,8)&lt;&gt;"https://"),"Ошибка: некорректная ссылка",IF(COUNTIF($H$6:$H$1005,H206)&gt;1,"Ошибка: дубликат URL",IF(E206&gt;TODAY(),"Ошибка: дата публикации в будущем",IF(S206="Да","Ошибка: подтверждённый дубль",IF(S206="","Проверить: отметьте дубль",IF(S206="Нужно проверить","Проверить возможный дубль",IF(TODAY()-E206&gt;30,"Проверить: старше 30 дней",IF(COUNTIFS(#REF!,G206,#REF!,"Готово")=0,"Проверить источник","Готово"))))))))))</f>
        <v/>
      </c>
    </row>
    <row r="207" spans="1:21" ht="25.5" customHeight="1">
      <c r="A207" s="21"/>
      <c r="B207" s="22"/>
      <c r="C207" s="21"/>
      <c r="D207" s="23"/>
      <c r="E207" s="22"/>
      <c r="F207" s="22"/>
      <c r="G207" s="23"/>
      <c r="H207" s="24"/>
      <c r="I207" s="24"/>
      <c r="J207" s="23"/>
      <c r="K207" s="23"/>
      <c r="L207" s="23"/>
      <c r="M207" s="23"/>
      <c r="N207" s="23"/>
      <c r="O207" s="23"/>
      <c r="P207" s="23"/>
      <c r="Q207" s="25"/>
      <c r="R207" s="23"/>
      <c r="S207" s="23"/>
      <c r="T207" s="23"/>
      <c r="U207" s="20" t="str">
        <f ca="1">IF(COUNTA(A207:T207)=0,"",IF(OR(A207="",B207="",C207="",E207="",G207="",H207="",J207="",K207="",L207="",M207=""),"Ошибка: заполните обязательные поля",IF(AND(LEFT(H207,7)&lt;&gt;"http://",LEFT(H207,8)&lt;&gt;"https://"),"Ошибка: некорректная ссылка",IF(COUNTIF($H$6:$H$1005,H207)&gt;1,"Ошибка: дубликат URL",IF(E207&gt;TODAY(),"Ошибка: дата публикации в будущем",IF(S207="Да","Ошибка: подтверждённый дубль",IF(S207="","Проверить: отметьте дубль",IF(S207="Нужно проверить","Проверить возможный дубль",IF(TODAY()-E207&gt;30,"Проверить: старше 30 дней",IF(COUNTIFS(#REF!,G207,#REF!,"Готово")=0,"Проверить источник","Готово"))))))))))</f>
        <v/>
      </c>
    </row>
    <row r="208" spans="1:21" ht="25.5" customHeight="1">
      <c r="A208" s="21"/>
      <c r="B208" s="22"/>
      <c r="C208" s="21"/>
      <c r="D208" s="23"/>
      <c r="E208" s="22"/>
      <c r="F208" s="22"/>
      <c r="G208" s="23"/>
      <c r="H208" s="24"/>
      <c r="I208" s="24"/>
      <c r="J208" s="23"/>
      <c r="K208" s="23"/>
      <c r="L208" s="23"/>
      <c r="M208" s="23"/>
      <c r="N208" s="23"/>
      <c r="O208" s="23"/>
      <c r="P208" s="23"/>
      <c r="Q208" s="25"/>
      <c r="R208" s="23"/>
      <c r="S208" s="23"/>
      <c r="T208" s="23"/>
      <c r="U208" s="20" t="str">
        <f ca="1">IF(COUNTA(A208:T208)=0,"",IF(OR(A208="",B208="",C208="",E208="",G208="",H208="",J208="",K208="",L208="",M208=""),"Ошибка: заполните обязательные поля",IF(AND(LEFT(H208,7)&lt;&gt;"http://",LEFT(H208,8)&lt;&gt;"https://"),"Ошибка: некорректная ссылка",IF(COUNTIF($H$6:$H$1005,H208)&gt;1,"Ошибка: дубликат URL",IF(E208&gt;TODAY(),"Ошибка: дата публикации в будущем",IF(S208="Да","Ошибка: подтверждённый дубль",IF(S208="","Проверить: отметьте дубль",IF(S208="Нужно проверить","Проверить возможный дубль",IF(TODAY()-E208&gt;30,"Проверить: старше 30 дней",IF(COUNTIFS(#REF!,G208,#REF!,"Готово")=0,"Проверить источник","Готово"))))))))))</f>
        <v/>
      </c>
    </row>
    <row r="209" spans="1:21" ht="25.5" customHeight="1">
      <c r="A209" s="21"/>
      <c r="B209" s="22"/>
      <c r="C209" s="21"/>
      <c r="D209" s="23"/>
      <c r="E209" s="22"/>
      <c r="F209" s="22"/>
      <c r="G209" s="23"/>
      <c r="H209" s="24"/>
      <c r="I209" s="24"/>
      <c r="J209" s="23"/>
      <c r="K209" s="23"/>
      <c r="L209" s="23"/>
      <c r="M209" s="23"/>
      <c r="N209" s="23"/>
      <c r="O209" s="23"/>
      <c r="P209" s="23"/>
      <c r="Q209" s="25"/>
      <c r="R209" s="23"/>
      <c r="S209" s="23"/>
      <c r="T209" s="23"/>
      <c r="U209" s="20" t="str">
        <f ca="1">IF(COUNTA(A209:T209)=0,"",IF(OR(A209="",B209="",C209="",E209="",G209="",H209="",J209="",K209="",L209="",M209=""),"Ошибка: заполните обязательные поля",IF(AND(LEFT(H209,7)&lt;&gt;"http://",LEFT(H209,8)&lt;&gt;"https://"),"Ошибка: некорректная ссылка",IF(COUNTIF($H$6:$H$1005,H209)&gt;1,"Ошибка: дубликат URL",IF(E209&gt;TODAY(),"Ошибка: дата публикации в будущем",IF(S209="Да","Ошибка: подтверждённый дубль",IF(S209="","Проверить: отметьте дубль",IF(S209="Нужно проверить","Проверить возможный дубль",IF(TODAY()-E209&gt;30,"Проверить: старше 30 дней",IF(COUNTIFS(#REF!,G209,#REF!,"Готово")=0,"Проверить источник","Готово"))))))))))</f>
        <v/>
      </c>
    </row>
    <row r="210" spans="1:21" ht="25.5" customHeight="1">
      <c r="A210" s="21"/>
      <c r="B210" s="22"/>
      <c r="C210" s="21"/>
      <c r="D210" s="23"/>
      <c r="E210" s="22"/>
      <c r="F210" s="22"/>
      <c r="G210" s="23"/>
      <c r="H210" s="24"/>
      <c r="I210" s="24"/>
      <c r="J210" s="23"/>
      <c r="K210" s="23"/>
      <c r="L210" s="23"/>
      <c r="M210" s="23"/>
      <c r="N210" s="23"/>
      <c r="O210" s="23"/>
      <c r="P210" s="23"/>
      <c r="Q210" s="25"/>
      <c r="R210" s="23"/>
      <c r="S210" s="23"/>
      <c r="T210" s="23"/>
      <c r="U210" s="20" t="str">
        <f ca="1">IF(COUNTA(A210:T210)=0,"",IF(OR(A210="",B210="",C210="",E210="",G210="",H210="",J210="",K210="",L210="",M210=""),"Ошибка: заполните обязательные поля",IF(AND(LEFT(H210,7)&lt;&gt;"http://",LEFT(H210,8)&lt;&gt;"https://"),"Ошибка: некорректная ссылка",IF(COUNTIF($H$6:$H$1005,H210)&gt;1,"Ошибка: дубликат URL",IF(E210&gt;TODAY(),"Ошибка: дата публикации в будущем",IF(S210="Да","Ошибка: подтверждённый дубль",IF(S210="","Проверить: отметьте дубль",IF(S210="Нужно проверить","Проверить возможный дубль",IF(TODAY()-E210&gt;30,"Проверить: старше 30 дней",IF(COUNTIFS(#REF!,G210,#REF!,"Готово")=0,"Проверить источник","Готово"))))))))))</f>
        <v/>
      </c>
    </row>
    <row r="211" spans="1:21" ht="25.5" customHeight="1">
      <c r="A211" s="21"/>
      <c r="B211" s="22"/>
      <c r="C211" s="21"/>
      <c r="D211" s="23"/>
      <c r="E211" s="22"/>
      <c r="F211" s="22"/>
      <c r="G211" s="23"/>
      <c r="H211" s="24"/>
      <c r="I211" s="24"/>
      <c r="J211" s="23"/>
      <c r="K211" s="23"/>
      <c r="L211" s="23"/>
      <c r="M211" s="23"/>
      <c r="N211" s="23"/>
      <c r="O211" s="23"/>
      <c r="P211" s="23"/>
      <c r="Q211" s="25"/>
      <c r="R211" s="23"/>
      <c r="S211" s="23"/>
      <c r="T211" s="23"/>
      <c r="U211" s="20" t="str">
        <f ca="1">IF(COUNTA(A211:T211)=0,"",IF(OR(A211="",B211="",C211="",E211="",G211="",H211="",J211="",K211="",L211="",M211=""),"Ошибка: заполните обязательные поля",IF(AND(LEFT(H211,7)&lt;&gt;"http://",LEFT(H211,8)&lt;&gt;"https://"),"Ошибка: некорректная ссылка",IF(COUNTIF($H$6:$H$1005,H211)&gt;1,"Ошибка: дубликат URL",IF(E211&gt;TODAY(),"Ошибка: дата публикации в будущем",IF(S211="Да","Ошибка: подтверждённый дубль",IF(S211="","Проверить: отметьте дубль",IF(S211="Нужно проверить","Проверить возможный дубль",IF(TODAY()-E211&gt;30,"Проверить: старше 30 дней",IF(COUNTIFS(#REF!,G211,#REF!,"Готово")=0,"Проверить источник","Готово"))))))))))</f>
        <v/>
      </c>
    </row>
    <row r="212" spans="1:21" ht="25.5" customHeight="1">
      <c r="A212" s="21"/>
      <c r="B212" s="22"/>
      <c r="C212" s="21"/>
      <c r="D212" s="23"/>
      <c r="E212" s="22"/>
      <c r="F212" s="22"/>
      <c r="G212" s="23"/>
      <c r="H212" s="24"/>
      <c r="I212" s="24"/>
      <c r="J212" s="23"/>
      <c r="K212" s="23"/>
      <c r="L212" s="23"/>
      <c r="M212" s="23"/>
      <c r="N212" s="23"/>
      <c r="O212" s="23"/>
      <c r="P212" s="23"/>
      <c r="Q212" s="25"/>
      <c r="R212" s="23"/>
      <c r="S212" s="23"/>
      <c r="T212" s="23"/>
      <c r="U212" s="20" t="str">
        <f ca="1">IF(COUNTA(A212:T212)=0,"",IF(OR(A212="",B212="",C212="",E212="",G212="",H212="",J212="",K212="",L212="",M212=""),"Ошибка: заполните обязательные поля",IF(AND(LEFT(H212,7)&lt;&gt;"http://",LEFT(H212,8)&lt;&gt;"https://"),"Ошибка: некорректная ссылка",IF(COUNTIF($H$6:$H$1005,H212)&gt;1,"Ошибка: дубликат URL",IF(E212&gt;TODAY(),"Ошибка: дата публикации в будущем",IF(S212="Да","Ошибка: подтверждённый дубль",IF(S212="","Проверить: отметьте дубль",IF(S212="Нужно проверить","Проверить возможный дубль",IF(TODAY()-E212&gt;30,"Проверить: старше 30 дней",IF(COUNTIFS(#REF!,G212,#REF!,"Готово")=0,"Проверить источник","Готово"))))))))))</f>
        <v/>
      </c>
    </row>
    <row r="213" spans="1:21" ht="25.5" customHeight="1">
      <c r="A213" s="21"/>
      <c r="B213" s="22"/>
      <c r="C213" s="21"/>
      <c r="D213" s="23"/>
      <c r="E213" s="22"/>
      <c r="F213" s="22"/>
      <c r="G213" s="23"/>
      <c r="H213" s="24"/>
      <c r="I213" s="24"/>
      <c r="J213" s="23"/>
      <c r="K213" s="23"/>
      <c r="L213" s="23"/>
      <c r="M213" s="23"/>
      <c r="N213" s="23"/>
      <c r="O213" s="23"/>
      <c r="P213" s="23"/>
      <c r="Q213" s="25"/>
      <c r="R213" s="23"/>
      <c r="S213" s="23"/>
      <c r="T213" s="23"/>
      <c r="U213" s="20" t="str">
        <f ca="1">IF(COUNTA(A213:T213)=0,"",IF(OR(A213="",B213="",C213="",E213="",G213="",H213="",J213="",K213="",L213="",M213=""),"Ошибка: заполните обязательные поля",IF(AND(LEFT(H213,7)&lt;&gt;"http://",LEFT(H213,8)&lt;&gt;"https://"),"Ошибка: некорректная ссылка",IF(COUNTIF($H$6:$H$1005,H213)&gt;1,"Ошибка: дубликат URL",IF(E213&gt;TODAY(),"Ошибка: дата публикации в будущем",IF(S213="Да","Ошибка: подтверждённый дубль",IF(S213="","Проверить: отметьте дубль",IF(S213="Нужно проверить","Проверить возможный дубль",IF(TODAY()-E213&gt;30,"Проверить: старше 30 дней",IF(COUNTIFS(#REF!,G213,#REF!,"Готово")=0,"Проверить источник","Готово"))))))))))</f>
        <v/>
      </c>
    </row>
    <row r="214" spans="1:21" ht="25.5" customHeight="1">
      <c r="A214" s="21"/>
      <c r="B214" s="22"/>
      <c r="C214" s="21"/>
      <c r="D214" s="23"/>
      <c r="E214" s="22"/>
      <c r="F214" s="22"/>
      <c r="G214" s="23"/>
      <c r="H214" s="24"/>
      <c r="I214" s="24"/>
      <c r="J214" s="23"/>
      <c r="K214" s="23"/>
      <c r="L214" s="23"/>
      <c r="M214" s="23"/>
      <c r="N214" s="23"/>
      <c r="O214" s="23"/>
      <c r="P214" s="23"/>
      <c r="Q214" s="25"/>
      <c r="R214" s="23"/>
      <c r="S214" s="23"/>
      <c r="T214" s="23"/>
      <c r="U214" s="20" t="str">
        <f ca="1">IF(COUNTA(A214:T214)=0,"",IF(OR(A214="",B214="",C214="",E214="",G214="",H214="",J214="",K214="",L214="",M214=""),"Ошибка: заполните обязательные поля",IF(AND(LEFT(H214,7)&lt;&gt;"http://",LEFT(H214,8)&lt;&gt;"https://"),"Ошибка: некорректная ссылка",IF(COUNTIF($H$6:$H$1005,H214)&gt;1,"Ошибка: дубликат URL",IF(E214&gt;TODAY(),"Ошибка: дата публикации в будущем",IF(S214="Да","Ошибка: подтверждённый дубль",IF(S214="","Проверить: отметьте дубль",IF(S214="Нужно проверить","Проверить возможный дубль",IF(TODAY()-E214&gt;30,"Проверить: старше 30 дней",IF(COUNTIFS(#REF!,G214,#REF!,"Готово")=0,"Проверить источник","Готово"))))))))))</f>
        <v/>
      </c>
    </row>
    <row r="215" spans="1:21" ht="25.5" customHeight="1">
      <c r="A215" s="21"/>
      <c r="B215" s="22"/>
      <c r="C215" s="21"/>
      <c r="D215" s="23"/>
      <c r="E215" s="22"/>
      <c r="F215" s="22"/>
      <c r="G215" s="23"/>
      <c r="H215" s="24"/>
      <c r="I215" s="24"/>
      <c r="J215" s="23"/>
      <c r="K215" s="23"/>
      <c r="L215" s="23"/>
      <c r="M215" s="23"/>
      <c r="N215" s="23"/>
      <c r="O215" s="23"/>
      <c r="P215" s="23"/>
      <c r="Q215" s="25"/>
      <c r="R215" s="23"/>
      <c r="S215" s="23"/>
      <c r="T215" s="23"/>
      <c r="U215" s="20" t="str">
        <f ca="1">IF(COUNTA(A215:T215)=0,"",IF(OR(A215="",B215="",C215="",E215="",G215="",H215="",J215="",K215="",L215="",M215=""),"Ошибка: заполните обязательные поля",IF(AND(LEFT(H215,7)&lt;&gt;"http://",LEFT(H215,8)&lt;&gt;"https://"),"Ошибка: некорректная ссылка",IF(COUNTIF($H$6:$H$1005,H215)&gt;1,"Ошибка: дубликат URL",IF(E215&gt;TODAY(),"Ошибка: дата публикации в будущем",IF(S215="Да","Ошибка: подтверждённый дубль",IF(S215="","Проверить: отметьте дубль",IF(S215="Нужно проверить","Проверить возможный дубль",IF(TODAY()-E215&gt;30,"Проверить: старше 30 дней",IF(COUNTIFS(#REF!,G215,#REF!,"Готово")=0,"Проверить источник","Готово"))))))))))</f>
        <v/>
      </c>
    </row>
    <row r="216" spans="1:21" ht="25.5" customHeight="1">
      <c r="A216" s="21"/>
      <c r="B216" s="22"/>
      <c r="C216" s="21"/>
      <c r="D216" s="23"/>
      <c r="E216" s="22"/>
      <c r="F216" s="22"/>
      <c r="G216" s="23"/>
      <c r="H216" s="24"/>
      <c r="I216" s="24"/>
      <c r="J216" s="23"/>
      <c r="K216" s="23"/>
      <c r="L216" s="23"/>
      <c r="M216" s="23"/>
      <c r="N216" s="23"/>
      <c r="O216" s="23"/>
      <c r="P216" s="23"/>
      <c r="Q216" s="25"/>
      <c r="R216" s="23"/>
      <c r="S216" s="23"/>
      <c r="T216" s="23"/>
      <c r="U216" s="20" t="str">
        <f ca="1">IF(COUNTA(A216:T216)=0,"",IF(OR(A216="",B216="",C216="",E216="",G216="",H216="",J216="",K216="",L216="",M216=""),"Ошибка: заполните обязательные поля",IF(AND(LEFT(H216,7)&lt;&gt;"http://",LEFT(H216,8)&lt;&gt;"https://"),"Ошибка: некорректная ссылка",IF(COUNTIF($H$6:$H$1005,H216)&gt;1,"Ошибка: дубликат URL",IF(E216&gt;TODAY(),"Ошибка: дата публикации в будущем",IF(S216="Да","Ошибка: подтверждённый дубль",IF(S216="","Проверить: отметьте дубль",IF(S216="Нужно проверить","Проверить возможный дубль",IF(TODAY()-E216&gt;30,"Проверить: старше 30 дней",IF(COUNTIFS(#REF!,G216,#REF!,"Готово")=0,"Проверить источник","Готово"))))))))))</f>
        <v/>
      </c>
    </row>
    <row r="217" spans="1:21" ht="25.5" customHeight="1">
      <c r="A217" s="21"/>
      <c r="B217" s="22"/>
      <c r="C217" s="21"/>
      <c r="D217" s="23"/>
      <c r="E217" s="22"/>
      <c r="F217" s="22"/>
      <c r="G217" s="23"/>
      <c r="H217" s="24"/>
      <c r="I217" s="24"/>
      <c r="J217" s="23"/>
      <c r="K217" s="23"/>
      <c r="L217" s="23"/>
      <c r="M217" s="23"/>
      <c r="N217" s="23"/>
      <c r="O217" s="23"/>
      <c r="P217" s="23"/>
      <c r="Q217" s="25"/>
      <c r="R217" s="23"/>
      <c r="S217" s="23"/>
      <c r="T217" s="23"/>
      <c r="U217" s="20" t="str">
        <f ca="1">IF(COUNTA(A217:T217)=0,"",IF(OR(A217="",B217="",C217="",E217="",G217="",H217="",J217="",K217="",L217="",M217=""),"Ошибка: заполните обязательные поля",IF(AND(LEFT(H217,7)&lt;&gt;"http://",LEFT(H217,8)&lt;&gt;"https://"),"Ошибка: некорректная ссылка",IF(COUNTIF($H$6:$H$1005,H217)&gt;1,"Ошибка: дубликат URL",IF(E217&gt;TODAY(),"Ошибка: дата публикации в будущем",IF(S217="Да","Ошибка: подтверждённый дубль",IF(S217="","Проверить: отметьте дубль",IF(S217="Нужно проверить","Проверить возможный дубль",IF(TODAY()-E217&gt;30,"Проверить: старше 30 дней",IF(COUNTIFS(#REF!,G217,#REF!,"Готово")=0,"Проверить источник","Готово"))))))))))</f>
        <v/>
      </c>
    </row>
    <row r="218" spans="1:21" ht="25.5" customHeight="1">
      <c r="A218" s="21"/>
      <c r="B218" s="22"/>
      <c r="C218" s="21"/>
      <c r="D218" s="23"/>
      <c r="E218" s="22"/>
      <c r="F218" s="22"/>
      <c r="G218" s="23"/>
      <c r="H218" s="24"/>
      <c r="I218" s="24"/>
      <c r="J218" s="23"/>
      <c r="K218" s="23"/>
      <c r="L218" s="23"/>
      <c r="M218" s="23"/>
      <c r="N218" s="23"/>
      <c r="O218" s="23"/>
      <c r="P218" s="23"/>
      <c r="Q218" s="25"/>
      <c r="R218" s="23"/>
      <c r="S218" s="23"/>
      <c r="T218" s="23"/>
      <c r="U218" s="20" t="str">
        <f ca="1">IF(COUNTA(A218:T218)=0,"",IF(OR(A218="",B218="",C218="",E218="",G218="",H218="",J218="",K218="",L218="",M218=""),"Ошибка: заполните обязательные поля",IF(AND(LEFT(H218,7)&lt;&gt;"http://",LEFT(H218,8)&lt;&gt;"https://"),"Ошибка: некорректная ссылка",IF(COUNTIF($H$6:$H$1005,H218)&gt;1,"Ошибка: дубликат URL",IF(E218&gt;TODAY(),"Ошибка: дата публикации в будущем",IF(S218="Да","Ошибка: подтверждённый дубль",IF(S218="","Проверить: отметьте дубль",IF(S218="Нужно проверить","Проверить возможный дубль",IF(TODAY()-E218&gt;30,"Проверить: старше 30 дней",IF(COUNTIFS(#REF!,G218,#REF!,"Готово")=0,"Проверить источник","Готово"))))))))))</f>
        <v/>
      </c>
    </row>
    <row r="219" spans="1:21" ht="25.5" customHeight="1">
      <c r="A219" s="21"/>
      <c r="B219" s="22"/>
      <c r="C219" s="21"/>
      <c r="D219" s="23"/>
      <c r="E219" s="22"/>
      <c r="F219" s="22"/>
      <c r="G219" s="23"/>
      <c r="H219" s="24"/>
      <c r="I219" s="24"/>
      <c r="J219" s="23"/>
      <c r="K219" s="23"/>
      <c r="L219" s="23"/>
      <c r="M219" s="23"/>
      <c r="N219" s="23"/>
      <c r="O219" s="23"/>
      <c r="P219" s="23"/>
      <c r="Q219" s="25"/>
      <c r="R219" s="23"/>
      <c r="S219" s="23"/>
      <c r="T219" s="23"/>
      <c r="U219" s="20" t="str">
        <f ca="1">IF(COUNTA(A219:T219)=0,"",IF(OR(A219="",B219="",C219="",E219="",G219="",H219="",J219="",K219="",L219="",M219=""),"Ошибка: заполните обязательные поля",IF(AND(LEFT(H219,7)&lt;&gt;"http://",LEFT(H219,8)&lt;&gt;"https://"),"Ошибка: некорректная ссылка",IF(COUNTIF($H$6:$H$1005,H219)&gt;1,"Ошибка: дубликат URL",IF(E219&gt;TODAY(),"Ошибка: дата публикации в будущем",IF(S219="Да","Ошибка: подтверждённый дубль",IF(S219="","Проверить: отметьте дубль",IF(S219="Нужно проверить","Проверить возможный дубль",IF(TODAY()-E219&gt;30,"Проверить: старше 30 дней",IF(COUNTIFS(#REF!,G219,#REF!,"Готово")=0,"Проверить источник","Готово"))))))))))</f>
        <v/>
      </c>
    </row>
    <row r="220" spans="1:21" ht="25.5" customHeight="1">
      <c r="A220" s="21"/>
      <c r="B220" s="22"/>
      <c r="C220" s="21"/>
      <c r="D220" s="23"/>
      <c r="E220" s="22"/>
      <c r="F220" s="22"/>
      <c r="G220" s="23"/>
      <c r="H220" s="24"/>
      <c r="I220" s="24"/>
      <c r="J220" s="23"/>
      <c r="K220" s="23"/>
      <c r="L220" s="23"/>
      <c r="M220" s="23"/>
      <c r="N220" s="23"/>
      <c r="O220" s="23"/>
      <c r="P220" s="23"/>
      <c r="Q220" s="25"/>
      <c r="R220" s="23"/>
      <c r="S220" s="23"/>
      <c r="T220" s="23"/>
      <c r="U220" s="20" t="str">
        <f ca="1">IF(COUNTA(A220:T220)=0,"",IF(OR(A220="",B220="",C220="",E220="",G220="",H220="",J220="",K220="",L220="",M220=""),"Ошибка: заполните обязательные поля",IF(AND(LEFT(H220,7)&lt;&gt;"http://",LEFT(H220,8)&lt;&gt;"https://"),"Ошибка: некорректная ссылка",IF(COUNTIF($H$6:$H$1005,H220)&gt;1,"Ошибка: дубликат URL",IF(E220&gt;TODAY(),"Ошибка: дата публикации в будущем",IF(S220="Да","Ошибка: подтверждённый дубль",IF(S220="","Проверить: отметьте дубль",IF(S220="Нужно проверить","Проверить возможный дубль",IF(TODAY()-E220&gt;30,"Проверить: старше 30 дней",IF(COUNTIFS(#REF!,G220,#REF!,"Готово")=0,"Проверить источник","Готово"))))))))))</f>
        <v/>
      </c>
    </row>
    <row r="221" spans="1:21" ht="25.5" customHeight="1">
      <c r="A221" s="21"/>
      <c r="B221" s="22"/>
      <c r="C221" s="21"/>
      <c r="D221" s="23"/>
      <c r="E221" s="22"/>
      <c r="F221" s="22"/>
      <c r="G221" s="23"/>
      <c r="H221" s="24"/>
      <c r="I221" s="24"/>
      <c r="J221" s="23"/>
      <c r="K221" s="23"/>
      <c r="L221" s="23"/>
      <c r="M221" s="23"/>
      <c r="N221" s="23"/>
      <c r="O221" s="23"/>
      <c r="P221" s="23"/>
      <c r="Q221" s="25"/>
      <c r="R221" s="23"/>
      <c r="S221" s="23"/>
      <c r="T221" s="23"/>
      <c r="U221" s="20" t="str">
        <f ca="1">IF(COUNTA(A221:T221)=0,"",IF(OR(A221="",B221="",C221="",E221="",G221="",H221="",J221="",K221="",L221="",M221=""),"Ошибка: заполните обязательные поля",IF(AND(LEFT(H221,7)&lt;&gt;"http://",LEFT(H221,8)&lt;&gt;"https://"),"Ошибка: некорректная ссылка",IF(COUNTIF($H$6:$H$1005,H221)&gt;1,"Ошибка: дубликат URL",IF(E221&gt;TODAY(),"Ошибка: дата публикации в будущем",IF(S221="Да","Ошибка: подтверждённый дубль",IF(S221="","Проверить: отметьте дубль",IF(S221="Нужно проверить","Проверить возможный дубль",IF(TODAY()-E221&gt;30,"Проверить: старше 30 дней",IF(COUNTIFS(#REF!,G221,#REF!,"Готово")=0,"Проверить источник","Готово"))))))))))</f>
        <v/>
      </c>
    </row>
    <row r="222" spans="1:21" ht="25.5" customHeight="1">
      <c r="A222" s="21"/>
      <c r="B222" s="22"/>
      <c r="C222" s="21"/>
      <c r="D222" s="23"/>
      <c r="E222" s="22"/>
      <c r="F222" s="22"/>
      <c r="G222" s="23"/>
      <c r="H222" s="24"/>
      <c r="I222" s="24"/>
      <c r="J222" s="23"/>
      <c r="K222" s="23"/>
      <c r="L222" s="23"/>
      <c r="M222" s="23"/>
      <c r="N222" s="23"/>
      <c r="O222" s="23"/>
      <c r="P222" s="23"/>
      <c r="Q222" s="25"/>
      <c r="R222" s="23"/>
      <c r="S222" s="23"/>
      <c r="T222" s="23"/>
      <c r="U222" s="20" t="str">
        <f ca="1">IF(COUNTA(A222:T222)=0,"",IF(OR(A222="",B222="",C222="",E222="",G222="",H222="",J222="",K222="",L222="",M222=""),"Ошибка: заполните обязательные поля",IF(AND(LEFT(H222,7)&lt;&gt;"http://",LEFT(H222,8)&lt;&gt;"https://"),"Ошибка: некорректная ссылка",IF(COUNTIF($H$6:$H$1005,H222)&gt;1,"Ошибка: дубликат URL",IF(E222&gt;TODAY(),"Ошибка: дата публикации в будущем",IF(S222="Да","Ошибка: подтверждённый дубль",IF(S222="","Проверить: отметьте дубль",IF(S222="Нужно проверить","Проверить возможный дубль",IF(TODAY()-E222&gt;30,"Проверить: старше 30 дней",IF(COUNTIFS(#REF!,G222,#REF!,"Готово")=0,"Проверить источник","Готово"))))))))))</f>
        <v/>
      </c>
    </row>
    <row r="223" spans="1:21" ht="25.5" customHeight="1">
      <c r="A223" s="21"/>
      <c r="B223" s="22"/>
      <c r="C223" s="21"/>
      <c r="D223" s="23"/>
      <c r="E223" s="22"/>
      <c r="F223" s="22"/>
      <c r="G223" s="23"/>
      <c r="H223" s="24"/>
      <c r="I223" s="24"/>
      <c r="J223" s="23"/>
      <c r="K223" s="23"/>
      <c r="L223" s="23"/>
      <c r="M223" s="23"/>
      <c r="N223" s="23"/>
      <c r="O223" s="23"/>
      <c r="P223" s="23"/>
      <c r="Q223" s="25"/>
      <c r="R223" s="23"/>
      <c r="S223" s="23"/>
      <c r="T223" s="23"/>
      <c r="U223" s="20" t="str">
        <f ca="1">IF(COUNTA(A223:T223)=0,"",IF(OR(A223="",B223="",C223="",E223="",G223="",H223="",J223="",K223="",L223="",M223=""),"Ошибка: заполните обязательные поля",IF(AND(LEFT(H223,7)&lt;&gt;"http://",LEFT(H223,8)&lt;&gt;"https://"),"Ошибка: некорректная ссылка",IF(COUNTIF($H$6:$H$1005,H223)&gt;1,"Ошибка: дубликат URL",IF(E223&gt;TODAY(),"Ошибка: дата публикации в будущем",IF(S223="Да","Ошибка: подтверждённый дубль",IF(S223="","Проверить: отметьте дубль",IF(S223="Нужно проверить","Проверить возможный дубль",IF(TODAY()-E223&gt;30,"Проверить: старше 30 дней",IF(COUNTIFS(#REF!,G223,#REF!,"Готово")=0,"Проверить источник","Готово"))))))))))</f>
        <v/>
      </c>
    </row>
    <row r="224" spans="1:21" ht="25.5" customHeight="1">
      <c r="A224" s="21"/>
      <c r="B224" s="22"/>
      <c r="C224" s="21"/>
      <c r="D224" s="23"/>
      <c r="E224" s="22"/>
      <c r="F224" s="22"/>
      <c r="G224" s="23"/>
      <c r="H224" s="24"/>
      <c r="I224" s="24"/>
      <c r="J224" s="23"/>
      <c r="K224" s="23"/>
      <c r="L224" s="23"/>
      <c r="M224" s="23"/>
      <c r="N224" s="23"/>
      <c r="O224" s="23"/>
      <c r="P224" s="23"/>
      <c r="Q224" s="25"/>
      <c r="R224" s="23"/>
      <c r="S224" s="23"/>
      <c r="T224" s="23"/>
      <c r="U224" s="20" t="str">
        <f ca="1">IF(COUNTA(A224:T224)=0,"",IF(OR(A224="",B224="",C224="",E224="",G224="",H224="",J224="",K224="",L224="",M224=""),"Ошибка: заполните обязательные поля",IF(AND(LEFT(H224,7)&lt;&gt;"http://",LEFT(H224,8)&lt;&gt;"https://"),"Ошибка: некорректная ссылка",IF(COUNTIF($H$6:$H$1005,H224)&gt;1,"Ошибка: дубликат URL",IF(E224&gt;TODAY(),"Ошибка: дата публикации в будущем",IF(S224="Да","Ошибка: подтверждённый дубль",IF(S224="","Проверить: отметьте дубль",IF(S224="Нужно проверить","Проверить возможный дубль",IF(TODAY()-E224&gt;30,"Проверить: старше 30 дней",IF(COUNTIFS(#REF!,G224,#REF!,"Готово")=0,"Проверить источник","Готово"))))))))))</f>
        <v/>
      </c>
    </row>
    <row r="225" spans="1:21" ht="25.5" customHeight="1">
      <c r="A225" s="21"/>
      <c r="B225" s="22"/>
      <c r="C225" s="21"/>
      <c r="D225" s="23"/>
      <c r="E225" s="22"/>
      <c r="F225" s="22"/>
      <c r="G225" s="23"/>
      <c r="H225" s="24"/>
      <c r="I225" s="24"/>
      <c r="J225" s="23"/>
      <c r="K225" s="23"/>
      <c r="L225" s="23"/>
      <c r="M225" s="23"/>
      <c r="N225" s="23"/>
      <c r="O225" s="23"/>
      <c r="P225" s="23"/>
      <c r="Q225" s="25"/>
      <c r="R225" s="23"/>
      <c r="S225" s="23"/>
      <c r="T225" s="23"/>
      <c r="U225" s="20" t="str">
        <f ca="1">IF(COUNTA(A225:T225)=0,"",IF(OR(A225="",B225="",C225="",E225="",G225="",H225="",J225="",K225="",L225="",M225=""),"Ошибка: заполните обязательные поля",IF(AND(LEFT(H225,7)&lt;&gt;"http://",LEFT(H225,8)&lt;&gt;"https://"),"Ошибка: некорректная ссылка",IF(COUNTIF($H$6:$H$1005,H225)&gt;1,"Ошибка: дубликат URL",IF(E225&gt;TODAY(),"Ошибка: дата публикации в будущем",IF(S225="Да","Ошибка: подтверждённый дубль",IF(S225="","Проверить: отметьте дубль",IF(S225="Нужно проверить","Проверить возможный дубль",IF(TODAY()-E225&gt;30,"Проверить: старше 30 дней",IF(COUNTIFS(#REF!,G225,#REF!,"Готово")=0,"Проверить источник","Готово"))))))))))</f>
        <v/>
      </c>
    </row>
    <row r="226" spans="1:21" ht="25.5" customHeight="1">
      <c r="A226" s="21"/>
      <c r="B226" s="22"/>
      <c r="C226" s="21"/>
      <c r="D226" s="23"/>
      <c r="E226" s="22"/>
      <c r="F226" s="22"/>
      <c r="G226" s="23"/>
      <c r="H226" s="24"/>
      <c r="I226" s="24"/>
      <c r="J226" s="23"/>
      <c r="K226" s="23"/>
      <c r="L226" s="23"/>
      <c r="M226" s="23"/>
      <c r="N226" s="23"/>
      <c r="O226" s="23"/>
      <c r="P226" s="23"/>
      <c r="Q226" s="25"/>
      <c r="R226" s="23"/>
      <c r="S226" s="23"/>
      <c r="T226" s="23"/>
      <c r="U226" s="20" t="str">
        <f ca="1">IF(COUNTA(A226:T226)=0,"",IF(OR(A226="",B226="",C226="",E226="",G226="",H226="",J226="",K226="",L226="",M226=""),"Ошибка: заполните обязательные поля",IF(AND(LEFT(H226,7)&lt;&gt;"http://",LEFT(H226,8)&lt;&gt;"https://"),"Ошибка: некорректная ссылка",IF(COUNTIF($H$6:$H$1005,H226)&gt;1,"Ошибка: дубликат URL",IF(E226&gt;TODAY(),"Ошибка: дата публикации в будущем",IF(S226="Да","Ошибка: подтверждённый дубль",IF(S226="","Проверить: отметьте дубль",IF(S226="Нужно проверить","Проверить возможный дубль",IF(TODAY()-E226&gt;30,"Проверить: старше 30 дней",IF(COUNTIFS(#REF!,G226,#REF!,"Готово")=0,"Проверить источник","Готово"))))))))))</f>
        <v/>
      </c>
    </row>
    <row r="227" spans="1:21" ht="25.5" customHeight="1">
      <c r="A227" s="21"/>
      <c r="B227" s="22"/>
      <c r="C227" s="21"/>
      <c r="D227" s="23"/>
      <c r="E227" s="22"/>
      <c r="F227" s="22"/>
      <c r="G227" s="23"/>
      <c r="H227" s="24"/>
      <c r="I227" s="24"/>
      <c r="J227" s="23"/>
      <c r="K227" s="23"/>
      <c r="L227" s="23"/>
      <c r="M227" s="23"/>
      <c r="N227" s="23"/>
      <c r="O227" s="23"/>
      <c r="P227" s="23"/>
      <c r="Q227" s="25"/>
      <c r="R227" s="23"/>
      <c r="S227" s="23"/>
      <c r="T227" s="23"/>
      <c r="U227" s="20" t="str">
        <f ca="1">IF(COUNTA(A227:T227)=0,"",IF(OR(A227="",B227="",C227="",E227="",G227="",H227="",J227="",K227="",L227="",M227=""),"Ошибка: заполните обязательные поля",IF(AND(LEFT(H227,7)&lt;&gt;"http://",LEFT(H227,8)&lt;&gt;"https://"),"Ошибка: некорректная ссылка",IF(COUNTIF($H$6:$H$1005,H227)&gt;1,"Ошибка: дубликат URL",IF(E227&gt;TODAY(),"Ошибка: дата публикации в будущем",IF(S227="Да","Ошибка: подтверждённый дубль",IF(S227="","Проверить: отметьте дубль",IF(S227="Нужно проверить","Проверить возможный дубль",IF(TODAY()-E227&gt;30,"Проверить: старше 30 дней",IF(COUNTIFS(#REF!,G227,#REF!,"Готово")=0,"Проверить источник","Готово"))))))))))</f>
        <v/>
      </c>
    </row>
    <row r="228" spans="1:21" ht="25.5" customHeight="1">
      <c r="A228" s="21"/>
      <c r="B228" s="22"/>
      <c r="C228" s="21"/>
      <c r="D228" s="23"/>
      <c r="E228" s="22"/>
      <c r="F228" s="22"/>
      <c r="G228" s="23"/>
      <c r="H228" s="24"/>
      <c r="I228" s="24"/>
      <c r="J228" s="23"/>
      <c r="K228" s="23"/>
      <c r="L228" s="23"/>
      <c r="M228" s="23"/>
      <c r="N228" s="23"/>
      <c r="O228" s="23"/>
      <c r="P228" s="23"/>
      <c r="Q228" s="25"/>
      <c r="R228" s="23"/>
      <c r="S228" s="23"/>
      <c r="T228" s="23"/>
      <c r="U228" s="20" t="str">
        <f ca="1">IF(COUNTA(A228:T228)=0,"",IF(OR(A228="",B228="",C228="",E228="",G228="",H228="",J228="",K228="",L228="",M228=""),"Ошибка: заполните обязательные поля",IF(AND(LEFT(H228,7)&lt;&gt;"http://",LEFT(H228,8)&lt;&gt;"https://"),"Ошибка: некорректная ссылка",IF(COUNTIF($H$6:$H$1005,H228)&gt;1,"Ошибка: дубликат URL",IF(E228&gt;TODAY(),"Ошибка: дата публикации в будущем",IF(S228="Да","Ошибка: подтверждённый дубль",IF(S228="","Проверить: отметьте дубль",IF(S228="Нужно проверить","Проверить возможный дубль",IF(TODAY()-E228&gt;30,"Проверить: старше 30 дней",IF(COUNTIFS(#REF!,G228,#REF!,"Готово")=0,"Проверить источник","Готово"))))))))))</f>
        <v/>
      </c>
    </row>
    <row r="229" spans="1:21" ht="25.5" customHeight="1">
      <c r="A229" s="21"/>
      <c r="B229" s="22"/>
      <c r="C229" s="21"/>
      <c r="D229" s="23"/>
      <c r="E229" s="22"/>
      <c r="F229" s="22"/>
      <c r="G229" s="23"/>
      <c r="H229" s="24"/>
      <c r="I229" s="24"/>
      <c r="J229" s="23"/>
      <c r="K229" s="23"/>
      <c r="L229" s="23"/>
      <c r="M229" s="23"/>
      <c r="N229" s="23"/>
      <c r="O229" s="23"/>
      <c r="P229" s="23"/>
      <c r="Q229" s="25"/>
      <c r="R229" s="23"/>
      <c r="S229" s="23"/>
      <c r="T229" s="23"/>
      <c r="U229" s="20" t="str">
        <f ca="1">IF(COUNTA(A229:T229)=0,"",IF(OR(A229="",B229="",C229="",E229="",G229="",H229="",J229="",K229="",L229="",M229=""),"Ошибка: заполните обязательные поля",IF(AND(LEFT(H229,7)&lt;&gt;"http://",LEFT(H229,8)&lt;&gt;"https://"),"Ошибка: некорректная ссылка",IF(COUNTIF($H$6:$H$1005,H229)&gt;1,"Ошибка: дубликат URL",IF(E229&gt;TODAY(),"Ошибка: дата публикации в будущем",IF(S229="Да","Ошибка: подтверждённый дубль",IF(S229="","Проверить: отметьте дубль",IF(S229="Нужно проверить","Проверить возможный дубль",IF(TODAY()-E229&gt;30,"Проверить: старше 30 дней",IF(COUNTIFS(#REF!,G229,#REF!,"Готово")=0,"Проверить источник","Готово"))))))))))</f>
        <v/>
      </c>
    </row>
    <row r="230" spans="1:21" ht="25.5" customHeight="1">
      <c r="A230" s="21"/>
      <c r="B230" s="22"/>
      <c r="C230" s="21"/>
      <c r="D230" s="23"/>
      <c r="E230" s="22"/>
      <c r="F230" s="22"/>
      <c r="G230" s="23"/>
      <c r="H230" s="24"/>
      <c r="I230" s="24"/>
      <c r="J230" s="23"/>
      <c r="K230" s="23"/>
      <c r="L230" s="23"/>
      <c r="M230" s="23"/>
      <c r="N230" s="23"/>
      <c r="O230" s="23"/>
      <c r="P230" s="23"/>
      <c r="Q230" s="25"/>
      <c r="R230" s="23"/>
      <c r="S230" s="23"/>
      <c r="T230" s="23"/>
      <c r="U230" s="20" t="str">
        <f ca="1">IF(COUNTA(A230:T230)=0,"",IF(OR(A230="",B230="",C230="",E230="",G230="",H230="",J230="",K230="",L230="",M230=""),"Ошибка: заполните обязательные поля",IF(AND(LEFT(H230,7)&lt;&gt;"http://",LEFT(H230,8)&lt;&gt;"https://"),"Ошибка: некорректная ссылка",IF(COUNTIF($H$6:$H$1005,H230)&gt;1,"Ошибка: дубликат URL",IF(E230&gt;TODAY(),"Ошибка: дата публикации в будущем",IF(S230="Да","Ошибка: подтверждённый дубль",IF(S230="","Проверить: отметьте дубль",IF(S230="Нужно проверить","Проверить возможный дубль",IF(TODAY()-E230&gt;30,"Проверить: старше 30 дней",IF(COUNTIFS(#REF!,G230,#REF!,"Готово")=0,"Проверить источник","Готово"))))))))))</f>
        <v/>
      </c>
    </row>
    <row r="231" spans="1:21" ht="25.5" customHeight="1">
      <c r="A231" s="21"/>
      <c r="B231" s="22"/>
      <c r="C231" s="21"/>
      <c r="D231" s="23"/>
      <c r="E231" s="22"/>
      <c r="F231" s="22"/>
      <c r="G231" s="23"/>
      <c r="H231" s="24"/>
      <c r="I231" s="24"/>
      <c r="J231" s="23"/>
      <c r="K231" s="23"/>
      <c r="L231" s="23"/>
      <c r="M231" s="23"/>
      <c r="N231" s="23"/>
      <c r="O231" s="23"/>
      <c r="P231" s="23"/>
      <c r="Q231" s="25"/>
      <c r="R231" s="23"/>
      <c r="S231" s="23"/>
      <c r="T231" s="23"/>
      <c r="U231" s="20" t="str">
        <f ca="1">IF(COUNTA(A231:T231)=0,"",IF(OR(A231="",B231="",C231="",E231="",G231="",H231="",J231="",K231="",L231="",M231=""),"Ошибка: заполните обязательные поля",IF(AND(LEFT(H231,7)&lt;&gt;"http://",LEFT(H231,8)&lt;&gt;"https://"),"Ошибка: некорректная ссылка",IF(COUNTIF($H$6:$H$1005,H231)&gt;1,"Ошибка: дубликат URL",IF(E231&gt;TODAY(),"Ошибка: дата публикации в будущем",IF(S231="Да","Ошибка: подтверждённый дубль",IF(S231="","Проверить: отметьте дубль",IF(S231="Нужно проверить","Проверить возможный дубль",IF(TODAY()-E231&gt;30,"Проверить: старше 30 дней",IF(COUNTIFS(#REF!,G231,#REF!,"Готово")=0,"Проверить источник","Готово"))))))))))</f>
        <v/>
      </c>
    </row>
    <row r="232" spans="1:21" ht="25.5" customHeight="1">
      <c r="A232" s="21"/>
      <c r="B232" s="22"/>
      <c r="C232" s="21"/>
      <c r="D232" s="23"/>
      <c r="E232" s="22"/>
      <c r="F232" s="22"/>
      <c r="G232" s="23"/>
      <c r="H232" s="24"/>
      <c r="I232" s="24"/>
      <c r="J232" s="23"/>
      <c r="K232" s="23"/>
      <c r="L232" s="23"/>
      <c r="M232" s="23"/>
      <c r="N232" s="23"/>
      <c r="O232" s="23"/>
      <c r="P232" s="23"/>
      <c r="Q232" s="25"/>
      <c r="R232" s="23"/>
      <c r="S232" s="23"/>
      <c r="T232" s="23"/>
      <c r="U232" s="20" t="str">
        <f ca="1">IF(COUNTA(A232:T232)=0,"",IF(OR(A232="",B232="",C232="",E232="",G232="",H232="",J232="",K232="",L232="",M232=""),"Ошибка: заполните обязательные поля",IF(AND(LEFT(H232,7)&lt;&gt;"http://",LEFT(H232,8)&lt;&gt;"https://"),"Ошибка: некорректная ссылка",IF(COUNTIF($H$6:$H$1005,H232)&gt;1,"Ошибка: дубликат URL",IF(E232&gt;TODAY(),"Ошибка: дата публикации в будущем",IF(S232="Да","Ошибка: подтверждённый дубль",IF(S232="","Проверить: отметьте дубль",IF(S232="Нужно проверить","Проверить возможный дубль",IF(TODAY()-E232&gt;30,"Проверить: старше 30 дней",IF(COUNTIFS(#REF!,G232,#REF!,"Готово")=0,"Проверить источник","Готово"))))))))))</f>
        <v/>
      </c>
    </row>
    <row r="233" spans="1:21" ht="25.5" customHeight="1">
      <c r="A233" s="21"/>
      <c r="B233" s="22"/>
      <c r="C233" s="21"/>
      <c r="D233" s="23"/>
      <c r="E233" s="22"/>
      <c r="F233" s="22"/>
      <c r="G233" s="23"/>
      <c r="H233" s="24"/>
      <c r="I233" s="24"/>
      <c r="J233" s="23"/>
      <c r="K233" s="23"/>
      <c r="L233" s="23"/>
      <c r="M233" s="23"/>
      <c r="N233" s="23"/>
      <c r="O233" s="23"/>
      <c r="P233" s="23"/>
      <c r="Q233" s="25"/>
      <c r="R233" s="23"/>
      <c r="S233" s="23"/>
      <c r="T233" s="23"/>
      <c r="U233" s="20" t="str">
        <f ca="1">IF(COUNTA(A233:T233)=0,"",IF(OR(A233="",B233="",C233="",E233="",G233="",H233="",J233="",K233="",L233="",M233=""),"Ошибка: заполните обязательные поля",IF(AND(LEFT(H233,7)&lt;&gt;"http://",LEFT(H233,8)&lt;&gt;"https://"),"Ошибка: некорректная ссылка",IF(COUNTIF($H$6:$H$1005,H233)&gt;1,"Ошибка: дубликат URL",IF(E233&gt;TODAY(),"Ошибка: дата публикации в будущем",IF(S233="Да","Ошибка: подтверждённый дубль",IF(S233="","Проверить: отметьте дубль",IF(S233="Нужно проверить","Проверить возможный дубль",IF(TODAY()-E233&gt;30,"Проверить: старше 30 дней",IF(COUNTIFS(#REF!,G233,#REF!,"Готово")=0,"Проверить источник","Готово"))))))))))</f>
        <v/>
      </c>
    </row>
    <row r="234" spans="1:21" ht="25.5" customHeight="1">
      <c r="A234" s="21"/>
      <c r="B234" s="22"/>
      <c r="C234" s="21"/>
      <c r="D234" s="23"/>
      <c r="E234" s="22"/>
      <c r="F234" s="22"/>
      <c r="G234" s="23"/>
      <c r="H234" s="24"/>
      <c r="I234" s="24"/>
      <c r="J234" s="23"/>
      <c r="K234" s="23"/>
      <c r="L234" s="23"/>
      <c r="M234" s="23"/>
      <c r="N234" s="23"/>
      <c r="O234" s="23"/>
      <c r="P234" s="23"/>
      <c r="Q234" s="25"/>
      <c r="R234" s="23"/>
      <c r="S234" s="23"/>
      <c r="T234" s="23"/>
      <c r="U234" s="20" t="str">
        <f ca="1">IF(COUNTA(A234:T234)=0,"",IF(OR(A234="",B234="",C234="",E234="",G234="",H234="",J234="",K234="",L234="",M234=""),"Ошибка: заполните обязательные поля",IF(AND(LEFT(H234,7)&lt;&gt;"http://",LEFT(H234,8)&lt;&gt;"https://"),"Ошибка: некорректная ссылка",IF(COUNTIF($H$6:$H$1005,H234)&gt;1,"Ошибка: дубликат URL",IF(E234&gt;TODAY(),"Ошибка: дата публикации в будущем",IF(S234="Да","Ошибка: подтверждённый дубль",IF(S234="","Проверить: отметьте дубль",IF(S234="Нужно проверить","Проверить возможный дубль",IF(TODAY()-E234&gt;30,"Проверить: старше 30 дней",IF(COUNTIFS(#REF!,G234,#REF!,"Готово")=0,"Проверить источник","Готово"))))))))))</f>
        <v/>
      </c>
    </row>
    <row r="235" spans="1:21" ht="25.5" customHeight="1">
      <c r="A235" s="21"/>
      <c r="B235" s="22"/>
      <c r="C235" s="21"/>
      <c r="D235" s="23"/>
      <c r="E235" s="22"/>
      <c r="F235" s="22"/>
      <c r="G235" s="23"/>
      <c r="H235" s="24"/>
      <c r="I235" s="24"/>
      <c r="J235" s="23"/>
      <c r="K235" s="23"/>
      <c r="L235" s="23"/>
      <c r="M235" s="23"/>
      <c r="N235" s="23"/>
      <c r="O235" s="23"/>
      <c r="P235" s="23"/>
      <c r="Q235" s="25"/>
      <c r="R235" s="23"/>
      <c r="S235" s="23"/>
      <c r="T235" s="23"/>
      <c r="U235" s="20" t="str">
        <f ca="1">IF(COUNTA(A235:T235)=0,"",IF(OR(A235="",B235="",C235="",E235="",G235="",H235="",J235="",K235="",L235="",M235=""),"Ошибка: заполните обязательные поля",IF(AND(LEFT(H235,7)&lt;&gt;"http://",LEFT(H235,8)&lt;&gt;"https://"),"Ошибка: некорректная ссылка",IF(COUNTIF($H$6:$H$1005,H235)&gt;1,"Ошибка: дубликат URL",IF(E235&gt;TODAY(),"Ошибка: дата публикации в будущем",IF(S235="Да","Ошибка: подтверждённый дубль",IF(S235="","Проверить: отметьте дубль",IF(S235="Нужно проверить","Проверить возможный дубль",IF(TODAY()-E235&gt;30,"Проверить: старше 30 дней",IF(COUNTIFS(#REF!,G235,#REF!,"Готово")=0,"Проверить источник","Готово"))))))))))</f>
        <v/>
      </c>
    </row>
    <row r="236" spans="1:21" ht="25.5" customHeight="1">
      <c r="A236" s="21"/>
      <c r="B236" s="22"/>
      <c r="C236" s="21"/>
      <c r="D236" s="23"/>
      <c r="E236" s="22"/>
      <c r="F236" s="22"/>
      <c r="G236" s="23"/>
      <c r="H236" s="24"/>
      <c r="I236" s="24"/>
      <c r="J236" s="23"/>
      <c r="K236" s="23"/>
      <c r="L236" s="23"/>
      <c r="M236" s="23"/>
      <c r="N236" s="23"/>
      <c r="O236" s="23"/>
      <c r="P236" s="23"/>
      <c r="Q236" s="25"/>
      <c r="R236" s="23"/>
      <c r="S236" s="23"/>
      <c r="T236" s="23"/>
      <c r="U236" s="20" t="str">
        <f ca="1">IF(COUNTA(A236:T236)=0,"",IF(OR(A236="",B236="",C236="",E236="",G236="",H236="",J236="",K236="",L236="",M236=""),"Ошибка: заполните обязательные поля",IF(AND(LEFT(H236,7)&lt;&gt;"http://",LEFT(H236,8)&lt;&gt;"https://"),"Ошибка: некорректная ссылка",IF(COUNTIF($H$6:$H$1005,H236)&gt;1,"Ошибка: дубликат URL",IF(E236&gt;TODAY(),"Ошибка: дата публикации в будущем",IF(S236="Да","Ошибка: подтверждённый дубль",IF(S236="","Проверить: отметьте дубль",IF(S236="Нужно проверить","Проверить возможный дубль",IF(TODAY()-E236&gt;30,"Проверить: старше 30 дней",IF(COUNTIFS(#REF!,G236,#REF!,"Готово")=0,"Проверить источник","Готово"))))))))))</f>
        <v/>
      </c>
    </row>
    <row r="237" spans="1:21" ht="25.5" customHeight="1">
      <c r="A237" s="21"/>
      <c r="B237" s="22"/>
      <c r="C237" s="21"/>
      <c r="D237" s="23"/>
      <c r="E237" s="22"/>
      <c r="F237" s="22"/>
      <c r="G237" s="23"/>
      <c r="H237" s="24"/>
      <c r="I237" s="24"/>
      <c r="J237" s="23"/>
      <c r="K237" s="23"/>
      <c r="L237" s="23"/>
      <c r="M237" s="23"/>
      <c r="N237" s="23"/>
      <c r="O237" s="23"/>
      <c r="P237" s="23"/>
      <c r="Q237" s="25"/>
      <c r="R237" s="23"/>
      <c r="S237" s="23"/>
      <c r="T237" s="23"/>
      <c r="U237" s="20" t="str">
        <f ca="1">IF(COUNTA(A237:T237)=0,"",IF(OR(A237="",B237="",C237="",E237="",G237="",H237="",J237="",K237="",L237="",M237=""),"Ошибка: заполните обязательные поля",IF(AND(LEFT(H237,7)&lt;&gt;"http://",LEFT(H237,8)&lt;&gt;"https://"),"Ошибка: некорректная ссылка",IF(COUNTIF($H$6:$H$1005,H237)&gt;1,"Ошибка: дубликат URL",IF(E237&gt;TODAY(),"Ошибка: дата публикации в будущем",IF(S237="Да","Ошибка: подтверждённый дубль",IF(S237="","Проверить: отметьте дубль",IF(S237="Нужно проверить","Проверить возможный дубль",IF(TODAY()-E237&gt;30,"Проверить: старше 30 дней",IF(COUNTIFS(#REF!,G237,#REF!,"Готово")=0,"Проверить источник","Готово"))))))))))</f>
        <v/>
      </c>
    </row>
    <row r="238" spans="1:21" ht="25.5" customHeight="1">
      <c r="A238" s="21"/>
      <c r="B238" s="22"/>
      <c r="C238" s="21"/>
      <c r="D238" s="23"/>
      <c r="E238" s="22"/>
      <c r="F238" s="22"/>
      <c r="G238" s="23"/>
      <c r="H238" s="24"/>
      <c r="I238" s="24"/>
      <c r="J238" s="23"/>
      <c r="K238" s="23"/>
      <c r="L238" s="23"/>
      <c r="M238" s="23"/>
      <c r="N238" s="23"/>
      <c r="O238" s="23"/>
      <c r="P238" s="23"/>
      <c r="Q238" s="25"/>
      <c r="R238" s="23"/>
      <c r="S238" s="23"/>
      <c r="T238" s="23"/>
      <c r="U238" s="20" t="str">
        <f ca="1">IF(COUNTA(A238:T238)=0,"",IF(OR(A238="",B238="",C238="",E238="",G238="",H238="",J238="",K238="",L238="",M238=""),"Ошибка: заполните обязательные поля",IF(AND(LEFT(H238,7)&lt;&gt;"http://",LEFT(H238,8)&lt;&gt;"https://"),"Ошибка: некорректная ссылка",IF(COUNTIF($H$6:$H$1005,H238)&gt;1,"Ошибка: дубликат URL",IF(E238&gt;TODAY(),"Ошибка: дата публикации в будущем",IF(S238="Да","Ошибка: подтверждённый дубль",IF(S238="","Проверить: отметьте дубль",IF(S238="Нужно проверить","Проверить возможный дубль",IF(TODAY()-E238&gt;30,"Проверить: старше 30 дней",IF(COUNTIFS(#REF!,G238,#REF!,"Готово")=0,"Проверить источник","Готово"))))))))))</f>
        <v/>
      </c>
    </row>
    <row r="239" spans="1:21" ht="25.5" customHeight="1">
      <c r="A239" s="21"/>
      <c r="B239" s="22"/>
      <c r="C239" s="21"/>
      <c r="D239" s="23"/>
      <c r="E239" s="22"/>
      <c r="F239" s="22"/>
      <c r="G239" s="23"/>
      <c r="H239" s="24"/>
      <c r="I239" s="24"/>
      <c r="J239" s="23"/>
      <c r="K239" s="23"/>
      <c r="L239" s="23"/>
      <c r="M239" s="23"/>
      <c r="N239" s="23"/>
      <c r="O239" s="23"/>
      <c r="P239" s="23"/>
      <c r="Q239" s="25"/>
      <c r="R239" s="23"/>
      <c r="S239" s="23"/>
      <c r="T239" s="23"/>
      <c r="U239" s="20" t="str">
        <f ca="1">IF(COUNTA(A239:T239)=0,"",IF(OR(A239="",B239="",C239="",E239="",G239="",H239="",J239="",K239="",L239="",M239=""),"Ошибка: заполните обязательные поля",IF(AND(LEFT(H239,7)&lt;&gt;"http://",LEFT(H239,8)&lt;&gt;"https://"),"Ошибка: некорректная ссылка",IF(COUNTIF($H$6:$H$1005,H239)&gt;1,"Ошибка: дубликат URL",IF(E239&gt;TODAY(),"Ошибка: дата публикации в будущем",IF(S239="Да","Ошибка: подтверждённый дубль",IF(S239="","Проверить: отметьте дубль",IF(S239="Нужно проверить","Проверить возможный дубль",IF(TODAY()-E239&gt;30,"Проверить: старше 30 дней",IF(COUNTIFS(#REF!,G239,#REF!,"Готово")=0,"Проверить источник","Готово"))))))))))</f>
        <v/>
      </c>
    </row>
    <row r="240" spans="1:21" ht="25.5" customHeight="1">
      <c r="A240" s="21"/>
      <c r="B240" s="22"/>
      <c r="C240" s="21"/>
      <c r="D240" s="23"/>
      <c r="E240" s="22"/>
      <c r="F240" s="22"/>
      <c r="G240" s="23"/>
      <c r="H240" s="24"/>
      <c r="I240" s="24"/>
      <c r="J240" s="23"/>
      <c r="K240" s="23"/>
      <c r="L240" s="23"/>
      <c r="M240" s="23"/>
      <c r="N240" s="23"/>
      <c r="O240" s="23"/>
      <c r="P240" s="23"/>
      <c r="Q240" s="25"/>
      <c r="R240" s="23"/>
      <c r="S240" s="23"/>
      <c r="T240" s="23"/>
      <c r="U240" s="20" t="str">
        <f ca="1">IF(COUNTA(A240:T240)=0,"",IF(OR(A240="",B240="",C240="",E240="",G240="",H240="",J240="",K240="",L240="",M240=""),"Ошибка: заполните обязательные поля",IF(AND(LEFT(H240,7)&lt;&gt;"http://",LEFT(H240,8)&lt;&gt;"https://"),"Ошибка: некорректная ссылка",IF(COUNTIF($H$6:$H$1005,H240)&gt;1,"Ошибка: дубликат URL",IF(E240&gt;TODAY(),"Ошибка: дата публикации в будущем",IF(S240="Да","Ошибка: подтверждённый дубль",IF(S240="","Проверить: отметьте дубль",IF(S240="Нужно проверить","Проверить возможный дубль",IF(TODAY()-E240&gt;30,"Проверить: старше 30 дней",IF(COUNTIFS(#REF!,G240,#REF!,"Готово")=0,"Проверить источник","Готово"))))))))))</f>
        <v/>
      </c>
    </row>
    <row r="241" spans="1:21" ht="25.5" customHeight="1">
      <c r="A241" s="21"/>
      <c r="B241" s="22"/>
      <c r="C241" s="21"/>
      <c r="D241" s="23"/>
      <c r="E241" s="22"/>
      <c r="F241" s="22"/>
      <c r="G241" s="23"/>
      <c r="H241" s="24"/>
      <c r="I241" s="24"/>
      <c r="J241" s="23"/>
      <c r="K241" s="23"/>
      <c r="L241" s="23"/>
      <c r="M241" s="23"/>
      <c r="N241" s="23"/>
      <c r="O241" s="23"/>
      <c r="P241" s="23"/>
      <c r="Q241" s="25"/>
      <c r="R241" s="23"/>
      <c r="S241" s="23"/>
      <c r="T241" s="23"/>
      <c r="U241" s="20" t="str">
        <f ca="1">IF(COUNTA(A241:T241)=0,"",IF(OR(A241="",B241="",C241="",E241="",G241="",H241="",J241="",K241="",L241="",M241=""),"Ошибка: заполните обязательные поля",IF(AND(LEFT(H241,7)&lt;&gt;"http://",LEFT(H241,8)&lt;&gt;"https://"),"Ошибка: некорректная ссылка",IF(COUNTIF($H$6:$H$1005,H241)&gt;1,"Ошибка: дубликат URL",IF(E241&gt;TODAY(),"Ошибка: дата публикации в будущем",IF(S241="Да","Ошибка: подтверждённый дубль",IF(S241="","Проверить: отметьте дубль",IF(S241="Нужно проверить","Проверить возможный дубль",IF(TODAY()-E241&gt;30,"Проверить: старше 30 дней",IF(COUNTIFS(#REF!,G241,#REF!,"Готово")=0,"Проверить источник","Готово"))))))))))</f>
        <v/>
      </c>
    </row>
    <row r="242" spans="1:21" ht="25.5" customHeight="1">
      <c r="A242" s="21"/>
      <c r="B242" s="22"/>
      <c r="C242" s="21"/>
      <c r="D242" s="23"/>
      <c r="E242" s="22"/>
      <c r="F242" s="22"/>
      <c r="G242" s="23"/>
      <c r="H242" s="24"/>
      <c r="I242" s="24"/>
      <c r="J242" s="23"/>
      <c r="K242" s="23"/>
      <c r="L242" s="23"/>
      <c r="M242" s="23"/>
      <c r="N242" s="23"/>
      <c r="O242" s="23"/>
      <c r="P242" s="23"/>
      <c r="Q242" s="25"/>
      <c r="R242" s="23"/>
      <c r="S242" s="23"/>
      <c r="T242" s="23"/>
      <c r="U242" s="20" t="str">
        <f ca="1">IF(COUNTA(A242:T242)=0,"",IF(OR(A242="",B242="",C242="",E242="",G242="",H242="",J242="",K242="",L242="",M242=""),"Ошибка: заполните обязательные поля",IF(AND(LEFT(H242,7)&lt;&gt;"http://",LEFT(H242,8)&lt;&gt;"https://"),"Ошибка: некорректная ссылка",IF(COUNTIF($H$6:$H$1005,H242)&gt;1,"Ошибка: дубликат URL",IF(E242&gt;TODAY(),"Ошибка: дата публикации в будущем",IF(S242="Да","Ошибка: подтверждённый дубль",IF(S242="","Проверить: отметьте дубль",IF(S242="Нужно проверить","Проверить возможный дубль",IF(TODAY()-E242&gt;30,"Проверить: старше 30 дней",IF(COUNTIFS(#REF!,G242,#REF!,"Готово")=0,"Проверить источник","Готово"))))))))))</f>
        <v/>
      </c>
    </row>
    <row r="243" spans="1:21" ht="25.5" customHeight="1">
      <c r="A243" s="21"/>
      <c r="B243" s="22"/>
      <c r="C243" s="21"/>
      <c r="D243" s="23"/>
      <c r="E243" s="22"/>
      <c r="F243" s="22"/>
      <c r="G243" s="23"/>
      <c r="H243" s="24"/>
      <c r="I243" s="24"/>
      <c r="J243" s="23"/>
      <c r="K243" s="23"/>
      <c r="L243" s="23"/>
      <c r="M243" s="23"/>
      <c r="N243" s="23"/>
      <c r="O243" s="23"/>
      <c r="P243" s="23"/>
      <c r="Q243" s="25"/>
      <c r="R243" s="23"/>
      <c r="S243" s="23"/>
      <c r="T243" s="23"/>
      <c r="U243" s="20" t="str">
        <f ca="1">IF(COUNTA(A243:T243)=0,"",IF(OR(A243="",B243="",C243="",E243="",G243="",H243="",J243="",K243="",L243="",M243=""),"Ошибка: заполните обязательные поля",IF(AND(LEFT(H243,7)&lt;&gt;"http://",LEFT(H243,8)&lt;&gt;"https://"),"Ошибка: некорректная ссылка",IF(COUNTIF($H$6:$H$1005,H243)&gt;1,"Ошибка: дубликат URL",IF(E243&gt;TODAY(),"Ошибка: дата публикации в будущем",IF(S243="Да","Ошибка: подтверждённый дубль",IF(S243="","Проверить: отметьте дубль",IF(S243="Нужно проверить","Проверить возможный дубль",IF(TODAY()-E243&gt;30,"Проверить: старше 30 дней",IF(COUNTIFS(#REF!,G243,#REF!,"Готово")=0,"Проверить источник","Готово"))))))))))</f>
        <v/>
      </c>
    </row>
    <row r="244" spans="1:21" ht="25.5" customHeight="1">
      <c r="A244" s="21"/>
      <c r="B244" s="22"/>
      <c r="C244" s="21"/>
      <c r="D244" s="23"/>
      <c r="E244" s="22"/>
      <c r="F244" s="22"/>
      <c r="G244" s="23"/>
      <c r="H244" s="24"/>
      <c r="I244" s="24"/>
      <c r="J244" s="23"/>
      <c r="K244" s="23"/>
      <c r="L244" s="23"/>
      <c r="M244" s="23"/>
      <c r="N244" s="23"/>
      <c r="O244" s="23"/>
      <c r="P244" s="23"/>
      <c r="Q244" s="25"/>
      <c r="R244" s="23"/>
      <c r="S244" s="23"/>
      <c r="T244" s="23"/>
      <c r="U244" s="20" t="str">
        <f ca="1">IF(COUNTA(A244:T244)=0,"",IF(OR(A244="",B244="",C244="",E244="",G244="",H244="",J244="",K244="",L244="",M244=""),"Ошибка: заполните обязательные поля",IF(AND(LEFT(H244,7)&lt;&gt;"http://",LEFT(H244,8)&lt;&gt;"https://"),"Ошибка: некорректная ссылка",IF(COUNTIF($H$6:$H$1005,H244)&gt;1,"Ошибка: дубликат URL",IF(E244&gt;TODAY(),"Ошибка: дата публикации в будущем",IF(S244="Да","Ошибка: подтверждённый дубль",IF(S244="","Проверить: отметьте дубль",IF(S244="Нужно проверить","Проверить возможный дубль",IF(TODAY()-E244&gt;30,"Проверить: старше 30 дней",IF(COUNTIFS(#REF!,G244,#REF!,"Готово")=0,"Проверить источник","Готово"))))))))))</f>
        <v/>
      </c>
    </row>
    <row r="245" spans="1:21" ht="25.5" customHeight="1">
      <c r="A245" s="21"/>
      <c r="B245" s="22"/>
      <c r="C245" s="21"/>
      <c r="D245" s="23"/>
      <c r="E245" s="22"/>
      <c r="F245" s="22"/>
      <c r="G245" s="23"/>
      <c r="H245" s="24"/>
      <c r="I245" s="24"/>
      <c r="J245" s="23"/>
      <c r="K245" s="23"/>
      <c r="L245" s="23"/>
      <c r="M245" s="23"/>
      <c r="N245" s="23"/>
      <c r="O245" s="23"/>
      <c r="P245" s="23"/>
      <c r="Q245" s="25"/>
      <c r="R245" s="23"/>
      <c r="S245" s="23"/>
      <c r="T245" s="23"/>
      <c r="U245" s="20" t="str">
        <f ca="1">IF(COUNTA(A245:T245)=0,"",IF(OR(A245="",B245="",C245="",E245="",G245="",H245="",J245="",K245="",L245="",M245=""),"Ошибка: заполните обязательные поля",IF(AND(LEFT(H245,7)&lt;&gt;"http://",LEFT(H245,8)&lt;&gt;"https://"),"Ошибка: некорректная ссылка",IF(COUNTIF($H$6:$H$1005,H245)&gt;1,"Ошибка: дубликат URL",IF(E245&gt;TODAY(),"Ошибка: дата публикации в будущем",IF(S245="Да","Ошибка: подтверждённый дубль",IF(S245="","Проверить: отметьте дубль",IF(S245="Нужно проверить","Проверить возможный дубль",IF(TODAY()-E245&gt;30,"Проверить: старше 30 дней",IF(COUNTIFS(#REF!,G245,#REF!,"Готово")=0,"Проверить источник","Готово"))))))))))</f>
        <v/>
      </c>
    </row>
    <row r="246" spans="1:21" ht="25.5" customHeight="1">
      <c r="A246" s="21"/>
      <c r="B246" s="22"/>
      <c r="C246" s="21"/>
      <c r="D246" s="23"/>
      <c r="E246" s="22"/>
      <c r="F246" s="22"/>
      <c r="G246" s="23"/>
      <c r="H246" s="24"/>
      <c r="I246" s="24"/>
      <c r="J246" s="23"/>
      <c r="K246" s="23"/>
      <c r="L246" s="23"/>
      <c r="M246" s="23"/>
      <c r="N246" s="23"/>
      <c r="O246" s="23"/>
      <c r="P246" s="23"/>
      <c r="Q246" s="25"/>
      <c r="R246" s="23"/>
      <c r="S246" s="23"/>
      <c r="T246" s="23"/>
      <c r="U246" s="20" t="str">
        <f ca="1">IF(COUNTA(A246:T246)=0,"",IF(OR(A246="",B246="",C246="",E246="",G246="",H246="",J246="",K246="",L246="",M246=""),"Ошибка: заполните обязательные поля",IF(AND(LEFT(H246,7)&lt;&gt;"http://",LEFT(H246,8)&lt;&gt;"https://"),"Ошибка: некорректная ссылка",IF(COUNTIF($H$6:$H$1005,H246)&gt;1,"Ошибка: дубликат URL",IF(E246&gt;TODAY(),"Ошибка: дата публикации в будущем",IF(S246="Да","Ошибка: подтверждённый дубль",IF(S246="","Проверить: отметьте дубль",IF(S246="Нужно проверить","Проверить возможный дубль",IF(TODAY()-E246&gt;30,"Проверить: старше 30 дней",IF(COUNTIFS(#REF!,G246,#REF!,"Готово")=0,"Проверить источник","Готово"))))))))))</f>
        <v/>
      </c>
    </row>
    <row r="247" spans="1:21" ht="25.5" customHeight="1">
      <c r="A247" s="21"/>
      <c r="B247" s="22"/>
      <c r="C247" s="21"/>
      <c r="D247" s="23"/>
      <c r="E247" s="22"/>
      <c r="F247" s="22"/>
      <c r="G247" s="23"/>
      <c r="H247" s="24"/>
      <c r="I247" s="24"/>
      <c r="J247" s="23"/>
      <c r="K247" s="23"/>
      <c r="L247" s="23"/>
      <c r="M247" s="23"/>
      <c r="N247" s="23"/>
      <c r="O247" s="23"/>
      <c r="P247" s="23"/>
      <c r="Q247" s="25"/>
      <c r="R247" s="23"/>
      <c r="S247" s="23"/>
      <c r="T247" s="23"/>
      <c r="U247" s="20" t="str">
        <f ca="1">IF(COUNTA(A247:T247)=0,"",IF(OR(A247="",B247="",C247="",E247="",G247="",H247="",J247="",K247="",L247="",M247=""),"Ошибка: заполните обязательные поля",IF(AND(LEFT(H247,7)&lt;&gt;"http://",LEFT(H247,8)&lt;&gt;"https://"),"Ошибка: некорректная ссылка",IF(COUNTIF($H$6:$H$1005,H247)&gt;1,"Ошибка: дубликат URL",IF(E247&gt;TODAY(),"Ошибка: дата публикации в будущем",IF(S247="Да","Ошибка: подтверждённый дубль",IF(S247="","Проверить: отметьте дубль",IF(S247="Нужно проверить","Проверить возможный дубль",IF(TODAY()-E247&gt;30,"Проверить: старше 30 дней",IF(COUNTIFS(#REF!,G247,#REF!,"Готово")=0,"Проверить источник","Готово"))))))))))</f>
        <v/>
      </c>
    </row>
    <row r="248" spans="1:21" ht="25.5" customHeight="1">
      <c r="A248" s="21"/>
      <c r="B248" s="22"/>
      <c r="C248" s="21"/>
      <c r="D248" s="23"/>
      <c r="E248" s="22"/>
      <c r="F248" s="22"/>
      <c r="G248" s="23"/>
      <c r="H248" s="24"/>
      <c r="I248" s="24"/>
      <c r="J248" s="23"/>
      <c r="K248" s="23"/>
      <c r="L248" s="23"/>
      <c r="M248" s="23"/>
      <c r="N248" s="23"/>
      <c r="O248" s="23"/>
      <c r="P248" s="23"/>
      <c r="Q248" s="25"/>
      <c r="R248" s="23"/>
      <c r="S248" s="23"/>
      <c r="T248" s="23"/>
      <c r="U248" s="20" t="str">
        <f ca="1">IF(COUNTA(A248:T248)=0,"",IF(OR(A248="",B248="",C248="",E248="",G248="",H248="",J248="",K248="",L248="",M248=""),"Ошибка: заполните обязательные поля",IF(AND(LEFT(H248,7)&lt;&gt;"http://",LEFT(H248,8)&lt;&gt;"https://"),"Ошибка: некорректная ссылка",IF(COUNTIF($H$6:$H$1005,H248)&gt;1,"Ошибка: дубликат URL",IF(E248&gt;TODAY(),"Ошибка: дата публикации в будущем",IF(S248="Да","Ошибка: подтверждённый дубль",IF(S248="","Проверить: отметьте дубль",IF(S248="Нужно проверить","Проверить возможный дубль",IF(TODAY()-E248&gt;30,"Проверить: старше 30 дней",IF(COUNTIFS(#REF!,G248,#REF!,"Готово")=0,"Проверить источник","Готово"))))))))))</f>
        <v/>
      </c>
    </row>
    <row r="249" spans="1:21" ht="25.5" customHeight="1">
      <c r="A249" s="21"/>
      <c r="B249" s="22"/>
      <c r="C249" s="21"/>
      <c r="D249" s="23"/>
      <c r="E249" s="22"/>
      <c r="F249" s="22"/>
      <c r="G249" s="23"/>
      <c r="H249" s="24"/>
      <c r="I249" s="24"/>
      <c r="J249" s="23"/>
      <c r="K249" s="23"/>
      <c r="L249" s="23"/>
      <c r="M249" s="23"/>
      <c r="N249" s="23"/>
      <c r="O249" s="23"/>
      <c r="P249" s="23"/>
      <c r="Q249" s="25"/>
      <c r="R249" s="23"/>
      <c r="S249" s="23"/>
      <c r="T249" s="23"/>
      <c r="U249" s="20" t="str">
        <f ca="1">IF(COUNTA(A249:T249)=0,"",IF(OR(A249="",B249="",C249="",E249="",G249="",H249="",J249="",K249="",L249="",M249=""),"Ошибка: заполните обязательные поля",IF(AND(LEFT(H249,7)&lt;&gt;"http://",LEFT(H249,8)&lt;&gt;"https://"),"Ошибка: некорректная ссылка",IF(COUNTIF($H$6:$H$1005,H249)&gt;1,"Ошибка: дубликат URL",IF(E249&gt;TODAY(),"Ошибка: дата публикации в будущем",IF(S249="Да","Ошибка: подтверждённый дубль",IF(S249="","Проверить: отметьте дубль",IF(S249="Нужно проверить","Проверить возможный дубль",IF(TODAY()-E249&gt;30,"Проверить: старше 30 дней",IF(COUNTIFS(#REF!,G249,#REF!,"Готово")=0,"Проверить источник","Готово"))))))))))</f>
        <v/>
      </c>
    </row>
    <row r="250" spans="1:21" ht="25.5" customHeight="1">
      <c r="A250" s="21"/>
      <c r="B250" s="22"/>
      <c r="C250" s="21"/>
      <c r="D250" s="23"/>
      <c r="E250" s="22"/>
      <c r="F250" s="22"/>
      <c r="G250" s="23"/>
      <c r="H250" s="24"/>
      <c r="I250" s="24"/>
      <c r="J250" s="23"/>
      <c r="K250" s="23"/>
      <c r="L250" s="23"/>
      <c r="M250" s="23"/>
      <c r="N250" s="23"/>
      <c r="O250" s="23"/>
      <c r="P250" s="23"/>
      <c r="Q250" s="25"/>
      <c r="R250" s="23"/>
      <c r="S250" s="23"/>
      <c r="T250" s="23"/>
      <c r="U250" s="20" t="str">
        <f ca="1">IF(COUNTA(A250:T250)=0,"",IF(OR(A250="",B250="",C250="",E250="",G250="",H250="",J250="",K250="",L250="",M250=""),"Ошибка: заполните обязательные поля",IF(AND(LEFT(H250,7)&lt;&gt;"http://",LEFT(H250,8)&lt;&gt;"https://"),"Ошибка: некорректная ссылка",IF(COUNTIF($H$6:$H$1005,H250)&gt;1,"Ошибка: дубликат URL",IF(E250&gt;TODAY(),"Ошибка: дата публикации в будущем",IF(S250="Да","Ошибка: подтверждённый дубль",IF(S250="","Проверить: отметьте дубль",IF(S250="Нужно проверить","Проверить возможный дубль",IF(TODAY()-E250&gt;30,"Проверить: старше 30 дней",IF(COUNTIFS(#REF!,G250,#REF!,"Готово")=0,"Проверить источник","Готово"))))))))))</f>
        <v/>
      </c>
    </row>
    <row r="251" spans="1:21" ht="25.5" customHeight="1">
      <c r="A251" s="21"/>
      <c r="B251" s="22"/>
      <c r="C251" s="21"/>
      <c r="D251" s="23"/>
      <c r="E251" s="22"/>
      <c r="F251" s="22"/>
      <c r="G251" s="23"/>
      <c r="H251" s="24"/>
      <c r="I251" s="24"/>
      <c r="J251" s="23"/>
      <c r="K251" s="23"/>
      <c r="L251" s="23"/>
      <c r="M251" s="23"/>
      <c r="N251" s="23"/>
      <c r="O251" s="23"/>
      <c r="P251" s="23"/>
      <c r="Q251" s="25"/>
      <c r="R251" s="23"/>
      <c r="S251" s="23"/>
      <c r="T251" s="23"/>
      <c r="U251" s="20" t="str">
        <f ca="1">IF(COUNTA(A251:T251)=0,"",IF(OR(A251="",B251="",C251="",E251="",G251="",H251="",J251="",K251="",L251="",M251=""),"Ошибка: заполните обязательные поля",IF(AND(LEFT(H251,7)&lt;&gt;"http://",LEFT(H251,8)&lt;&gt;"https://"),"Ошибка: некорректная ссылка",IF(COUNTIF($H$6:$H$1005,H251)&gt;1,"Ошибка: дубликат URL",IF(E251&gt;TODAY(),"Ошибка: дата публикации в будущем",IF(S251="Да","Ошибка: подтверждённый дубль",IF(S251="","Проверить: отметьте дубль",IF(S251="Нужно проверить","Проверить возможный дубль",IF(TODAY()-E251&gt;30,"Проверить: старше 30 дней",IF(COUNTIFS(#REF!,G251,#REF!,"Готово")=0,"Проверить источник","Готово"))))))))))</f>
        <v/>
      </c>
    </row>
    <row r="252" spans="1:21" ht="25.5" customHeight="1">
      <c r="A252" s="21"/>
      <c r="B252" s="22"/>
      <c r="C252" s="21"/>
      <c r="D252" s="23"/>
      <c r="E252" s="22"/>
      <c r="F252" s="22"/>
      <c r="G252" s="23"/>
      <c r="H252" s="24"/>
      <c r="I252" s="24"/>
      <c r="J252" s="23"/>
      <c r="K252" s="23"/>
      <c r="L252" s="23"/>
      <c r="M252" s="23"/>
      <c r="N252" s="23"/>
      <c r="O252" s="23"/>
      <c r="P252" s="23"/>
      <c r="Q252" s="25"/>
      <c r="R252" s="23"/>
      <c r="S252" s="23"/>
      <c r="T252" s="23"/>
      <c r="U252" s="20" t="str">
        <f ca="1">IF(COUNTA(A252:T252)=0,"",IF(OR(A252="",B252="",C252="",E252="",G252="",H252="",J252="",K252="",L252="",M252=""),"Ошибка: заполните обязательные поля",IF(AND(LEFT(H252,7)&lt;&gt;"http://",LEFT(H252,8)&lt;&gt;"https://"),"Ошибка: некорректная ссылка",IF(COUNTIF($H$6:$H$1005,H252)&gt;1,"Ошибка: дубликат URL",IF(E252&gt;TODAY(),"Ошибка: дата публикации в будущем",IF(S252="Да","Ошибка: подтверждённый дубль",IF(S252="","Проверить: отметьте дубль",IF(S252="Нужно проверить","Проверить возможный дубль",IF(TODAY()-E252&gt;30,"Проверить: старше 30 дней",IF(COUNTIFS(#REF!,G252,#REF!,"Готово")=0,"Проверить источник","Готово"))))))))))</f>
        <v/>
      </c>
    </row>
    <row r="253" spans="1:21" ht="25.5" customHeight="1">
      <c r="A253" s="21"/>
      <c r="B253" s="22"/>
      <c r="C253" s="21"/>
      <c r="D253" s="23"/>
      <c r="E253" s="22"/>
      <c r="F253" s="22"/>
      <c r="G253" s="23"/>
      <c r="H253" s="24"/>
      <c r="I253" s="24"/>
      <c r="J253" s="23"/>
      <c r="K253" s="23"/>
      <c r="L253" s="23"/>
      <c r="M253" s="23"/>
      <c r="N253" s="23"/>
      <c r="O253" s="23"/>
      <c r="P253" s="23"/>
      <c r="Q253" s="25"/>
      <c r="R253" s="23"/>
      <c r="S253" s="23"/>
      <c r="T253" s="23"/>
      <c r="U253" s="20" t="str">
        <f ca="1">IF(COUNTA(A253:T253)=0,"",IF(OR(A253="",B253="",C253="",E253="",G253="",H253="",J253="",K253="",L253="",M253=""),"Ошибка: заполните обязательные поля",IF(AND(LEFT(H253,7)&lt;&gt;"http://",LEFT(H253,8)&lt;&gt;"https://"),"Ошибка: некорректная ссылка",IF(COUNTIF($H$6:$H$1005,H253)&gt;1,"Ошибка: дубликат URL",IF(E253&gt;TODAY(),"Ошибка: дата публикации в будущем",IF(S253="Да","Ошибка: подтверждённый дубль",IF(S253="","Проверить: отметьте дубль",IF(S253="Нужно проверить","Проверить возможный дубль",IF(TODAY()-E253&gt;30,"Проверить: старше 30 дней",IF(COUNTIFS(#REF!,G253,#REF!,"Готово")=0,"Проверить источник","Готово"))))))))))</f>
        <v/>
      </c>
    </row>
    <row r="254" spans="1:21" ht="25.5" customHeight="1">
      <c r="A254" s="21"/>
      <c r="B254" s="22"/>
      <c r="C254" s="21"/>
      <c r="D254" s="23"/>
      <c r="E254" s="22"/>
      <c r="F254" s="22"/>
      <c r="G254" s="23"/>
      <c r="H254" s="24"/>
      <c r="I254" s="24"/>
      <c r="J254" s="23"/>
      <c r="K254" s="23"/>
      <c r="L254" s="23"/>
      <c r="M254" s="23"/>
      <c r="N254" s="23"/>
      <c r="O254" s="23"/>
      <c r="P254" s="23"/>
      <c r="Q254" s="25"/>
      <c r="R254" s="23"/>
      <c r="S254" s="23"/>
      <c r="T254" s="23"/>
      <c r="U254" s="20" t="str">
        <f ca="1">IF(COUNTA(A254:T254)=0,"",IF(OR(A254="",B254="",C254="",E254="",G254="",H254="",J254="",K254="",L254="",M254=""),"Ошибка: заполните обязательные поля",IF(AND(LEFT(H254,7)&lt;&gt;"http://",LEFT(H254,8)&lt;&gt;"https://"),"Ошибка: некорректная ссылка",IF(COUNTIF($H$6:$H$1005,H254)&gt;1,"Ошибка: дубликат URL",IF(E254&gt;TODAY(),"Ошибка: дата публикации в будущем",IF(S254="Да","Ошибка: подтверждённый дубль",IF(S254="","Проверить: отметьте дубль",IF(S254="Нужно проверить","Проверить возможный дубль",IF(TODAY()-E254&gt;30,"Проверить: старше 30 дней",IF(COUNTIFS(#REF!,G254,#REF!,"Готово")=0,"Проверить источник","Готово"))))))))))</f>
        <v/>
      </c>
    </row>
    <row r="255" spans="1:21" ht="25.5" customHeight="1">
      <c r="A255" s="21"/>
      <c r="B255" s="22"/>
      <c r="C255" s="21"/>
      <c r="D255" s="23"/>
      <c r="E255" s="22"/>
      <c r="F255" s="22"/>
      <c r="G255" s="23"/>
      <c r="H255" s="24"/>
      <c r="I255" s="24"/>
      <c r="J255" s="23"/>
      <c r="K255" s="23"/>
      <c r="L255" s="23"/>
      <c r="M255" s="23"/>
      <c r="N255" s="23"/>
      <c r="O255" s="23"/>
      <c r="P255" s="23"/>
      <c r="Q255" s="25"/>
      <c r="R255" s="23"/>
      <c r="S255" s="23"/>
      <c r="T255" s="23"/>
      <c r="U255" s="20" t="str">
        <f ca="1">IF(COUNTA(A255:T255)=0,"",IF(OR(A255="",B255="",C255="",E255="",G255="",H255="",J255="",K255="",L255="",M255=""),"Ошибка: заполните обязательные поля",IF(AND(LEFT(H255,7)&lt;&gt;"http://",LEFT(H255,8)&lt;&gt;"https://"),"Ошибка: некорректная ссылка",IF(COUNTIF($H$6:$H$1005,H255)&gt;1,"Ошибка: дубликат URL",IF(E255&gt;TODAY(),"Ошибка: дата публикации в будущем",IF(S255="Да","Ошибка: подтверждённый дубль",IF(S255="","Проверить: отметьте дубль",IF(S255="Нужно проверить","Проверить возможный дубль",IF(TODAY()-E255&gt;30,"Проверить: старше 30 дней",IF(COUNTIFS(#REF!,G255,#REF!,"Готово")=0,"Проверить источник","Готово"))))))))))</f>
        <v/>
      </c>
    </row>
    <row r="256" spans="1:21" ht="25.5" customHeight="1">
      <c r="A256" s="21"/>
      <c r="B256" s="22"/>
      <c r="C256" s="21"/>
      <c r="D256" s="23"/>
      <c r="E256" s="22"/>
      <c r="F256" s="22"/>
      <c r="G256" s="23"/>
      <c r="H256" s="24"/>
      <c r="I256" s="24"/>
      <c r="J256" s="23"/>
      <c r="K256" s="23"/>
      <c r="L256" s="23"/>
      <c r="M256" s="23"/>
      <c r="N256" s="23"/>
      <c r="O256" s="23"/>
      <c r="P256" s="23"/>
      <c r="Q256" s="25"/>
      <c r="R256" s="23"/>
      <c r="S256" s="23"/>
      <c r="T256" s="23"/>
      <c r="U256" s="20" t="str">
        <f ca="1">IF(COUNTA(A256:T256)=0,"",IF(OR(A256="",B256="",C256="",E256="",G256="",H256="",J256="",K256="",L256="",M256=""),"Ошибка: заполните обязательные поля",IF(AND(LEFT(H256,7)&lt;&gt;"http://",LEFT(H256,8)&lt;&gt;"https://"),"Ошибка: некорректная ссылка",IF(COUNTIF($H$6:$H$1005,H256)&gt;1,"Ошибка: дубликат URL",IF(E256&gt;TODAY(),"Ошибка: дата публикации в будущем",IF(S256="Да","Ошибка: подтверждённый дубль",IF(S256="","Проверить: отметьте дубль",IF(S256="Нужно проверить","Проверить возможный дубль",IF(TODAY()-E256&gt;30,"Проверить: старше 30 дней",IF(COUNTIFS(#REF!,G256,#REF!,"Готово")=0,"Проверить источник","Готово"))))))))))</f>
        <v/>
      </c>
    </row>
    <row r="257" spans="1:21" ht="25.5" customHeight="1">
      <c r="A257" s="21"/>
      <c r="B257" s="22"/>
      <c r="C257" s="21"/>
      <c r="D257" s="23"/>
      <c r="E257" s="22"/>
      <c r="F257" s="22"/>
      <c r="G257" s="23"/>
      <c r="H257" s="24"/>
      <c r="I257" s="24"/>
      <c r="J257" s="23"/>
      <c r="K257" s="23"/>
      <c r="L257" s="23"/>
      <c r="M257" s="23"/>
      <c r="N257" s="23"/>
      <c r="O257" s="23"/>
      <c r="P257" s="23"/>
      <c r="Q257" s="25"/>
      <c r="R257" s="23"/>
      <c r="S257" s="23"/>
      <c r="T257" s="23"/>
      <c r="U257" s="20" t="str">
        <f ca="1">IF(COUNTA(A257:T257)=0,"",IF(OR(A257="",B257="",C257="",E257="",G257="",H257="",J257="",K257="",L257="",M257=""),"Ошибка: заполните обязательные поля",IF(AND(LEFT(H257,7)&lt;&gt;"http://",LEFT(H257,8)&lt;&gt;"https://"),"Ошибка: некорректная ссылка",IF(COUNTIF($H$6:$H$1005,H257)&gt;1,"Ошибка: дубликат URL",IF(E257&gt;TODAY(),"Ошибка: дата публикации в будущем",IF(S257="Да","Ошибка: подтверждённый дубль",IF(S257="","Проверить: отметьте дубль",IF(S257="Нужно проверить","Проверить возможный дубль",IF(TODAY()-E257&gt;30,"Проверить: старше 30 дней",IF(COUNTIFS(#REF!,G257,#REF!,"Готово")=0,"Проверить источник","Готово"))))))))))</f>
        <v/>
      </c>
    </row>
    <row r="258" spans="1:21" ht="25.5" customHeight="1">
      <c r="A258" s="21"/>
      <c r="B258" s="22"/>
      <c r="C258" s="21"/>
      <c r="D258" s="23"/>
      <c r="E258" s="22"/>
      <c r="F258" s="22"/>
      <c r="G258" s="23"/>
      <c r="H258" s="24"/>
      <c r="I258" s="24"/>
      <c r="J258" s="23"/>
      <c r="K258" s="23"/>
      <c r="L258" s="23"/>
      <c r="M258" s="23"/>
      <c r="N258" s="23"/>
      <c r="O258" s="23"/>
      <c r="P258" s="23"/>
      <c r="Q258" s="25"/>
      <c r="R258" s="23"/>
      <c r="S258" s="23"/>
      <c r="T258" s="23"/>
      <c r="U258" s="20" t="str">
        <f ca="1">IF(COUNTA(A258:T258)=0,"",IF(OR(A258="",B258="",C258="",E258="",G258="",H258="",J258="",K258="",L258="",M258=""),"Ошибка: заполните обязательные поля",IF(AND(LEFT(H258,7)&lt;&gt;"http://",LEFT(H258,8)&lt;&gt;"https://"),"Ошибка: некорректная ссылка",IF(COUNTIF($H$6:$H$1005,H258)&gt;1,"Ошибка: дубликат URL",IF(E258&gt;TODAY(),"Ошибка: дата публикации в будущем",IF(S258="Да","Ошибка: подтверждённый дубль",IF(S258="","Проверить: отметьте дубль",IF(S258="Нужно проверить","Проверить возможный дубль",IF(TODAY()-E258&gt;30,"Проверить: старше 30 дней",IF(COUNTIFS(#REF!,G258,#REF!,"Готово")=0,"Проверить источник","Готово"))))))))))</f>
        <v/>
      </c>
    </row>
    <row r="259" spans="1:21" ht="25.5" customHeight="1">
      <c r="A259" s="21"/>
      <c r="B259" s="22"/>
      <c r="C259" s="21"/>
      <c r="D259" s="23"/>
      <c r="E259" s="22"/>
      <c r="F259" s="22"/>
      <c r="G259" s="23"/>
      <c r="H259" s="24"/>
      <c r="I259" s="24"/>
      <c r="J259" s="23"/>
      <c r="K259" s="23"/>
      <c r="L259" s="23"/>
      <c r="M259" s="23"/>
      <c r="N259" s="23"/>
      <c r="O259" s="23"/>
      <c r="P259" s="23"/>
      <c r="Q259" s="25"/>
      <c r="R259" s="23"/>
      <c r="S259" s="23"/>
      <c r="T259" s="23"/>
      <c r="U259" s="20" t="str">
        <f ca="1">IF(COUNTA(A259:T259)=0,"",IF(OR(A259="",B259="",C259="",E259="",G259="",H259="",J259="",K259="",L259="",M259=""),"Ошибка: заполните обязательные поля",IF(AND(LEFT(H259,7)&lt;&gt;"http://",LEFT(H259,8)&lt;&gt;"https://"),"Ошибка: некорректная ссылка",IF(COUNTIF($H$6:$H$1005,H259)&gt;1,"Ошибка: дубликат URL",IF(E259&gt;TODAY(),"Ошибка: дата публикации в будущем",IF(S259="Да","Ошибка: подтверждённый дубль",IF(S259="","Проверить: отметьте дубль",IF(S259="Нужно проверить","Проверить возможный дубль",IF(TODAY()-E259&gt;30,"Проверить: старше 30 дней",IF(COUNTIFS(#REF!,G259,#REF!,"Готово")=0,"Проверить источник","Готово"))))))))))</f>
        <v/>
      </c>
    </row>
    <row r="260" spans="1:21" ht="25.5" customHeight="1">
      <c r="A260" s="21"/>
      <c r="B260" s="22"/>
      <c r="C260" s="21"/>
      <c r="D260" s="23"/>
      <c r="E260" s="22"/>
      <c r="F260" s="22"/>
      <c r="G260" s="23"/>
      <c r="H260" s="24"/>
      <c r="I260" s="24"/>
      <c r="J260" s="23"/>
      <c r="K260" s="23"/>
      <c r="L260" s="23"/>
      <c r="M260" s="23"/>
      <c r="N260" s="23"/>
      <c r="O260" s="23"/>
      <c r="P260" s="23"/>
      <c r="Q260" s="25"/>
      <c r="R260" s="23"/>
      <c r="S260" s="23"/>
      <c r="T260" s="23"/>
      <c r="U260" s="20" t="str">
        <f ca="1">IF(COUNTA(A260:T260)=0,"",IF(OR(A260="",B260="",C260="",E260="",G260="",H260="",J260="",K260="",L260="",M260=""),"Ошибка: заполните обязательные поля",IF(AND(LEFT(H260,7)&lt;&gt;"http://",LEFT(H260,8)&lt;&gt;"https://"),"Ошибка: некорректная ссылка",IF(COUNTIF($H$6:$H$1005,H260)&gt;1,"Ошибка: дубликат URL",IF(E260&gt;TODAY(),"Ошибка: дата публикации в будущем",IF(S260="Да","Ошибка: подтверждённый дубль",IF(S260="","Проверить: отметьте дубль",IF(S260="Нужно проверить","Проверить возможный дубль",IF(TODAY()-E260&gt;30,"Проверить: старше 30 дней",IF(COUNTIFS(#REF!,G260,#REF!,"Готово")=0,"Проверить источник","Готово"))))))))))</f>
        <v/>
      </c>
    </row>
    <row r="261" spans="1:21" ht="25.5" customHeight="1">
      <c r="A261" s="21"/>
      <c r="B261" s="22"/>
      <c r="C261" s="21"/>
      <c r="D261" s="23"/>
      <c r="E261" s="22"/>
      <c r="F261" s="22"/>
      <c r="G261" s="23"/>
      <c r="H261" s="24"/>
      <c r="I261" s="24"/>
      <c r="J261" s="23"/>
      <c r="K261" s="23"/>
      <c r="L261" s="23"/>
      <c r="M261" s="23"/>
      <c r="N261" s="23"/>
      <c r="O261" s="23"/>
      <c r="P261" s="23"/>
      <c r="Q261" s="25"/>
      <c r="R261" s="23"/>
      <c r="S261" s="23"/>
      <c r="T261" s="23"/>
      <c r="U261" s="20" t="str">
        <f ca="1">IF(COUNTA(A261:T261)=0,"",IF(OR(A261="",B261="",C261="",E261="",G261="",H261="",J261="",K261="",L261="",M261=""),"Ошибка: заполните обязательные поля",IF(AND(LEFT(H261,7)&lt;&gt;"http://",LEFT(H261,8)&lt;&gt;"https://"),"Ошибка: некорректная ссылка",IF(COUNTIF($H$6:$H$1005,H261)&gt;1,"Ошибка: дубликат URL",IF(E261&gt;TODAY(),"Ошибка: дата публикации в будущем",IF(S261="Да","Ошибка: подтверждённый дубль",IF(S261="","Проверить: отметьте дубль",IF(S261="Нужно проверить","Проверить возможный дубль",IF(TODAY()-E261&gt;30,"Проверить: старше 30 дней",IF(COUNTIFS(#REF!,G261,#REF!,"Готово")=0,"Проверить источник","Готово"))))))))))</f>
        <v/>
      </c>
    </row>
    <row r="262" spans="1:21" ht="25.5" customHeight="1">
      <c r="A262" s="21"/>
      <c r="B262" s="22"/>
      <c r="C262" s="21"/>
      <c r="D262" s="23"/>
      <c r="E262" s="22"/>
      <c r="F262" s="22"/>
      <c r="G262" s="23"/>
      <c r="H262" s="24"/>
      <c r="I262" s="24"/>
      <c r="J262" s="23"/>
      <c r="K262" s="23"/>
      <c r="L262" s="23"/>
      <c r="M262" s="23"/>
      <c r="N262" s="23"/>
      <c r="O262" s="23"/>
      <c r="P262" s="23"/>
      <c r="Q262" s="25"/>
      <c r="R262" s="23"/>
      <c r="S262" s="23"/>
      <c r="T262" s="23"/>
      <c r="U262" s="20" t="str">
        <f ca="1">IF(COUNTA(A262:T262)=0,"",IF(OR(A262="",B262="",C262="",E262="",G262="",H262="",J262="",K262="",L262="",M262=""),"Ошибка: заполните обязательные поля",IF(AND(LEFT(H262,7)&lt;&gt;"http://",LEFT(H262,8)&lt;&gt;"https://"),"Ошибка: некорректная ссылка",IF(COUNTIF($H$6:$H$1005,H262)&gt;1,"Ошибка: дубликат URL",IF(E262&gt;TODAY(),"Ошибка: дата публикации в будущем",IF(S262="Да","Ошибка: подтверждённый дубль",IF(S262="","Проверить: отметьте дубль",IF(S262="Нужно проверить","Проверить возможный дубль",IF(TODAY()-E262&gt;30,"Проверить: старше 30 дней",IF(COUNTIFS(#REF!,G262,#REF!,"Готово")=0,"Проверить источник","Готово"))))))))))</f>
        <v/>
      </c>
    </row>
    <row r="263" spans="1:21" ht="25.5" customHeight="1">
      <c r="A263" s="21"/>
      <c r="B263" s="22"/>
      <c r="C263" s="21"/>
      <c r="D263" s="23"/>
      <c r="E263" s="22"/>
      <c r="F263" s="22"/>
      <c r="G263" s="23"/>
      <c r="H263" s="24"/>
      <c r="I263" s="24"/>
      <c r="J263" s="23"/>
      <c r="K263" s="23"/>
      <c r="L263" s="23"/>
      <c r="M263" s="23"/>
      <c r="N263" s="23"/>
      <c r="O263" s="23"/>
      <c r="P263" s="23"/>
      <c r="Q263" s="25"/>
      <c r="R263" s="23"/>
      <c r="S263" s="23"/>
      <c r="T263" s="23"/>
      <c r="U263" s="20" t="str">
        <f ca="1">IF(COUNTA(A263:T263)=0,"",IF(OR(A263="",B263="",C263="",E263="",G263="",H263="",J263="",K263="",L263="",M263=""),"Ошибка: заполните обязательные поля",IF(AND(LEFT(H263,7)&lt;&gt;"http://",LEFT(H263,8)&lt;&gt;"https://"),"Ошибка: некорректная ссылка",IF(COUNTIF($H$6:$H$1005,H263)&gt;1,"Ошибка: дубликат URL",IF(E263&gt;TODAY(),"Ошибка: дата публикации в будущем",IF(S263="Да","Ошибка: подтверждённый дубль",IF(S263="","Проверить: отметьте дубль",IF(S263="Нужно проверить","Проверить возможный дубль",IF(TODAY()-E263&gt;30,"Проверить: старше 30 дней",IF(COUNTIFS(#REF!,G263,#REF!,"Готово")=0,"Проверить источник","Готово"))))))))))</f>
        <v/>
      </c>
    </row>
    <row r="264" spans="1:21" ht="25.5" customHeight="1">
      <c r="A264" s="21"/>
      <c r="B264" s="22"/>
      <c r="C264" s="21"/>
      <c r="D264" s="23"/>
      <c r="E264" s="22"/>
      <c r="F264" s="22"/>
      <c r="G264" s="23"/>
      <c r="H264" s="24"/>
      <c r="I264" s="24"/>
      <c r="J264" s="23"/>
      <c r="K264" s="23"/>
      <c r="L264" s="23"/>
      <c r="M264" s="23"/>
      <c r="N264" s="23"/>
      <c r="O264" s="23"/>
      <c r="P264" s="23"/>
      <c r="Q264" s="25"/>
      <c r="R264" s="23"/>
      <c r="S264" s="23"/>
      <c r="T264" s="23"/>
      <c r="U264" s="20" t="str">
        <f ca="1">IF(COUNTA(A264:T264)=0,"",IF(OR(A264="",B264="",C264="",E264="",G264="",H264="",J264="",K264="",L264="",M264=""),"Ошибка: заполните обязательные поля",IF(AND(LEFT(H264,7)&lt;&gt;"http://",LEFT(H264,8)&lt;&gt;"https://"),"Ошибка: некорректная ссылка",IF(COUNTIF($H$6:$H$1005,H264)&gt;1,"Ошибка: дубликат URL",IF(E264&gt;TODAY(),"Ошибка: дата публикации в будущем",IF(S264="Да","Ошибка: подтверждённый дубль",IF(S264="","Проверить: отметьте дубль",IF(S264="Нужно проверить","Проверить возможный дубль",IF(TODAY()-E264&gt;30,"Проверить: старше 30 дней",IF(COUNTIFS(#REF!,G264,#REF!,"Готово")=0,"Проверить источник","Готово"))))))))))</f>
        <v/>
      </c>
    </row>
    <row r="265" spans="1:21" ht="25.5" customHeight="1">
      <c r="A265" s="21"/>
      <c r="B265" s="22"/>
      <c r="C265" s="21"/>
      <c r="D265" s="23"/>
      <c r="E265" s="22"/>
      <c r="F265" s="22"/>
      <c r="G265" s="23"/>
      <c r="H265" s="24"/>
      <c r="I265" s="24"/>
      <c r="J265" s="23"/>
      <c r="K265" s="23"/>
      <c r="L265" s="23"/>
      <c r="M265" s="23"/>
      <c r="N265" s="23"/>
      <c r="O265" s="23"/>
      <c r="P265" s="23"/>
      <c r="Q265" s="25"/>
      <c r="R265" s="23"/>
      <c r="S265" s="23"/>
      <c r="T265" s="23"/>
      <c r="U265" s="20" t="str">
        <f ca="1">IF(COUNTA(A265:T265)=0,"",IF(OR(A265="",B265="",C265="",E265="",G265="",H265="",J265="",K265="",L265="",M265=""),"Ошибка: заполните обязательные поля",IF(AND(LEFT(H265,7)&lt;&gt;"http://",LEFT(H265,8)&lt;&gt;"https://"),"Ошибка: некорректная ссылка",IF(COUNTIF($H$6:$H$1005,H265)&gt;1,"Ошибка: дубликат URL",IF(E265&gt;TODAY(),"Ошибка: дата публикации в будущем",IF(S265="Да","Ошибка: подтверждённый дубль",IF(S265="","Проверить: отметьте дубль",IF(S265="Нужно проверить","Проверить возможный дубль",IF(TODAY()-E265&gt;30,"Проверить: старше 30 дней",IF(COUNTIFS(#REF!,G265,#REF!,"Готово")=0,"Проверить источник","Готово"))))))))))</f>
        <v/>
      </c>
    </row>
    <row r="266" spans="1:21" ht="25.5" customHeight="1">
      <c r="A266" s="21"/>
      <c r="B266" s="22"/>
      <c r="C266" s="21"/>
      <c r="D266" s="23"/>
      <c r="E266" s="22"/>
      <c r="F266" s="22"/>
      <c r="G266" s="23"/>
      <c r="H266" s="24"/>
      <c r="I266" s="24"/>
      <c r="J266" s="23"/>
      <c r="K266" s="23"/>
      <c r="L266" s="23"/>
      <c r="M266" s="23"/>
      <c r="N266" s="23"/>
      <c r="O266" s="23"/>
      <c r="P266" s="23"/>
      <c r="Q266" s="25"/>
      <c r="R266" s="23"/>
      <c r="S266" s="23"/>
      <c r="T266" s="23"/>
      <c r="U266" s="20" t="str">
        <f ca="1">IF(COUNTA(A266:T266)=0,"",IF(OR(A266="",B266="",C266="",E266="",G266="",H266="",J266="",K266="",L266="",M266=""),"Ошибка: заполните обязательные поля",IF(AND(LEFT(H266,7)&lt;&gt;"http://",LEFT(H266,8)&lt;&gt;"https://"),"Ошибка: некорректная ссылка",IF(COUNTIF($H$6:$H$1005,H266)&gt;1,"Ошибка: дубликат URL",IF(E266&gt;TODAY(),"Ошибка: дата публикации в будущем",IF(S266="Да","Ошибка: подтверждённый дубль",IF(S266="","Проверить: отметьте дубль",IF(S266="Нужно проверить","Проверить возможный дубль",IF(TODAY()-E266&gt;30,"Проверить: старше 30 дней",IF(COUNTIFS(#REF!,G266,#REF!,"Готово")=0,"Проверить источник","Готово"))))))))))</f>
        <v/>
      </c>
    </row>
    <row r="267" spans="1:21" ht="25.5" customHeight="1">
      <c r="A267" s="21"/>
      <c r="B267" s="22"/>
      <c r="C267" s="21"/>
      <c r="D267" s="23"/>
      <c r="E267" s="22"/>
      <c r="F267" s="22"/>
      <c r="G267" s="23"/>
      <c r="H267" s="24"/>
      <c r="I267" s="24"/>
      <c r="J267" s="23"/>
      <c r="K267" s="23"/>
      <c r="L267" s="23"/>
      <c r="M267" s="23"/>
      <c r="N267" s="23"/>
      <c r="O267" s="23"/>
      <c r="P267" s="23"/>
      <c r="Q267" s="25"/>
      <c r="R267" s="23"/>
      <c r="S267" s="23"/>
      <c r="T267" s="23"/>
      <c r="U267" s="20" t="str">
        <f ca="1">IF(COUNTA(A267:T267)=0,"",IF(OR(A267="",B267="",C267="",E267="",G267="",H267="",J267="",K267="",L267="",M267=""),"Ошибка: заполните обязательные поля",IF(AND(LEFT(H267,7)&lt;&gt;"http://",LEFT(H267,8)&lt;&gt;"https://"),"Ошибка: некорректная ссылка",IF(COUNTIF($H$6:$H$1005,H267)&gt;1,"Ошибка: дубликат URL",IF(E267&gt;TODAY(),"Ошибка: дата публикации в будущем",IF(S267="Да","Ошибка: подтверждённый дубль",IF(S267="","Проверить: отметьте дубль",IF(S267="Нужно проверить","Проверить возможный дубль",IF(TODAY()-E267&gt;30,"Проверить: старше 30 дней",IF(COUNTIFS(#REF!,G267,#REF!,"Готово")=0,"Проверить источник","Готово"))))))))))</f>
        <v/>
      </c>
    </row>
    <row r="268" spans="1:21" ht="25.5" customHeight="1">
      <c r="A268" s="21"/>
      <c r="B268" s="22"/>
      <c r="C268" s="21"/>
      <c r="D268" s="23"/>
      <c r="E268" s="22"/>
      <c r="F268" s="22"/>
      <c r="G268" s="23"/>
      <c r="H268" s="24"/>
      <c r="I268" s="24"/>
      <c r="J268" s="23"/>
      <c r="K268" s="23"/>
      <c r="L268" s="23"/>
      <c r="M268" s="23"/>
      <c r="N268" s="23"/>
      <c r="O268" s="23"/>
      <c r="P268" s="23"/>
      <c r="Q268" s="25"/>
      <c r="R268" s="23"/>
      <c r="S268" s="23"/>
      <c r="T268" s="23"/>
      <c r="U268" s="20" t="str">
        <f ca="1">IF(COUNTA(A268:T268)=0,"",IF(OR(A268="",B268="",C268="",E268="",G268="",H268="",J268="",K268="",L268="",M268=""),"Ошибка: заполните обязательные поля",IF(AND(LEFT(H268,7)&lt;&gt;"http://",LEFT(H268,8)&lt;&gt;"https://"),"Ошибка: некорректная ссылка",IF(COUNTIF($H$6:$H$1005,H268)&gt;1,"Ошибка: дубликат URL",IF(E268&gt;TODAY(),"Ошибка: дата публикации в будущем",IF(S268="Да","Ошибка: подтверждённый дубль",IF(S268="","Проверить: отметьте дубль",IF(S268="Нужно проверить","Проверить возможный дубль",IF(TODAY()-E268&gt;30,"Проверить: старше 30 дней",IF(COUNTIFS(#REF!,G268,#REF!,"Готово")=0,"Проверить источник","Готово"))))))))))</f>
        <v/>
      </c>
    </row>
    <row r="269" spans="1:21" ht="25.5" customHeight="1">
      <c r="A269" s="21"/>
      <c r="B269" s="22"/>
      <c r="C269" s="21"/>
      <c r="D269" s="23"/>
      <c r="E269" s="22"/>
      <c r="F269" s="22"/>
      <c r="G269" s="23"/>
      <c r="H269" s="24"/>
      <c r="I269" s="24"/>
      <c r="J269" s="23"/>
      <c r="K269" s="23"/>
      <c r="L269" s="23"/>
      <c r="M269" s="23"/>
      <c r="N269" s="23"/>
      <c r="O269" s="23"/>
      <c r="P269" s="23"/>
      <c r="Q269" s="25"/>
      <c r="R269" s="23"/>
      <c r="S269" s="23"/>
      <c r="T269" s="23"/>
      <c r="U269" s="20" t="str">
        <f ca="1">IF(COUNTA(A269:T269)=0,"",IF(OR(A269="",B269="",C269="",E269="",G269="",H269="",J269="",K269="",L269="",M269=""),"Ошибка: заполните обязательные поля",IF(AND(LEFT(H269,7)&lt;&gt;"http://",LEFT(H269,8)&lt;&gt;"https://"),"Ошибка: некорректная ссылка",IF(COUNTIF($H$6:$H$1005,H269)&gt;1,"Ошибка: дубликат URL",IF(E269&gt;TODAY(),"Ошибка: дата публикации в будущем",IF(S269="Да","Ошибка: подтверждённый дубль",IF(S269="","Проверить: отметьте дубль",IF(S269="Нужно проверить","Проверить возможный дубль",IF(TODAY()-E269&gt;30,"Проверить: старше 30 дней",IF(COUNTIFS(#REF!,G269,#REF!,"Готово")=0,"Проверить источник","Готово"))))))))))</f>
        <v/>
      </c>
    </row>
    <row r="270" spans="1:21" ht="25.5" customHeight="1">
      <c r="A270" s="21"/>
      <c r="B270" s="22"/>
      <c r="C270" s="21"/>
      <c r="D270" s="23"/>
      <c r="E270" s="22"/>
      <c r="F270" s="22"/>
      <c r="G270" s="23"/>
      <c r="H270" s="24"/>
      <c r="I270" s="24"/>
      <c r="J270" s="23"/>
      <c r="K270" s="23"/>
      <c r="L270" s="23"/>
      <c r="M270" s="23"/>
      <c r="N270" s="23"/>
      <c r="O270" s="23"/>
      <c r="P270" s="23"/>
      <c r="Q270" s="25"/>
      <c r="R270" s="23"/>
      <c r="S270" s="23"/>
      <c r="T270" s="23"/>
      <c r="U270" s="20" t="str">
        <f ca="1">IF(COUNTA(A270:T270)=0,"",IF(OR(A270="",B270="",C270="",E270="",G270="",H270="",J270="",K270="",L270="",M270=""),"Ошибка: заполните обязательные поля",IF(AND(LEFT(H270,7)&lt;&gt;"http://",LEFT(H270,8)&lt;&gt;"https://"),"Ошибка: некорректная ссылка",IF(COUNTIF($H$6:$H$1005,H270)&gt;1,"Ошибка: дубликат URL",IF(E270&gt;TODAY(),"Ошибка: дата публикации в будущем",IF(S270="Да","Ошибка: подтверждённый дубль",IF(S270="","Проверить: отметьте дубль",IF(S270="Нужно проверить","Проверить возможный дубль",IF(TODAY()-E270&gt;30,"Проверить: старше 30 дней",IF(COUNTIFS(#REF!,G270,#REF!,"Готово")=0,"Проверить источник","Готово"))))))))))</f>
        <v/>
      </c>
    </row>
    <row r="271" spans="1:21" ht="25.5" customHeight="1">
      <c r="A271" s="21"/>
      <c r="B271" s="22"/>
      <c r="C271" s="21"/>
      <c r="D271" s="23"/>
      <c r="E271" s="22"/>
      <c r="F271" s="22"/>
      <c r="G271" s="23"/>
      <c r="H271" s="24"/>
      <c r="I271" s="24"/>
      <c r="J271" s="23"/>
      <c r="K271" s="23"/>
      <c r="L271" s="23"/>
      <c r="M271" s="23"/>
      <c r="N271" s="23"/>
      <c r="O271" s="23"/>
      <c r="P271" s="23"/>
      <c r="Q271" s="25"/>
      <c r="R271" s="23"/>
      <c r="S271" s="23"/>
      <c r="T271" s="23"/>
      <c r="U271" s="20" t="str">
        <f ca="1">IF(COUNTA(A271:T271)=0,"",IF(OR(A271="",B271="",C271="",E271="",G271="",H271="",J271="",K271="",L271="",M271=""),"Ошибка: заполните обязательные поля",IF(AND(LEFT(H271,7)&lt;&gt;"http://",LEFT(H271,8)&lt;&gt;"https://"),"Ошибка: некорректная ссылка",IF(COUNTIF($H$6:$H$1005,H271)&gt;1,"Ошибка: дубликат URL",IF(E271&gt;TODAY(),"Ошибка: дата публикации в будущем",IF(S271="Да","Ошибка: подтверждённый дубль",IF(S271="","Проверить: отметьте дубль",IF(S271="Нужно проверить","Проверить возможный дубль",IF(TODAY()-E271&gt;30,"Проверить: старше 30 дней",IF(COUNTIFS(#REF!,G271,#REF!,"Готово")=0,"Проверить источник","Готово"))))))))))</f>
        <v/>
      </c>
    </row>
    <row r="272" spans="1:21" ht="25.5" customHeight="1">
      <c r="A272" s="21"/>
      <c r="B272" s="22"/>
      <c r="C272" s="21"/>
      <c r="D272" s="23"/>
      <c r="E272" s="22"/>
      <c r="F272" s="22"/>
      <c r="G272" s="23"/>
      <c r="H272" s="24"/>
      <c r="I272" s="24"/>
      <c r="J272" s="23"/>
      <c r="K272" s="23"/>
      <c r="L272" s="23"/>
      <c r="M272" s="23"/>
      <c r="N272" s="23"/>
      <c r="O272" s="23"/>
      <c r="P272" s="23"/>
      <c r="Q272" s="25"/>
      <c r="R272" s="23"/>
      <c r="S272" s="23"/>
      <c r="T272" s="23"/>
      <c r="U272" s="20" t="str">
        <f ca="1">IF(COUNTA(A272:T272)=0,"",IF(OR(A272="",B272="",C272="",E272="",G272="",H272="",J272="",K272="",L272="",M272=""),"Ошибка: заполните обязательные поля",IF(AND(LEFT(H272,7)&lt;&gt;"http://",LEFT(H272,8)&lt;&gt;"https://"),"Ошибка: некорректная ссылка",IF(COUNTIF($H$6:$H$1005,H272)&gt;1,"Ошибка: дубликат URL",IF(E272&gt;TODAY(),"Ошибка: дата публикации в будущем",IF(S272="Да","Ошибка: подтверждённый дубль",IF(S272="","Проверить: отметьте дубль",IF(S272="Нужно проверить","Проверить возможный дубль",IF(TODAY()-E272&gt;30,"Проверить: старше 30 дней",IF(COUNTIFS(#REF!,G272,#REF!,"Готово")=0,"Проверить источник","Готово"))))))))))</f>
        <v/>
      </c>
    </row>
    <row r="273" spans="1:21" ht="25.5" customHeight="1">
      <c r="A273" s="21"/>
      <c r="B273" s="22"/>
      <c r="C273" s="21"/>
      <c r="D273" s="23"/>
      <c r="E273" s="22"/>
      <c r="F273" s="22"/>
      <c r="G273" s="23"/>
      <c r="H273" s="24"/>
      <c r="I273" s="24"/>
      <c r="J273" s="23"/>
      <c r="K273" s="23"/>
      <c r="L273" s="23"/>
      <c r="M273" s="23"/>
      <c r="N273" s="23"/>
      <c r="O273" s="23"/>
      <c r="P273" s="23"/>
      <c r="Q273" s="25"/>
      <c r="R273" s="23"/>
      <c r="S273" s="23"/>
      <c r="T273" s="23"/>
      <c r="U273" s="20" t="str">
        <f ca="1">IF(COUNTA(A273:T273)=0,"",IF(OR(A273="",B273="",C273="",E273="",G273="",H273="",J273="",K273="",L273="",M273=""),"Ошибка: заполните обязательные поля",IF(AND(LEFT(H273,7)&lt;&gt;"http://",LEFT(H273,8)&lt;&gt;"https://"),"Ошибка: некорректная ссылка",IF(COUNTIF($H$6:$H$1005,H273)&gt;1,"Ошибка: дубликат URL",IF(E273&gt;TODAY(),"Ошибка: дата публикации в будущем",IF(S273="Да","Ошибка: подтверждённый дубль",IF(S273="","Проверить: отметьте дубль",IF(S273="Нужно проверить","Проверить возможный дубль",IF(TODAY()-E273&gt;30,"Проверить: старше 30 дней",IF(COUNTIFS(#REF!,G273,#REF!,"Готово")=0,"Проверить источник","Готово"))))))))))</f>
        <v/>
      </c>
    </row>
    <row r="274" spans="1:21" ht="25.5" customHeight="1">
      <c r="A274" s="21"/>
      <c r="B274" s="22"/>
      <c r="C274" s="21"/>
      <c r="D274" s="23"/>
      <c r="E274" s="22"/>
      <c r="F274" s="22"/>
      <c r="G274" s="23"/>
      <c r="H274" s="24"/>
      <c r="I274" s="24"/>
      <c r="J274" s="23"/>
      <c r="K274" s="23"/>
      <c r="L274" s="23"/>
      <c r="M274" s="23"/>
      <c r="N274" s="23"/>
      <c r="O274" s="23"/>
      <c r="P274" s="23"/>
      <c r="Q274" s="25"/>
      <c r="R274" s="23"/>
      <c r="S274" s="23"/>
      <c r="T274" s="23"/>
      <c r="U274" s="20" t="str">
        <f ca="1">IF(COUNTA(A274:T274)=0,"",IF(OR(A274="",B274="",C274="",E274="",G274="",H274="",J274="",K274="",L274="",M274=""),"Ошибка: заполните обязательные поля",IF(AND(LEFT(H274,7)&lt;&gt;"http://",LEFT(H274,8)&lt;&gt;"https://"),"Ошибка: некорректная ссылка",IF(COUNTIF($H$6:$H$1005,H274)&gt;1,"Ошибка: дубликат URL",IF(E274&gt;TODAY(),"Ошибка: дата публикации в будущем",IF(S274="Да","Ошибка: подтверждённый дубль",IF(S274="","Проверить: отметьте дубль",IF(S274="Нужно проверить","Проверить возможный дубль",IF(TODAY()-E274&gt;30,"Проверить: старше 30 дней",IF(COUNTIFS(#REF!,G274,#REF!,"Готово")=0,"Проверить источник","Готово"))))))))))</f>
        <v/>
      </c>
    </row>
    <row r="275" spans="1:21" ht="25.5" customHeight="1">
      <c r="A275" s="21"/>
      <c r="B275" s="22"/>
      <c r="C275" s="21"/>
      <c r="D275" s="23"/>
      <c r="E275" s="22"/>
      <c r="F275" s="22"/>
      <c r="G275" s="23"/>
      <c r="H275" s="24"/>
      <c r="I275" s="24"/>
      <c r="J275" s="23"/>
      <c r="K275" s="23"/>
      <c r="L275" s="23"/>
      <c r="M275" s="23"/>
      <c r="N275" s="23"/>
      <c r="O275" s="23"/>
      <c r="P275" s="23"/>
      <c r="Q275" s="25"/>
      <c r="R275" s="23"/>
      <c r="S275" s="23"/>
      <c r="T275" s="23"/>
      <c r="U275" s="20" t="str">
        <f ca="1">IF(COUNTA(A275:T275)=0,"",IF(OR(A275="",B275="",C275="",E275="",G275="",H275="",J275="",K275="",L275="",M275=""),"Ошибка: заполните обязательные поля",IF(AND(LEFT(H275,7)&lt;&gt;"http://",LEFT(H275,8)&lt;&gt;"https://"),"Ошибка: некорректная ссылка",IF(COUNTIF($H$6:$H$1005,H275)&gt;1,"Ошибка: дубликат URL",IF(E275&gt;TODAY(),"Ошибка: дата публикации в будущем",IF(S275="Да","Ошибка: подтверждённый дубль",IF(S275="","Проверить: отметьте дубль",IF(S275="Нужно проверить","Проверить возможный дубль",IF(TODAY()-E275&gt;30,"Проверить: старше 30 дней",IF(COUNTIFS(#REF!,G275,#REF!,"Готово")=0,"Проверить источник","Готово"))))))))))</f>
        <v/>
      </c>
    </row>
    <row r="276" spans="1:21" ht="25.5" customHeight="1">
      <c r="A276" s="21"/>
      <c r="B276" s="22"/>
      <c r="C276" s="21"/>
      <c r="D276" s="23"/>
      <c r="E276" s="22"/>
      <c r="F276" s="22"/>
      <c r="G276" s="23"/>
      <c r="H276" s="24"/>
      <c r="I276" s="24"/>
      <c r="J276" s="23"/>
      <c r="K276" s="23"/>
      <c r="L276" s="23"/>
      <c r="M276" s="23"/>
      <c r="N276" s="23"/>
      <c r="O276" s="23"/>
      <c r="P276" s="23"/>
      <c r="Q276" s="25"/>
      <c r="R276" s="23"/>
      <c r="S276" s="23"/>
      <c r="T276" s="23"/>
      <c r="U276" s="20" t="str">
        <f ca="1">IF(COUNTA(A276:T276)=0,"",IF(OR(A276="",B276="",C276="",E276="",G276="",H276="",J276="",K276="",L276="",M276=""),"Ошибка: заполните обязательные поля",IF(AND(LEFT(H276,7)&lt;&gt;"http://",LEFT(H276,8)&lt;&gt;"https://"),"Ошибка: некорректная ссылка",IF(COUNTIF($H$6:$H$1005,H276)&gt;1,"Ошибка: дубликат URL",IF(E276&gt;TODAY(),"Ошибка: дата публикации в будущем",IF(S276="Да","Ошибка: подтверждённый дубль",IF(S276="","Проверить: отметьте дубль",IF(S276="Нужно проверить","Проверить возможный дубль",IF(TODAY()-E276&gt;30,"Проверить: старше 30 дней",IF(COUNTIFS(#REF!,G276,#REF!,"Готово")=0,"Проверить источник","Готово"))))))))))</f>
        <v/>
      </c>
    </row>
    <row r="277" spans="1:21" ht="25.5" customHeight="1">
      <c r="A277" s="21"/>
      <c r="B277" s="22"/>
      <c r="C277" s="21"/>
      <c r="D277" s="23"/>
      <c r="E277" s="22"/>
      <c r="F277" s="22"/>
      <c r="G277" s="23"/>
      <c r="H277" s="24"/>
      <c r="I277" s="24"/>
      <c r="J277" s="23"/>
      <c r="K277" s="23"/>
      <c r="L277" s="23"/>
      <c r="M277" s="23"/>
      <c r="N277" s="23"/>
      <c r="O277" s="23"/>
      <c r="P277" s="23"/>
      <c r="Q277" s="25"/>
      <c r="R277" s="23"/>
      <c r="S277" s="23"/>
      <c r="T277" s="23"/>
      <c r="U277" s="20" t="str">
        <f ca="1">IF(COUNTA(A277:T277)=0,"",IF(OR(A277="",B277="",C277="",E277="",G277="",H277="",J277="",K277="",L277="",M277=""),"Ошибка: заполните обязательные поля",IF(AND(LEFT(H277,7)&lt;&gt;"http://",LEFT(H277,8)&lt;&gt;"https://"),"Ошибка: некорректная ссылка",IF(COUNTIF($H$6:$H$1005,H277)&gt;1,"Ошибка: дубликат URL",IF(E277&gt;TODAY(),"Ошибка: дата публикации в будущем",IF(S277="Да","Ошибка: подтверждённый дубль",IF(S277="","Проверить: отметьте дубль",IF(S277="Нужно проверить","Проверить возможный дубль",IF(TODAY()-E277&gt;30,"Проверить: старше 30 дней",IF(COUNTIFS(#REF!,G277,#REF!,"Готово")=0,"Проверить источник","Готово"))))))))))</f>
        <v/>
      </c>
    </row>
    <row r="278" spans="1:21" ht="25.5" customHeight="1">
      <c r="A278" s="21"/>
      <c r="B278" s="22"/>
      <c r="C278" s="21"/>
      <c r="D278" s="23"/>
      <c r="E278" s="22"/>
      <c r="F278" s="22"/>
      <c r="G278" s="23"/>
      <c r="H278" s="24"/>
      <c r="I278" s="24"/>
      <c r="J278" s="23"/>
      <c r="K278" s="23"/>
      <c r="L278" s="23"/>
      <c r="M278" s="23"/>
      <c r="N278" s="23"/>
      <c r="O278" s="23"/>
      <c r="P278" s="23"/>
      <c r="Q278" s="25"/>
      <c r="R278" s="23"/>
      <c r="S278" s="23"/>
      <c r="T278" s="23"/>
      <c r="U278" s="20" t="str">
        <f ca="1">IF(COUNTA(A278:T278)=0,"",IF(OR(A278="",B278="",C278="",E278="",G278="",H278="",J278="",K278="",L278="",M278=""),"Ошибка: заполните обязательные поля",IF(AND(LEFT(H278,7)&lt;&gt;"http://",LEFT(H278,8)&lt;&gt;"https://"),"Ошибка: некорректная ссылка",IF(COUNTIF($H$6:$H$1005,H278)&gt;1,"Ошибка: дубликат URL",IF(E278&gt;TODAY(),"Ошибка: дата публикации в будущем",IF(S278="Да","Ошибка: подтверждённый дубль",IF(S278="","Проверить: отметьте дубль",IF(S278="Нужно проверить","Проверить возможный дубль",IF(TODAY()-E278&gt;30,"Проверить: старше 30 дней",IF(COUNTIFS(#REF!,G278,#REF!,"Готово")=0,"Проверить источник","Готово"))))))))))</f>
        <v/>
      </c>
    </row>
    <row r="279" spans="1:21" ht="25.5" customHeight="1">
      <c r="A279" s="21"/>
      <c r="B279" s="22"/>
      <c r="C279" s="21"/>
      <c r="D279" s="23"/>
      <c r="E279" s="22"/>
      <c r="F279" s="22"/>
      <c r="G279" s="23"/>
      <c r="H279" s="24"/>
      <c r="I279" s="24"/>
      <c r="J279" s="23"/>
      <c r="K279" s="23"/>
      <c r="L279" s="23"/>
      <c r="M279" s="23"/>
      <c r="N279" s="23"/>
      <c r="O279" s="23"/>
      <c r="P279" s="23"/>
      <c r="Q279" s="25"/>
      <c r="R279" s="23"/>
      <c r="S279" s="23"/>
      <c r="T279" s="23"/>
      <c r="U279" s="20" t="str">
        <f ca="1">IF(COUNTA(A279:T279)=0,"",IF(OR(A279="",B279="",C279="",E279="",G279="",H279="",J279="",K279="",L279="",M279=""),"Ошибка: заполните обязательные поля",IF(AND(LEFT(H279,7)&lt;&gt;"http://",LEFT(H279,8)&lt;&gt;"https://"),"Ошибка: некорректная ссылка",IF(COUNTIF($H$6:$H$1005,H279)&gt;1,"Ошибка: дубликат URL",IF(E279&gt;TODAY(),"Ошибка: дата публикации в будущем",IF(S279="Да","Ошибка: подтверждённый дубль",IF(S279="","Проверить: отметьте дубль",IF(S279="Нужно проверить","Проверить возможный дубль",IF(TODAY()-E279&gt;30,"Проверить: старше 30 дней",IF(COUNTIFS(#REF!,G279,#REF!,"Готово")=0,"Проверить источник","Готово"))))))))))</f>
        <v/>
      </c>
    </row>
    <row r="280" spans="1:21" ht="25.5" customHeight="1">
      <c r="A280" s="21"/>
      <c r="B280" s="22"/>
      <c r="C280" s="21"/>
      <c r="D280" s="23"/>
      <c r="E280" s="22"/>
      <c r="F280" s="22"/>
      <c r="G280" s="23"/>
      <c r="H280" s="24"/>
      <c r="I280" s="24"/>
      <c r="J280" s="23"/>
      <c r="K280" s="23"/>
      <c r="L280" s="23"/>
      <c r="M280" s="23"/>
      <c r="N280" s="23"/>
      <c r="O280" s="23"/>
      <c r="P280" s="23"/>
      <c r="Q280" s="25"/>
      <c r="R280" s="23"/>
      <c r="S280" s="23"/>
      <c r="T280" s="23"/>
      <c r="U280" s="20" t="str">
        <f ca="1">IF(COUNTA(A280:T280)=0,"",IF(OR(A280="",B280="",C280="",E280="",G280="",H280="",J280="",K280="",L280="",M280=""),"Ошибка: заполните обязательные поля",IF(AND(LEFT(H280,7)&lt;&gt;"http://",LEFT(H280,8)&lt;&gt;"https://"),"Ошибка: некорректная ссылка",IF(COUNTIF($H$6:$H$1005,H280)&gt;1,"Ошибка: дубликат URL",IF(E280&gt;TODAY(),"Ошибка: дата публикации в будущем",IF(S280="Да","Ошибка: подтверждённый дубль",IF(S280="","Проверить: отметьте дубль",IF(S280="Нужно проверить","Проверить возможный дубль",IF(TODAY()-E280&gt;30,"Проверить: старше 30 дней",IF(COUNTIFS(#REF!,G280,#REF!,"Готово")=0,"Проверить источник","Готово"))))))))))</f>
        <v/>
      </c>
    </row>
    <row r="281" spans="1:21" ht="25.5" customHeight="1">
      <c r="A281" s="21"/>
      <c r="B281" s="22"/>
      <c r="C281" s="21"/>
      <c r="D281" s="23"/>
      <c r="E281" s="22"/>
      <c r="F281" s="22"/>
      <c r="G281" s="23"/>
      <c r="H281" s="24"/>
      <c r="I281" s="24"/>
      <c r="J281" s="23"/>
      <c r="K281" s="23"/>
      <c r="L281" s="23"/>
      <c r="M281" s="23"/>
      <c r="N281" s="23"/>
      <c r="O281" s="23"/>
      <c r="P281" s="23"/>
      <c r="Q281" s="25"/>
      <c r="R281" s="23"/>
      <c r="S281" s="23"/>
      <c r="T281" s="23"/>
      <c r="U281" s="20" t="str">
        <f ca="1">IF(COUNTA(A281:T281)=0,"",IF(OR(A281="",B281="",C281="",E281="",G281="",H281="",J281="",K281="",L281="",M281=""),"Ошибка: заполните обязательные поля",IF(AND(LEFT(H281,7)&lt;&gt;"http://",LEFT(H281,8)&lt;&gt;"https://"),"Ошибка: некорректная ссылка",IF(COUNTIF($H$6:$H$1005,H281)&gt;1,"Ошибка: дубликат URL",IF(E281&gt;TODAY(),"Ошибка: дата публикации в будущем",IF(S281="Да","Ошибка: подтверждённый дубль",IF(S281="","Проверить: отметьте дубль",IF(S281="Нужно проверить","Проверить возможный дубль",IF(TODAY()-E281&gt;30,"Проверить: старше 30 дней",IF(COUNTIFS(#REF!,G281,#REF!,"Готово")=0,"Проверить источник","Готово"))))))))))</f>
        <v/>
      </c>
    </row>
    <row r="282" spans="1:21" ht="25.5" customHeight="1">
      <c r="A282" s="21"/>
      <c r="B282" s="22"/>
      <c r="C282" s="21"/>
      <c r="D282" s="23"/>
      <c r="E282" s="22"/>
      <c r="F282" s="22"/>
      <c r="G282" s="23"/>
      <c r="H282" s="24"/>
      <c r="I282" s="24"/>
      <c r="J282" s="23"/>
      <c r="K282" s="23"/>
      <c r="L282" s="23"/>
      <c r="M282" s="23"/>
      <c r="N282" s="23"/>
      <c r="O282" s="23"/>
      <c r="P282" s="23"/>
      <c r="Q282" s="25"/>
      <c r="R282" s="23"/>
      <c r="S282" s="23"/>
      <c r="T282" s="23"/>
      <c r="U282" s="20" t="str">
        <f ca="1">IF(COUNTA(A282:T282)=0,"",IF(OR(A282="",B282="",C282="",E282="",G282="",H282="",J282="",K282="",L282="",M282=""),"Ошибка: заполните обязательные поля",IF(AND(LEFT(H282,7)&lt;&gt;"http://",LEFT(H282,8)&lt;&gt;"https://"),"Ошибка: некорректная ссылка",IF(COUNTIF($H$6:$H$1005,H282)&gt;1,"Ошибка: дубликат URL",IF(E282&gt;TODAY(),"Ошибка: дата публикации в будущем",IF(S282="Да","Ошибка: подтверждённый дубль",IF(S282="","Проверить: отметьте дубль",IF(S282="Нужно проверить","Проверить возможный дубль",IF(TODAY()-E282&gt;30,"Проверить: старше 30 дней",IF(COUNTIFS(#REF!,G282,#REF!,"Готово")=0,"Проверить источник","Готово"))))))))))</f>
        <v/>
      </c>
    </row>
    <row r="283" spans="1:21" ht="25.5" customHeight="1">
      <c r="A283" s="21"/>
      <c r="B283" s="22"/>
      <c r="C283" s="21"/>
      <c r="D283" s="23"/>
      <c r="E283" s="22"/>
      <c r="F283" s="22"/>
      <c r="G283" s="23"/>
      <c r="H283" s="24"/>
      <c r="I283" s="24"/>
      <c r="J283" s="23"/>
      <c r="K283" s="23"/>
      <c r="L283" s="23"/>
      <c r="M283" s="23"/>
      <c r="N283" s="23"/>
      <c r="O283" s="23"/>
      <c r="P283" s="23"/>
      <c r="Q283" s="25"/>
      <c r="R283" s="23"/>
      <c r="S283" s="23"/>
      <c r="T283" s="23"/>
      <c r="U283" s="20" t="str">
        <f ca="1">IF(COUNTA(A283:T283)=0,"",IF(OR(A283="",B283="",C283="",E283="",G283="",H283="",J283="",K283="",L283="",M283=""),"Ошибка: заполните обязательные поля",IF(AND(LEFT(H283,7)&lt;&gt;"http://",LEFT(H283,8)&lt;&gt;"https://"),"Ошибка: некорректная ссылка",IF(COUNTIF($H$6:$H$1005,H283)&gt;1,"Ошибка: дубликат URL",IF(E283&gt;TODAY(),"Ошибка: дата публикации в будущем",IF(S283="Да","Ошибка: подтверждённый дубль",IF(S283="","Проверить: отметьте дубль",IF(S283="Нужно проверить","Проверить возможный дубль",IF(TODAY()-E283&gt;30,"Проверить: старше 30 дней",IF(COUNTIFS(#REF!,G283,#REF!,"Готово")=0,"Проверить источник","Готово"))))))))))</f>
        <v/>
      </c>
    </row>
    <row r="284" spans="1:21" ht="25.5" customHeight="1">
      <c r="A284" s="21"/>
      <c r="B284" s="22"/>
      <c r="C284" s="21"/>
      <c r="D284" s="23"/>
      <c r="E284" s="22"/>
      <c r="F284" s="22"/>
      <c r="G284" s="23"/>
      <c r="H284" s="24"/>
      <c r="I284" s="24"/>
      <c r="J284" s="23"/>
      <c r="K284" s="23"/>
      <c r="L284" s="23"/>
      <c r="M284" s="23"/>
      <c r="N284" s="23"/>
      <c r="O284" s="23"/>
      <c r="P284" s="23"/>
      <c r="Q284" s="25"/>
      <c r="R284" s="23"/>
      <c r="S284" s="23"/>
      <c r="T284" s="23"/>
      <c r="U284" s="20" t="str">
        <f ca="1">IF(COUNTA(A284:T284)=0,"",IF(OR(A284="",B284="",C284="",E284="",G284="",H284="",J284="",K284="",L284="",M284=""),"Ошибка: заполните обязательные поля",IF(AND(LEFT(H284,7)&lt;&gt;"http://",LEFT(H284,8)&lt;&gt;"https://"),"Ошибка: некорректная ссылка",IF(COUNTIF($H$6:$H$1005,H284)&gt;1,"Ошибка: дубликат URL",IF(E284&gt;TODAY(),"Ошибка: дата публикации в будущем",IF(S284="Да","Ошибка: подтверждённый дубль",IF(S284="","Проверить: отметьте дубль",IF(S284="Нужно проверить","Проверить возможный дубль",IF(TODAY()-E284&gt;30,"Проверить: старше 30 дней",IF(COUNTIFS(#REF!,G284,#REF!,"Готово")=0,"Проверить источник","Готово"))))))))))</f>
        <v/>
      </c>
    </row>
    <row r="285" spans="1:21" ht="25.5" customHeight="1">
      <c r="A285" s="21"/>
      <c r="B285" s="22"/>
      <c r="C285" s="21"/>
      <c r="D285" s="23"/>
      <c r="E285" s="22"/>
      <c r="F285" s="22"/>
      <c r="G285" s="23"/>
      <c r="H285" s="24"/>
      <c r="I285" s="24"/>
      <c r="J285" s="23"/>
      <c r="K285" s="23"/>
      <c r="L285" s="23"/>
      <c r="M285" s="23"/>
      <c r="N285" s="23"/>
      <c r="O285" s="23"/>
      <c r="P285" s="23"/>
      <c r="Q285" s="25"/>
      <c r="R285" s="23"/>
      <c r="S285" s="23"/>
      <c r="T285" s="23"/>
      <c r="U285" s="20" t="str">
        <f ca="1">IF(COUNTA(A285:T285)=0,"",IF(OR(A285="",B285="",C285="",E285="",G285="",H285="",J285="",K285="",L285="",M285=""),"Ошибка: заполните обязательные поля",IF(AND(LEFT(H285,7)&lt;&gt;"http://",LEFT(H285,8)&lt;&gt;"https://"),"Ошибка: некорректная ссылка",IF(COUNTIF($H$6:$H$1005,H285)&gt;1,"Ошибка: дубликат URL",IF(E285&gt;TODAY(),"Ошибка: дата публикации в будущем",IF(S285="Да","Ошибка: подтверждённый дубль",IF(S285="","Проверить: отметьте дубль",IF(S285="Нужно проверить","Проверить возможный дубль",IF(TODAY()-E285&gt;30,"Проверить: старше 30 дней",IF(COUNTIFS(#REF!,G285,#REF!,"Готово")=0,"Проверить источник","Готово"))))))))))</f>
        <v/>
      </c>
    </row>
    <row r="286" spans="1:21" ht="25.5" customHeight="1">
      <c r="A286" s="21"/>
      <c r="B286" s="22"/>
      <c r="C286" s="21"/>
      <c r="D286" s="23"/>
      <c r="E286" s="22"/>
      <c r="F286" s="22"/>
      <c r="G286" s="23"/>
      <c r="H286" s="24"/>
      <c r="I286" s="24"/>
      <c r="J286" s="23"/>
      <c r="K286" s="23"/>
      <c r="L286" s="23"/>
      <c r="M286" s="23"/>
      <c r="N286" s="23"/>
      <c r="O286" s="23"/>
      <c r="P286" s="23"/>
      <c r="Q286" s="25"/>
      <c r="R286" s="23"/>
      <c r="S286" s="23"/>
      <c r="T286" s="23"/>
      <c r="U286" s="20" t="str">
        <f ca="1">IF(COUNTA(A286:T286)=0,"",IF(OR(A286="",B286="",C286="",E286="",G286="",H286="",J286="",K286="",L286="",M286=""),"Ошибка: заполните обязательные поля",IF(AND(LEFT(H286,7)&lt;&gt;"http://",LEFT(H286,8)&lt;&gt;"https://"),"Ошибка: некорректная ссылка",IF(COUNTIF($H$6:$H$1005,H286)&gt;1,"Ошибка: дубликат URL",IF(E286&gt;TODAY(),"Ошибка: дата публикации в будущем",IF(S286="Да","Ошибка: подтверждённый дубль",IF(S286="","Проверить: отметьте дубль",IF(S286="Нужно проверить","Проверить возможный дубль",IF(TODAY()-E286&gt;30,"Проверить: старше 30 дней",IF(COUNTIFS(#REF!,G286,#REF!,"Готово")=0,"Проверить источник","Готово"))))))))))</f>
        <v/>
      </c>
    </row>
    <row r="287" spans="1:21" ht="25.5" customHeight="1">
      <c r="A287" s="21"/>
      <c r="B287" s="22"/>
      <c r="C287" s="21"/>
      <c r="D287" s="23"/>
      <c r="E287" s="22"/>
      <c r="F287" s="22"/>
      <c r="G287" s="23"/>
      <c r="H287" s="24"/>
      <c r="I287" s="24"/>
      <c r="J287" s="23"/>
      <c r="K287" s="23"/>
      <c r="L287" s="23"/>
      <c r="M287" s="23"/>
      <c r="N287" s="23"/>
      <c r="O287" s="23"/>
      <c r="P287" s="23"/>
      <c r="Q287" s="25"/>
      <c r="R287" s="23"/>
      <c r="S287" s="23"/>
      <c r="T287" s="23"/>
      <c r="U287" s="20" t="str">
        <f ca="1">IF(COUNTA(A287:T287)=0,"",IF(OR(A287="",B287="",C287="",E287="",G287="",H287="",J287="",K287="",L287="",M287=""),"Ошибка: заполните обязательные поля",IF(AND(LEFT(H287,7)&lt;&gt;"http://",LEFT(H287,8)&lt;&gt;"https://"),"Ошибка: некорректная ссылка",IF(COUNTIF($H$6:$H$1005,H287)&gt;1,"Ошибка: дубликат URL",IF(E287&gt;TODAY(),"Ошибка: дата публикации в будущем",IF(S287="Да","Ошибка: подтверждённый дубль",IF(S287="","Проверить: отметьте дубль",IF(S287="Нужно проверить","Проверить возможный дубль",IF(TODAY()-E287&gt;30,"Проверить: старше 30 дней",IF(COUNTIFS(#REF!,G287,#REF!,"Готово")=0,"Проверить источник","Готово"))))))))))</f>
        <v/>
      </c>
    </row>
    <row r="288" spans="1:21" ht="25.5" customHeight="1">
      <c r="A288" s="21"/>
      <c r="B288" s="22"/>
      <c r="C288" s="21"/>
      <c r="D288" s="23"/>
      <c r="E288" s="22"/>
      <c r="F288" s="22"/>
      <c r="G288" s="23"/>
      <c r="H288" s="24"/>
      <c r="I288" s="24"/>
      <c r="J288" s="23"/>
      <c r="K288" s="23"/>
      <c r="L288" s="23"/>
      <c r="M288" s="23"/>
      <c r="N288" s="23"/>
      <c r="O288" s="23"/>
      <c r="P288" s="23"/>
      <c r="Q288" s="25"/>
      <c r="R288" s="23"/>
      <c r="S288" s="23"/>
      <c r="T288" s="23"/>
      <c r="U288" s="20" t="str">
        <f ca="1">IF(COUNTA(A288:T288)=0,"",IF(OR(A288="",B288="",C288="",E288="",G288="",H288="",J288="",K288="",L288="",M288=""),"Ошибка: заполните обязательные поля",IF(AND(LEFT(H288,7)&lt;&gt;"http://",LEFT(H288,8)&lt;&gt;"https://"),"Ошибка: некорректная ссылка",IF(COUNTIF($H$6:$H$1005,H288)&gt;1,"Ошибка: дубликат URL",IF(E288&gt;TODAY(),"Ошибка: дата публикации в будущем",IF(S288="Да","Ошибка: подтверждённый дубль",IF(S288="","Проверить: отметьте дубль",IF(S288="Нужно проверить","Проверить возможный дубль",IF(TODAY()-E288&gt;30,"Проверить: старше 30 дней",IF(COUNTIFS(#REF!,G288,#REF!,"Готово")=0,"Проверить источник","Готово"))))))))))</f>
        <v/>
      </c>
    </row>
    <row r="289" spans="1:21" ht="25.5" customHeight="1">
      <c r="A289" s="21"/>
      <c r="B289" s="22"/>
      <c r="C289" s="21"/>
      <c r="D289" s="23"/>
      <c r="E289" s="22"/>
      <c r="F289" s="22"/>
      <c r="G289" s="23"/>
      <c r="H289" s="24"/>
      <c r="I289" s="24"/>
      <c r="J289" s="23"/>
      <c r="K289" s="23"/>
      <c r="L289" s="23"/>
      <c r="M289" s="23"/>
      <c r="N289" s="23"/>
      <c r="O289" s="23"/>
      <c r="P289" s="23"/>
      <c r="Q289" s="25"/>
      <c r="R289" s="23"/>
      <c r="S289" s="23"/>
      <c r="T289" s="23"/>
      <c r="U289" s="20" t="str">
        <f ca="1">IF(COUNTA(A289:T289)=0,"",IF(OR(A289="",B289="",C289="",E289="",G289="",H289="",J289="",K289="",L289="",M289=""),"Ошибка: заполните обязательные поля",IF(AND(LEFT(H289,7)&lt;&gt;"http://",LEFT(H289,8)&lt;&gt;"https://"),"Ошибка: некорректная ссылка",IF(COUNTIF($H$6:$H$1005,H289)&gt;1,"Ошибка: дубликат URL",IF(E289&gt;TODAY(),"Ошибка: дата публикации в будущем",IF(S289="Да","Ошибка: подтверждённый дубль",IF(S289="","Проверить: отметьте дубль",IF(S289="Нужно проверить","Проверить возможный дубль",IF(TODAY()-E289&gt;30,"Проверить: старше 30 дней",IF(COUNTIFS(#REF!,G289,#REF!,"Готово")=0,"Проверить источник","Готово"))))))))))</f>
        <v/>
      </c>
    </row>
    <row r="290" spans="1:21" ht="25.5" customHeight="1">
      <c r="A290" s="21"/>
      <c r="B290" s="22"/>
      <c r="C290" s="21"/>
      <c r="D290" s="23"/>
      <c r="E290" s="22"/>
      <c r="F290" s="22"/>
      <c r="G290" s="23"/>
      <c r="H290" s="24"/>
      <c r="I290" s="24"/>
      <c r="J290" s="23"/>
      <c r="K290" s="23"/>
      <c r="L290" s="23"/>
      <c r="M290" s="23"/>
      <c r="N290" s="23"/>
      <c r="O290" s="23"/>
      <c r="P290" s="23"/>
      <c r="Q290" s="25"/>
      <c r="R290" s="23"/>
      <c r="S290" s="23"/>
      <c r="T290" s="23"/>
      <c r="U290" s="20" t="str">
        <f ca="1">IF(COUNTA(A290:T290)=0,"",IF(OR(A290="",B290="",C290="",E290="",G290="",H290="",J290="",K290="",L290="",M290=""),"Ошибка: заполните обязательные поля",IF(AND(LEFT(H290,7)&lt;&gt;"http://",LEFT(H290,8)&lt;&gt;"https://"),"Ошибка: некорректная ссылка",IF(COUNTIF($H$6:$H$1005,H290)&gt;1,"Ошибка: дубликат URL",IF(E290&gt;TODAY(),"Ошибка: дата публикации в будущем",IF(S290="Да","Ошибка: подтверждённый дубль",IF(S290="","Проверить: отметьте дубль",IF(S290="Нужно проверить","Проверить возможный дубль",IF(TODAY()-E290&gt;30,"Проверить: старше 30 дней",IF(COUNTIFS(#REF!,G290,#REF!,"Готово")=0,"Проверить источник","Готово"))))))))))</f>
        <v/>
      </c>
    </row>
    <row r="291" spans="1:21" ht="25.5" customHeight="1">
      <c r="A291" s="21"/>
      <c r="B291" s="22"/>
      <c r="C291" s="21"/>
      <c r="D291" s="23"/>
      <c r="E291" s="22"/>
      <c r="F291" s="22"/>
      <c r="G291" s="23"/>
      <c r="H291" s="24"/>
      <c r="I291" s="24"/>
      <c r="J291" s="23"/>
      <c r="K291" s="23"/>
      <c r="L291" s="23"/>
      <c r="M291" s="23"/>
      <c r="N291" s="23"/>
      <c r="O291" s="23"/>
      <c r="P291" s="23"/>
      <c r="Q291" s="25"/>
      <c r="R291" s="23"/>
      <c r="S291" s="23"/>
      <c r="T291" s="23"/>
      <c r="U291" s="20" t="str">
        <f ca="1">IF(COUNTA(A291:T291)=0,"",IF(OR(A291="",B291="",C291="",E291="",G291="",H291="",J291="",K291="",L291="",M291=""),"Ошибка: заполните обязательные поля",IF(AND(LEFT(H291,7)&lt;&gt;"http://",LEFT(H291,8)&lt;&gt;"https://"),"Ошибка: некорректная ссылка",IF(COUNTIF($H$6:$H$1005,H291)&gt;1,"Ошибка: дубликат URL",IF(E291&gt;TODAY(),"Ошибка: дата публикации в будущем",IF(S291="Да","Ошибка: подтверждённый дубль",IF(S291="","Проверить: отметьте дубль",IF(S291="Нужно проверить","Проверить возможный дубль",IF(TODAY()-E291&gt;30,"Проверить: старше 30 дней",IF(COUNTIFS(#REF!,G291,#REF!,"Готово")=0,"Проверить источник","Готово"))))))))))</f>
        <v/>
      </c>
    </row>
    <row r="292" spans="1:21" ht="25.5" customHeight="1">
      <c r="A292" s="21"/>
      <c r="B292" s="22"/>
      <c r="C292" s="21"/>
      <c r="D292" s="23"/>
      <c r="E292" s="22"/>
      <c r="F292" s="22"/>
      <c r="G292" s="23"/>
      <c r="H292" s="24"/>
      <c r="I292" s="24"/>
      <c r="J292" s="23"/>
      <c r="K292" s="23"/>
      <c r="L292" s="23"/>
      <c r="M292" s="23"/>
      <c r="N292" s="23"/>
      <c r="O292" s="23"/>
      <c r="P292" s="23"/>
      <c r="Q292" s="25"/>
      <c r="R292" s="23"/>
      <c r="S292" s="23"/>
      <c r="T292" s="23"/>
      <c r="U292" s="20" t="str">
        <f ca="1">IF(COUNTA(A292:T292)=0,"",IF(OR(A292="",B292="",C292="",E292="",G292="",H292="",J292="",K292="",L292="",M292=""),"Ошибка: заполните обязательные поля",IF(AND(LEFT(H292,7)&lt;&gt;"http://",LEFT(H292,8)&lt;&gt;"https://"),"Ошибка: некорректная ссылка",IF(COUNTIF($H$6:$H$1005,H292)&gt;1,"Ошибка: дубликат URL",IF(E292&gt;TODAY(),"Ошибка: дата публикации в будущем",IF(S292="Да","Ошибка: подтверждённый дубль",IF(S292="","Проверить: отметьте дубль",IF(S292="Нужно проверить","Проверить возможный дубль",IF(TODAY()-E292&gt;30,"Проверить: старше 30 дней",IF(COUNTIFS(#REF!,G292,#REF!,"Готово")=0,"Проверить источник","Готово"))))))))))</f>
        <v/>
      </c>
    </row>
    <row r="293" spans="1:21" ht="25.5" customHeight="1">
      <c r="A293" s="21"/>
      <c r="B293" s="22"/>
      <c r="C293" s="21"/>
      <c r="D293" s="23"/>
      <c r="E293" s="22"/>
      <c r="F293" s="22"/>
      <c r="G293" s="23"/>
      <c r="H293" s="24"/>
      <c r="I293" s="24"/>
      <c r="J293" s="23"/>
      <c r="K293" s="23"/>
      <c r="L293" s="23"/>
      <c r="M293" s="23"/>
      <c r="N293" s="23"/>
      <c r="O293" s="23"/>
      <c r="P293" s="23"/>
      <c r="Q293" s="25"/>
      <c r="R293" s="23"/>
      <c r="S293" s="23"/>
      <c r="T293" s="23"/>
      <c r="U293" s="20" t="str">
        <f ca="1">IF(COUNTA(A293:T293)=0,"",IF(OR(A293="",B293="",C293="",E293="",G293="",H293="",J293="",K293="",L293="",M293=""),"Ошибка: заполните обязательные поля",IF(AND(LEFT(H293,7)&lt;&gt;"http://",LEFT(H293,8)&lt;&gt;"https://"),"Ошибка: некорректная ссылка",IF(COUNTIF($H$6:$H$1005,H293)&gt;1,"Ошибка: дубликат URL",IF(E293&gt;TODAY(),"Ошибка: дата публикации в будущем",IF(S293="Да","Ошибка: подтверждённый дубль",IF(S293="","Проверить: отметьте дубль",IF(S293="Нужно проверить","Проверить возможный дубль",IF(TODAY()-E293&gt;30,"Проверить: старше 30 дней",IF(COUNTIFS(#REF!,G293,#REF!,"Готово")=0,"Проверить источник","Готово"))))))))))</f>
        <v/>
      </c>
    </row>
    <row r="294" spans="1:21" ht="25.5" customHeight="1">
      <c r="A294" s="21"/>
      <c r="B294" s="22"/>
      <c r="C294" s="21"/>
      <c r="D294" s="23"/>
      <c r="E294" s="22"/>
      <c r="F294" s="22"/>
      <c r="G294" s="23"/>
      <c r="H294" s="24"/>
      <c r="I294" s="24"/>
      <c r="J294" s="23"/>
      <c r="K294" s="23"/>
      <c r="L294" s="23"/>
      <c r="M294" s="23"/>
      <c r="N294" s="23"/>
      <c r="O294" s="23"/>
      <c r="P294" s="23"/>
      <c r="Q294" s="25"/>
      <c r="R294" s="23"/>
      <c r="S294" s="23"/>
      <c r="T294" s="23"/>
      <c r="U294" s="20" t="str">
        <f ca="1">IF(COUNTA(A294:T294)=0,"",IF(OR(A294="",B294="",C294="",E294="",G294="",H294="",J294="",K294="",L294="",M294=""),"Ошибка: заполните обязательные поля",IF(AND(LEFT(H294,7)&lt;&gt;"http://",LEFT(H294,8)&lt;&gt;"https://"),"Ошибка: некорректная ссылка",IF(COUNTIF($H$6:$H$1005,H294)&gt;1,"Ошибка: дубликат URL",IF(E294&gt;TODAY(),"Ошибка: дата публикации в будущем",IF(S294="Да","Ошибка: подтверждённый дубль",IF(S294="","Проверить: отметьте дубль",IF(S294="Нужно проверить","Проверить возможный дубль",IF(TODAY()-E294&gt;30,"Проверить: старше 30 дней",IF(COUNTIFS(#REF!,G294,#REF!,"Готово")=0,"Проверить источник","Готово"))))))))))</f>
        <v/>
      </c>
    </row>
    <row r="295" spans="1:21" ht="25.5" customHeight="1">
      <c r="A295" s="21"/>
      <c r="B295" s="22"/>
      <c r="C295" s="21"/>
      <c r="D295" s="23"/>
      <c r="E295" s="22"/>
      <c r="F295" s="22"/>
      <c r="G295" s="23"/>
      <c r="H295" s="24"/>
      <c r="I295" s="24"/>
      <c r="J295" s="23"/>
      <c r="K295" s="23"/>
      <c r="L295" s="23"/>
      <c r="M295" s="23"/>
      <c r="N295" s="23"/>
      <c r="O295" s="23"/>
      <c r="P295" s="23"/>
      <c r="Q295" s="25"/>
      <c r="R295" s="23"/>
      <c r="S295" s="23"/>
      <c r="T295" s="23"/>
      <c r="U295" s="20" t="str">
        <f ca="1">IF(COUNTA(A295:T295)=0,"",IF(OR(A295="",B295="",C295="",E295="",G295="",H295="",J295="",K295="",L295="",M295=""),"Ошибка: заполните обязательные поля",IF(AND(LEFT(H295,7)&lt;&gt;"http://",LEFT(H295,8)&lt;&gt;"https://"),"Ошибка: некорректная ссылка",IF(COUNTIF($H$6:$H$1005,H295)&gt;1,"Ошибка: дубликат URL",IF(E295&gt;TODAY(),"Ошибка: дата публикации в будущем",IF(S295="Да","Ошибка: подтверждённый дубль",IF(S295="","Проверить: отметьте дубль",IF(S295="Нужно проверить","Проверить возможный дубль",IF(TODAY()-E295&gt;30,"Проверить: старше 30 дней",IF(COUNTIFS(#REF!,G295,#REF!,"Готово")=0,"Проверить источник","Готово"))))))))))</f>
        <v/>
      </c>
    </row>
    <row r="296" spans="1:21" ht="25.5" customHeight="1">
      <c r="A296" s="21"/>
      <c r="B296" s="22"/>
      <c r="C296" s="21"/>
      <c r="D296" s="23"/>
      <c r="E296" s="22"/>
      <c r="F296" s="22"/>
      <c r="G296" s="23"/>
      <c r="H296" s="24"/>
      <c r="I296" s="24"/>
      <c r="J296" s="23"/>
      <c r="K296" s="23"/>
      <c r="L296" s="23"/>
      <c r="M296" s="23"/>
      <c r="N296" s="23"/>
      <c r="O296" s="23"/>
      <c r="P296" s="23"/>
      <c r="Q296" s="25"/>
      <c r="R296" s="23"/>
      <c r="S296" s="23"/>
      <c r="T296" s="23"/>
      <c r="U296" s="20" t="str">
        <f ca="1">IF(COUNTA(A296:T296)=0,"",IF(OR(A296="",B296="",C296="",E296="",G296="",H296="",J296="",K296="",L296="",M296=""),"Ошибка: заполните обязательные поля",IF(AND(LEFT(H296,7)&lt;&gt;"http://",LEFT(H296,8)&lt;&gt;"https://"),"Ошибка: некорректная ссылка",IF(COUNTIF($H$6:$H$1005,H296)&gt;1,"Ошибка: дубликат URL",IF(E296&gt;TODAY(),"Ошибка: дата публикации в будущем",IF(S296="Да","Ошибка: подтверждённый дубль",IF(S296="","Проверить: отметьте дубль",IF(S296="Нужно проверить","Проверить возможный дубль",IF(TODAY()-E296&gt;30,"Проверить: старше 30 дней",IF(COUNTIFS(#REF!,G296,#REF!,"Готово")=0,"Проверить источник","Готово"))))))))))</f>
        <v/>
      </c>
    </row>
    <row r="297" spans="1:21" ht="25.5" customHeight="1">
      <c r="A297" s="21"/>
      <c r="B297" s="22"/>
      <c r="C297" s="21"/>
      <c r="D297" s="23"/>
      <c r="E297" s="22"/>
      <c r="F297" s="22"/>
      <c r="G297" s="23"/>
      <c r="H297" s="24"/>
      <c r="I297" s="24"/>
      <c r="J297" s="23"/>
      <c r="K297" s="23"/>
      <c r="L297" s="23"/>
      <c r="M297" s="23"/>
      <c r="N297" s="23"/>
      <c r="O297" s="23"/>
      <c r="P297" s="23"/>
      <c r="Q297" s="25"/>
      <c r="R297" s="23"/>
      <c r="S297" s="23"/>
      <c r="T297" s="23"/>
      <c r="U297" s="20" t="str">
        <f ca="1">IF(COUNTA(A297:T297)=0,"",IF(OR(A297="",B297="",C297="",E297="",G297="",H297="",J297="",K297="",L297="",M297=""),"Ошибка: заполните обязательные поля",IF(AND(LEFT(H297,7)&lt;&gt;"http://",LEFT(H297,8)&lt;&gt;"https://"),"Ошибка: некорректная ссылка",IF(COUNTIF($H$6:$H$1005,H297)&gt;1,"Ошибка: дубликат URL",IF(E297&gt;TODAY(),"Ошибка: дата публикации в будущем",IF(S297="Да","Ошибка: подтверждённый дубль",IF(S297="","Проверить: отметьте дубль",IF(S297="Нужно проверить","Проверить возможный дубль",IF(TODAY()-E297&gt;30,"Проверить: старше 30 дней",IF(COUNTIFS(#REF!,G297,#REF!,"Готово")=0,"Проверить источник","Готово"))))))))))</f>
        <v/>
      </c>
    </row>
    <row r="298" spans="1:21" ht="25.5" customHeight="1">
      <c r="A298" s="21"/>
      <c r="B298" s="22"/>
      <c r="C298" s="21"/>
      <c r="D298" s="23"/>
      <c r="E298" s="22"/>
      <c r="F298" s="22"/>
      <c r="G298" s="23"/>
      <c r="H298" s="24"/>
      <c r="I298" s="24"/>
      <c r="J298" s="23"/>
      <c r="K298" s="23"/>
      <c r="L298" s="23"/>
      <c r="M298" s="23"/>
      <c r="N298" s="23"/>
      <c r="O298" s="23"/>
      <c r="P298" s="23"/>
      <c r="Q298" s="25"/>
      <c r="R298" s="23"/>
      <c r="S298" s="23"/>
      <c r="T298" s="23"/>
      <c r="U298" s="20" t="str">
        <f ca="1">IF(COUNTA(A298:T298)=0,"",IF(OR(A298="",B298="",C298="",E298="",G298="",H298="",J298="",K298="",L298="",M298=""),"Ошибка: заполните обязательные поля",IF(AND(LEFT(H298,7)&lt;&gt;"http://",LEFT(H298,8)&lt;&gt;"https://"),"Ошибка: некорректная ссылка",IF(COUNTIF($H$6:$H$1005,H298)&gt;1,"Ошибка: дубликат URL",IF(E298&gt;TODAY(),"Ошибка: дата публикации в будущем",IF(S298="Да","Ошибка: подтверждённый дубль",IF(S298="","Проверить: отметьте дубль",IF(S298="Нужно проверить","Проверить возможный дубль",IF(TODAY()-E298&gt;30,"Проверить: старше 30 дней",IF(COUNTIFS(#REF!,G298,#REF!,"Готово")=0,"Проверить источник","Готово"))))))))))</f>
        <v/>
      </c>
    </row>
    <row r="299" spans="1:21" ht="25.5" customHeight="1">
      <c r="A299" s="21"/>
      <c r="B299" s="22"/>
      <c r="C299" s="21"/>
      <c r="D299" s="23"/>
      <c r="E299" s="22"/>
      <c r="F299" s="22"/>
      <c r="G299" s="23"/>
      <c r="H299" s="24"/>
      <c r="I299" s="24"/>
      <c r="J299" s="23"/>
      <c r="K299" s="23"/>
      <c r="L299" s="23"/>
      <c r="M299" s="23"/>
      <c r="N299" s="23"/>
      <c r="O299" s="23"/>
      <c r="P299" s="23"/>
      <c r="Q299" s="25"/>
      <c r="R299" s="23"/>
      <c r="S299" s="23"/>
      <c r="T299" s="23"/>
      <c r="U299" s="20" t="str">
        <f ca="1">IF(COUNTA(A299:T299)=0,"",IF(OR(A299="",B299="",C299="",E299="",G299="",H299="",J299="",K299="",L299="",M299=""),"Ошибка: заполните обязательные поля",IF(AND(LEFT(H299,7)&lt;&gt;"http://",LEFT(H299,8)&lt;&gt;"https://"),"Ошибка: некорректная ссылка",IF(COUNTIF($H$6:$H$1005,H299)&gt;1,"Ошибка: дубликат URL",IF(E299&gt;TODAY(),"Ошибка: дата публикации в будущем",IF(S299="Да","Ошибка: подтверждённый дубль",IF(S299="","Проверить: отметьте дубль",IF(S299="Нужно проверить","Проверить возможный дубль",IF(TODAY()-E299&gt;30,"Проверить: старше 30 дней",IF(COUNTIFS(#REF!,G299,#REF!,"Готово")=0,"Проверить источник","Готово"))))))))))</f>
        <v/>
      </c>
    </row>
    <row r="300" spans="1:21" ht="25.5" customHeight="1">
      <c r="A300" s="21"/>
      <c r="B300" s="22"/>
      <c r="C300" s="21"/>
      <c r="D300" s="23"/>
      <c r="E300" s="22"/>
      <c r="F300" s="22"/>
      <c r="G300" s="23"/>
      <c r="H300" s="24"/>
      <c r="I300" s="24"/>
      <c r="J300" s="23"/>
      <c r="K300" s="23"/>
      <c r="L300" s="23"/>
      <c r="M300" s="23"/>
      <c r="N300" s="23"/>
      <c r="O300" s="23"/>
      <c r="P300" s="23"/>
      <c r="Q300" s="25"/>
      <c r="R300" s="23"/>
      <c r="S300" s="23"/>
      <c r="T300" s="23"/>
      <c r="U300" s="20" t="str">
        <f ca="1">IF(COUNTA(A300:T300)=0,"",IF(OR(A300="",B300="",C300="",E300="",G300="",H300="",J300="",K300="",L300="",M300=""),"Ошибка: заполните обязательные поля",IF(AND(LEFT(H300,7)&lt;&gt;"http://",LEFT(H300,8)&lt;&gt;"https://"),"Ошибка: некорректная ссылка",IF(COUNTIF($H$6:$H$1005,H300)&gt;1,"Ошибка: дубликат URL",IF(E300&gt;TODAY(),"Ошибка: дата публикации в будущем",IF(S300="Да","Ошибка: подтверждённый дубль",IF(S300="","Проверить: отметьте дубль",IF(S300="Нужно проверить","Проверить возможный дубль",IF(TODAY()-E300&gt;30,"Проверить: старше 30 дней",IF(COUNTIFS(#REF!,G300,#REF!,"Готово")=0,"Проверить источник","Готово"))))))))))</f>
        <v/>
      </c>
    </row>
    <row r="301" spans="1:21" ht="25.5" customHeight="1">
      <c r="A301" s="21"/>
      <c r="B301" s="22"/>
      <c r="C301" s="21"/>
      <c r="D301" s="23"/>
      <c r="E301" s="22"/>
      <c r="F301" s="22"/>
      <c r="G301" s="23"/>
      <c r="H301" s="24"/>
      <c r="I301" s="24"/>
      <c r="J301" s="23"/>
      <c r="K301" s="23"/>
      <c r="L301" s="23"/>
      <c r="M301" s="23"/>
      <c r="N301" s="23"/>
      <c r="O301" s="23"/>
      <c r="P301" s="23"/>
      <c r="Q301" s="25"/>
      <c r="R301" s="23"/>
      <c r="S301" s="23"/>
      <c r="T301" s="23"/>
      <c r="U301" s="20" t="str">
        <f ca="1">IF(COUNTA(A301:T301)=0,"",IF(OR(A301="",B301="",C301="",E301="",G301="",H301="",J301="",K301="",L301="",M301=""),"Ошибка: заполните обязательные поля",IF(AND(LEFT(H301,7)&lt;&gt;"http://",LEFT(H301,8)&lt;&gt;"https://"),"Ошибка: некорректная ссылка",IF(COUNTIF($H$6:$H$1005,H301)&gt;1,"Ошибка: дубликат URL",IF(E301&gt;TODAY(),"Ошибка: дата публикации в будущем",IF(S301="Да","Ошибка: подтверждённый дубль",IF(S301="","Проверить: отметьте дубль",IF(S301="Нужно проверить","Проверить возможный дубль",IF(TODAY()-E301&gt;30,"Проверить: старше 30 дней",IF(COUNTIFS(#REF!,G301,#REF!,"Готово")=0,"Проверить источник","Готово"))))))))))</f>
        <v/>
      </c>
    </row>
    <row r="302" spans="1:21" ht="25.5" customHeight="1">
      <c r="A302" s="21"/>
      <c r="B302" s="22"/>
      <c r="C302" s="21"/>
      <c r="D302" s="23"/>
      <c r="E302" s="22"/>
      <c r="F302" s="22"/>
      <c r="G302" s="23"/>
      <c r="H302" s="24"/>
      <c r="I302" s="24"/>
      <c r="J302" s="23"/>
      <c r="K302" s="23"/>
      <c r="L302" s="23"/>
      <c r="M302" s="23"/>
      <c r="N302" s="23"/>
      <c r="O302" s="23"/>
      <c r="P302" s="23"/>
      <c r="Q302" s="25"/>
      <c r="R302" s="23"/>
      <c r="S302" s="23"/>
      <c r="T302" s="23"/>
      <c r="U302" s="20" t="str">
        <f ca="1">IF(COUNTA(A302:T302)=0,"",IF(OR(A302="",B302="",C302="",E302="",G302="",H302="",J302="",K302="",L302="",M302=""),"Ошибка: заполните обязательные поля",IF(AND(LEFT(H302,7)&lt;&gt;"http://",LEFT(H302,8)&lt;&gt;"https://"),"Ошибка: некорректная ссылка",IF(COUNTIF($H$6:$H$1005,H302)&gt;1,"Ошибка: дубликат URL",IF(E302&gt;TODAY(),"Ошибка: дата публикации в будущем",IF(S302="Да","Ошибка: подтверждённый дубль",IF(S302="","Проверить: отметьте дубль",IF(S302="Нужно проверить","Проверить возможный дубль",IF(TODAY()-E302&gt;30,"Проверить: старше 30 дней",IF(COUNTIFS(#REF!,G302,#REF!,"Готово")=0,"Проверить источник","Готово"))))))))))</f>
        <v/>
      </c>
    </row>
    <row r="303" spans="1:21" ht="25.5" customHeight="1">
      <c r="A303" s="21"/>
      <c r="B303" s="22"/>
      <c r="C303" s="21"/>
      <c r="D303" s="23"/>
      <c r="E303" s="22"/>
      <c r="F303" s="22"/>
      <c r="G303" s="23"/>
      <c r="H303" s="24"/>
      <c r="I303" s="24"/>
      <c r="J303" s="23"/>
      <c r="K303" s="23"/>
      <c r="L303" s="23"/>
      <c r="M303" s="23"/>
      <c r="N303" s="23"/>
      <c r="O303" s="23"/>
      <c r="P303" s="23"/>
      <c r="Q303" s="25"/>
      <c r="R303" s="23"/>
      <c r="S303" s="23"/>
      <c r="T303" s="23"/>
      <c r="U303" s="20" t="str">
        <f ca="1">IF(COUNTA(A303:T303)=0,"",IF(OR(A303="",B303="",C303="",E303="",G303="",H303="",J303="",K303="",L303="",M303=""),"Ошибка: заполните обязательные поля",IF(AND(LEFT(H303,7)&lt;&gt;"http://",LEFT(H303,8)&lt;&gt;"https://"),"Ошибка: некорректная ссылка",IF(COUNTIF($H$6:$H$1005,H303)&gt;1,"Ошибка: дубликат URL",IF(E303&gt;TODAY(),"Ошибка: дата публикации в будущем",IF(S303="Да","Ошибка: подтверждённый дубль",IF(S303="","Проверить: отметьте дубль",IF(S303="Нужно проверить","Проверить возможный дубль",IF(TODAY()-E303&gt;30,"Проверить: старше 30 дней",IF(COUNTIFS(#REF!,G303,#REF!,"Готово")=0,"Проверить источник","Готово"))))))))))</f>
        <v/>
      </c>
    </row>
    <row r="304" spans="1:21" ht="25.5" customHeight="1">
      <c r="A304" s="21"/>
      <c r="B304" s="22"/>
      <c r="C304" s="21"/>
      <c r="D304" s="23"/>
      <c r="E304" s="22"/>
      <c r="F304" s="22"/>
      <c r="G304" s="23"/>
      <c r="H304" s="24"/>
      <c r="I304" s="24"/>
      <c r="J304" s="23"/>
      <c r="K304" s="23"/>
      <c r="L304" s="23"/>
      <c r="M304" s="23"/>
      <c r="N304" s="23"/>
      <c r="O304" s="23"/>
      <c r="P304" s="23"/>
      <c r="Q304" s="25"/>
      <c r="R304" s="23"/>
      <c r="S304" s="23"/>
      <c r="T304" s="23"/>
      <c r="U304" s="20" t="str">
        <f ca="1">IF(COUNTA(A304:T304)=0,"",IF(OR(A304="",B304="",C304="",E304="",G304="",H304="",J304="",K304="",L304="",M304=""),"Ошибка: заполните обязательные поля",IF(AND(LEFT(H304,7)&lt;&gt;"http://",LEFT(H304,8)&lt;&gt;"https://"),"Ошибка: некорректная ссылка",IF(COUNTIF($H$6:$H$1005,H304)&gt;1,"Ошибка: дубликат URL",IF(E304&gt;TODAY(),"Ошибка: дата публикации в будущем",IF(S304="Да","Ошибка: подтверждённый дубль",IF(S304="","Проверить: отметьте дубль",IF(S304="Нужно проверить","Проверить возможный дубль",IF(TODAY()-E304&gt;30,"Проверить: старше 30 дней",IF(COUNTIFS(#REF!,G304,#REF!,"Готово")=0,"Проверить источник","Готово"))))))))))</f>
        <v/>
      </c>
    </row>
    <row r="305" spans="1:21" ht="25.5" customHeight="1">
      <c r="A305" s="21"/>
      <c r="B305" s="22"/>
      <c r="C305" s="21"/>
      <c r="D305" s="23"/>
      <c r="E305" s="22"/>
      <c r="F305" s="22"/>
      <c r="G305" s="23"/>
      <c r="H305" s="24"/>
      <c r="I305" s="24"/>
      <c r="J305" s="23"/>
      <c r="K305" s="23"/>
      <c r="L305" s="23"/>
      <c r="M305" s="23"/>
      <c r="N305" s="23"/>
      <c r="O305" s="23"/>
      <c r="P305" s="23"/>
      <c r="Q305" s="25"/>
      <c r="R305" s="23"/>
      <c r="S305" s="23"/>
      <c r="T305" s="23"/>
      <c r="U305" s="20" t="str">
        <f ca="1">IF(COUNTA(A305:T305)=0,"",IF(OR(A305="",B305="",C305="",E305="",G305="",H305="",J305="",K305="",L305="",M305=""),"Ошибка: заполните обязательные поля",IF(AND(LEFT(H305,7)&lt;&gt;"http://",LEFT(H305,8)&lt;&gt;"https://"),"Ошибка: некорректная ссылка",IF(COUNTIF($H$6:$H$1005,H305)&gt;1,"Ошибка: дубликат URL",IF(E305&gt;TODAY(),"Ошибка: дата публикации в будущем",IF(S305="Да","Ошибка: подтверждённый дубль",IF(S305="","Проверить: отметьте дубль",IF(S305="Нужно проверить","Проверить возможный дубль",IF(TODAY()-E305&gt;30,"Проверить: старше 30 дней",IF(COUNTIFS(#REF!,G305,#REF!,"Готово")=0,"Проверить источник","Готово"))))))))))</f>
        <v/>
      </c>
    </row>
    <row r="306" spans="1:21" ht="25.5" customHeight="1">
      <c r="A306" s="21"/>
      <c r="B306" s="22"/>
      <c r="C306" s="21"/>
      <c r="D306" s="23"/>
      <c r="E306" s="22"/>
      <c r="F306" s="22"/>
      <c r="G306" s="23"/>
      <c r="H306" s="24"/>
      <c r="I306" s="24"/>
      <c r="J306" s="23"/>
      <c r="K306" s="23"/>
      <c r="L306" s="23"/>
      <c r="M306" s="23"/>
      <c r="N306" s="23"/>
      <c r="O306" s="23"/>
      <c r="P306" s="23"/>
      <c r="Q306" s="25"/>
      <c r="R306" s="23"/>
      <c r="S306" s="23"/>
      <c r="T306" s="23"/>
      <c r="U306" s="20" t="str">
        <f ca="1">IF(COUNTA(A306:T306)=0,"",IF(OR(A306="",B306="",C306="",E306="",G306="",H306="",J306="",K306="",L306="",M306=""),"Ошибка: заполните обязательные поля",IF(AND(LEFT(H306,7)&lt;&gt;"http://",LEFT(H306,8)&lt;&gt;"https://"),"Ошибка: некорректная ссылка",IF(COUNTIF($H$6:$H$1005,H306)&gt;1,"Ошибка: дубликат URL",IF(E306&gt;TODAY(),"Ошибка: дата публикации в будущем",IF(S306="Да","Ошибка: подтверждённый дубль",IF(S306="","Проверить: отметьте дубль",IF(S306="Нужно проверить","Проверить возможный дубль",IF(TODAY()-E306&gt;30,"Проверить: старше 30 дней",IF(COUNTIFS(#REF!,G306,#REF!,"Готово")=0,"Проверить источник","Готово"))))))))))</f>
        <v/>
      </c>
    </row>
    <row r="307" spans="1:21" ht="25.5" customHeight="1">
      <c r="A307" s="21"/>
      <c r="B307" s="22"/>
      <c r="C307" s="21"/>
      <c r="D307" s="23"/>
      <c r="E307" s="22"/>
      <c r="F307" s="22"/>
      <c r="G307" s="23"/>
      <c r="H307" s="24"/>
      <c r="I307" s="24"/>
      <c r="J307" s="23"/>
      <c r="K307" s="23"/>
      <c r="L307" s="23"/>
      <c r="M307" s="23"/>
      <c r="N307" s="23"/>
      <c r="O307" s="23"/>
      <c r="P307" s="23"/>
      <c r="Q307" s="25"/>
      <c r="R307" s="23"/>
      <c r="S307" s="23"/>
      <c r="T307" s="23"/>
      <c r="U307" s="20" t="str">
        <f ca="1">IF(COUNTA(A307:T307)=0,"",IF(OR(A307="",B307="",C307="",E307="",G307="",H307="",J307="",K307="",L307="",M307=""),"Ошибка: заполните обязательные поля",IF(AND(LEFT(H307,7)&lt;&gt;"http://",LEFT(H307,8)&lt;&gt;"https://"),"Ошибка: некорректная ссылка",IF(COUNTIF($H$6:$H$1005,H307)&gt;1,"Ошибка: дубликат URL",IF(E307&gt;TODAY(),"Ошибка: дата публикации в будущем",IF(S307="Да","Ошибка: подтверждённый дубль",IF(S307="","Проверить: отметьте дубль",IF(S307="Нужно проверить","Проверить возможный дубль",IF(TODAY()-E307&gt;30,"Проверить: старше 30 дней",IF(COUNTIFS(#REF!,G307,#REF!,"Готово")=0,"Проверить источник","Готово"))))))))))</f>
        <v/>
      </c>
    </row>
    <row r="308" spans="1:21" ht="25.5" customHeight="1">
      <c r="A308" s="21"/>
      <c r="B308" s="22"/>
      <c r="C308" s="21"/>
      <c r="D308" s="23"/>
      <c r="E308" s="22"/>
      <c r="F308" s="22"/>
      <c r="G308" s="23"/>
      <c r="H308" s="24"/>
      <c r="I308" s="24"/>
      <c r="J308" s="23"/>
      <c r="K308" s="23"/>
      <c r="L308" s="23"/>
      <c r="M308" s="23"/>
      <c r="N308" s="23"/>
      <c r="O308" s="23"/>
      <c r="P308" s="23"/>
      <c r="Q308" s="25"/>
      <c r="R308" s="23"/>
      <c r="S308" s="23"/>
      <c r="T308" s="23"/>
      <c r="U308" s="20" t="str">
        <f ca="1">IF(COUNTA(A308:T308)=0,"",IF(OR(A308="",B308="",C308="",E308="",G308="",H308="",J308="",K308="",L308="",M308=""),"Ошибка: заполните обязательные поля",IF(AND(LEFT(H308,7)&lt;&gt;"http://",LEFT(H308,8)&lt;&gt;"https://"),"Ошибка: некорректная ссылка",IF(COUNTIF($H$6:$H$1005,H308)&gt;1,"Ошибка: дубликат URL",IF(E308&gt;TODAY(),"Ошибка: дата публикации в будущем",IF(S308="Да","Ошибка: подтверждённый дубль",IF(S308="","Проверить: отметьте дубль",IF(S308="Нужно проверить","Проверить возможный дубль",IF(TODAY()-E308&gt;30,"Проверить: старше 30 дней",IF(COUNTIFS(#REF!,G308,#REF!,"Готово")=0,"Проверить источник","Готово"))))))))))</f>
        <v/>
      </c>
    </row>
    <row r="309" spans="1:21" ht="25.5" customHeight="1">
      <c r="A309" s="21"/>
      <c r="B309" s="22"/>
      <c r="C309" s="21"/>
      <c r="D309" s="23"/>
      <c r="E309" s="22"/>
      <c r="F309" s="22"/>
      <c r="G309" s="23"/>
      <c r="H309" s="24"/>
      <c r="I309" s="24"/>
      <c r="J309" s="23"/>
      <c r="K309" s="23"/>
      <c r="L309" s="23"/>
      <c r="M309" s="23"/>
      <c r="N309" s="23"/>
      <c r="O309" s="23"/>
      <c r="P309" s="23"/>
      <c r="Q309" s="25"/>
      <c r="R309" s="23"/>
      <c r="S309" s="23"/>
      <c r="T309" s="23"/>
      <c r="U309" s="20" t="str">
        <f ca="1">IF(COUNTA(A309:T309)=0,"",IF(OR(A309="",B309="",C309="",E309="",G309="",H309="",J309="",K309="",L309="",M309=""),"Ошибка: заполните обязательные поля",IF(AND(LEFT(H309,7)&lt;&gt;"http://",LEFT(H309,8)&lt;&gt;"https://"),"Ошибка: некорректная ссылка",IF(COUNTIF($H$6:$H$1005,H309)&gt;1,"Ошибка: дубликат URL",IF(E309&gt;TODAY(),"Ошибка: дата публикации в будущем",IF(S309="Да","Ошибка: подтверждённый дубль",IF(S309="","Проверить: отметьте дубль",IF(S309="Нужно проверить","Проверить возможный дубль",IF(TODAY()-E309&gt;30,"Проверить: старше 30 дней",IF(COUNTIFS(#REF!,G309,#REF!,"Готово")=0,"Проверить источник","Готово"))))))))))</f>
        <v/>
      </c>
    </row>
    <row r="310" spans="1:21" ht="25.5" customHeight="1">
      <c r="A310" s="21"/>
      <c r="B310" s="22"/>
      <c r="C310" s="21"/>
      <c r="D310" s="23"/>
      <c r="E310" s="22"/>
      <c r="F310" s="22"/>
      <c r="G310" s="23"/>
      <c r="H310" s="24"/>
      <c r="I310" s="24"/>
      <c r="J310" s="23"/>
      <c r="K310" s="23"/>
      <c r="L310" s="23"/>
      <c r="M310" s="23"/>
      <c r="N310" s="23"/>
      <c r="O310" s="23"/>
      <c r="P310" s="23"/>
      <c r="Q310" s="25"/>
      <c r="R310" s="23"/>
      <c r="S310" s="23"/>
      <c r="T310" s="23"/>
      <c r="U310" s="20" t="str">
        <f ca="1">IF(COUNTA(A310:T310)=0,"",IF(OR(A310="",B310="",C310="",E310="",G310="",H310="",J310="",K310="",L310="",M310=""),"Ошибка: заполните обязательные поля",IF(AND(LEFT(H310,7)&lt;&gt;"http://",LEFT(H310,8)&lt;&gt;"https://"),"Ошибка: некорректная ссылка",IF(COUNTIF($H$6:$H$1005,H310)&gt;1,"Ошибка: дубликат URL",IF(E310&gt;TODAY(),"Ошибка: дата публикации в будущем",IF(S310="Да","Ошибка: подтверждённый дубль",IF(S310="","Проверить: отметьте дубль",IF(S310="Нужно проверить","Проверить возможный дубль",IF(TODAY()-E310&gt;30,"Проверить: старше 30 дней",IF(COUNTIFS(#REF!,G310,#REF!,"Готово")=0,"Проверить источник","Готово"))))))))))</f>
        <v/>
      </c>
    </row>
    <row r="311" spans="1:21" ht="25.5" customHeight="1">
      <c r="A311" s="21"/>
      <c r="B311" s="22"/>
      <c r="C311" s="21"/>
      <c r="D311" s="23"/>
      <c r="E311" s="22"/>
      <c r="F311" s="22"/>
      <c r="G311" s="23"/>
      <c r="H311" s="24"/>
      <c r="I311" s="24"/>
      <c r="J311" s="23"/>
      <c r="K311" s="23"/>
      <c r="L311" s="23"/>
      <c r="M311" s="23"/>
      <c r="N311" s="23"/>
      <c r="O311" s="23"/>
      <c r="P311" s="23"/>
      <c r="Q311" s="25"/>
      <c r="R311" s="23"/>
      <c r="S311" s="23"/>
      <c r="T311" s="23"/>
      <c r="U311" s="20" t="str">
        <f ca="1">IF(COUNTA(A311:T311)=0,"",IF(OR(A311="",B311="",C311="",E311="",G311="",H311="",J311="",K311="",L311="",M311=""),"Ошибка: заполните обязательные поля",IF(AND(LEFT(H311,7)&lt;&gt;"http://",LEFT(H311,8)&lt;&gt;"https://"),"Ошибка: некорректная ссылка",IF(COUNTIF($H$6:$H$1005,H311)&gt;1,"Ошибка: дубликат URL",IF(E311&gt;TODAY(),"Ошибка: дата публикации в будущем",IF(S311="Да","Ошибка: подтверждённый дубль",IF(S311="","Проверить: отметьте дубль",IF(S311="Нужно проверить","Проверить возможный дубль",IF(TODAY()-E311&gt;30,"Проверить: старше 30 дней",IF(COUNTIFS(#REF!,G311,#REF!,"Готово")=0,"Проверить источник","Готово"))))))))))</f>
        <v/>
      </c>
    </row>
    <row r="312" spans="1:21" ht="25.5" customHeight="1">
      <c r="A312" s="21"/>
      <c r="B312" s="22"/>
      <c r="C312" s="21"/>
      <c r="D312" s="23"/>
      <c r="E312" s="22"/>
      <c r="F312" s="22"/>
      <c r="G312" s="23"/>
      <c r="H312" s="24"/>
      <c r="I312" s="24"/>
      <c r="J312" s="23"/>
      <c r="K312" s="23"/>
      <c r="L312" s="23"/>
      <c r="M312" s="23"/>
      <c r="N312" s="23"/>
      <c r="O312" s="23"/>
      <c r="P312" s="23"/>
      <c r="Q312" s="25"/>
      <c r="R312" s="23"/>
      <c r="S312" s="23"/>
      <c r="T312" s="23"/>
      <c r="U312" s="20" t="str">
        <f ca="1">IF(COUNTA(A312:T312)=0,"",IF(OR(A312="",B312="",C312="",E312="",G312="",H312="",J312="",K312="",L312="",M312=""),"Ошибка: заполните обязательные поля",IF(AND(LEFT(H312,7)&lt;&gt;"http://",LEFT(H312,8)&lt;&gt;"https://"),"Ошибка: некорректная ссылка",IF(COUNTIF($H$6:$H$1005,H312)&gt;1,"Ошибка: дубликат URL",IF(E312&gt;TODAY(),"Ошибка: дата публикации в будущем",IF(S312="Да","Ошибка: подтверждённый дубль",IF(S312="","Проверить: отметьте дубль",IF(S312="Нужно проверить","Проверить возможный дубль",IF(TODAY()-E312&gt;30,"Проверить: старше 30 дней",IF(COUNTIFS(#REF!,G312,#REF!,"Готово")=0,"Проверить источник","Готово"))))))))))</f>
        <v/>
      </c>
    </row>
    <row r="313" spans="1:21" ht="25.5" customHeight="1">
      <c r="A313" s="21"/>
      <c r="B313" s="22"/>
      <c r="C313" s="21"/>
      <c r="D313" s="23"/>
      <c r="E313" s="22"/>
      <c r="F313" s="22"/>
      <c r="G313" s="23"/>
      <c r="H313" s="24"/>
      <c r="I313" s="24"/>
      <c r="J313" s="23"/>
      <c r="K313" s="23"/>
      <c r="L313" s="23"/>
      <c r="M313" s="23"/>
      <c r="N313" s="23"/>
      <c r="O313" s="23"/>
      <c r="P313" s="23"/>
      <c r="Q313" s="25"/>
      <c r="R313" s="23"/>
      <c r="S313" s="23"/>
      <c r="T313" s="23"/>
      <c r="U313" s="20" t="str">
        <f ca="1">IF(COUNTA(A313:T313)=0,"",IF(OR(A313="",B313="",C313="",E313="",G313="",H313="",J313="",K313="",L313="",M313=""),"Ошибка: заполните обязательные поля",IF(AND(LEFT(H313,7)&lt;&gt;"http://",LEFT(H313,8)&lt;&gt;"https://"),"Ошибка: некорректная ссылка",IF(COUNTIF($H$6:$H$1005,H313)&gt;1,"Ошибка: дубликат URL",IF(E313&gt;TODAY(),"Ошибка: дата публикации в будущем",IF(S313="Да","Ошибка: подтверждённый дубль",IF(S313="","Проверить: отметьте дубль",IF(S313="Нужно проверить","Проверить возможный дубль",IF(TODAY()-E313&gt;30,"Проверить: старше 30 дней",IF(COUNTIFS(#REF!,G313,#REF!,"Готово")=0,"Проверить источник","Готово"))))))))))</f>
        <v/>
      </c>
    </row>
    <row r="314" spans="1:21" ht="25.5" customHeight="1">
      <c r="A314" s="21"/>
      <c r="B314" s="22"/>
      <c r="C314" s="21"/>
      <c r="D314" s="23"/>
      <c r="E314" s="22"/>
      <c r="F314" s="22"/>
      <c r="G314" s="23"/>
      <c r="H314" s="24"/>
      <c r="I314" s="24"/>
      <c r="J314" s="23"/>
      <c r="K314" s="23"/>
      <c r="L314" s="23"/>
      <c r="M314" s="23"/>
      <c r="N314" s="23"/>
      <c r="O314" s="23"/>
      <c r="P314" s="23"/>
      <c r="Q314" s="25"/>
      <c r="R314" s="23"/>
      <c r="S314" s="23"/>
      <c r="T314" s="23"/>
      <c r="U314" s="20" t="str">
        <f ca="1">IF(COUNTA(A314:T314)=0,"",IF(OR(A314="",B314="",C314="",E314="",G314="",H314="",J314="",K314="",L314="",M314=""),"Ошибка: заполните обязательные поля",IF(AND(LEFT(H314,7)&lt;&gt;"http://",LEFT(H314,8)&lt;&gt;"https://"),"Ошибка: некорректная ссылка",IF(COUNTIF($H$6:$H$1005,H314)&gt;1,"Ошибка: дубликат URL",IF(E314&gt;TODAY(),"Ошибка: дата публикации в будущем",IF(S314="Да","Ошибка: подтверждённый дубль",IF(S314="","Проверить: отметьте дубль",IF(S314="Нужно проверить","Проверить возможный дубль",IF(TODAY()-E314&gt;30,"Проверить: старше 30 дней",IF(COUNTIFS(#REF!,G314,#REF!,"Готово")=0,"Проверить источник","Готово"))))))))))</f>
        <v/>
      </c>
    </row>
    <row r="315" spans="1:21" ht="25.5" customHeight="1">
      <c r="A315" s="21"/>
      <c r="B315" s="22"/>
      <c r="C315" s="21"/>
      <c r="D315" s="23"/>
      <c r="E315" s="22"/>
      <c r="F315" s="22"/>
      <c r="G315" s="23"/>
      <c r="H315" s="24"/>
      <c r="I315" s="24"/>
      <c r="J315" s="23"/>
      <c r="K315" s="23"/>
      <c r="L315" s="23"/>
      <c r="M315" s="23"/>
      <c r="N315" s="23"/>
      <c r="O315" s="23"/>
      <c r="P315" s="23"/>
      <c r="Q315" s="25"/>
      <c r="R315" s="23"/>
      <c r="S315" s="23"/>
      <c r="T315" s="23"/>
      <c r="U315" s="20" t="str">
        <f ca="1">IF(COUNTA(A315:T315)=0,"",IF(OR(A315="",B315="",C315="",E315="",G315="",H315="",J315="",K315="",L315="",M315=""),"Ошибка: заполните обязательные поля",IF(AND(LEFT(H315,7)&lt;&gt;"http://",LEFT(H315,8)&lt;&gt;"https://"),"Ошибка: некорректная ссылка",IF(COUNTIF($H$6:$H$1005,H315)&gt;1,"Ошибка: дубликат URL",IF(E315&gt;TODAY(),"Ошибка: дата публикации в будущем",IF(S315="Да","Ошибка: подтверждённый дубль",IF(S315="","Проверить: отметьте дубль",IF(S315="Нужно проверить","Проверить возможный дубль",IF(TODAY()-E315&gt;30,"Проверить: старше 30 дней",IF(COUNTIFS(#REF!,G315,#REF!,"Готово")=0,"Проверить источник","Готово"))))))))))</f>
        <v/>
      </c>
    </row>
    <row r="316" spans="1:21" ht="25.5" customHeight="1">
      <c r="A316" s="21"/>
      <c r="B316" s="22"/>
      <c r="C316" s="21"/>
      <c r="D316" s="23"/>
      <c r="E316" s="22"/>
      <c r="F316" s="22"/>
      <c r="G316" s="23"/>
      <c r="H316" s="24"/>
      <c r="I316" s="24"/>
      <c r="J316" s="23"/>
      <c r="K316" s="23"/>
      <c r="L316" s="23"/>
      <c r="M316" s="23"/>
      <c r="N316" s="23"/>
      <c r="O316" s="23"/>
      <c r="P316" s="23"/>
      <c r="Q316" s="25"/>
      <c r="R316" s="23"/>
      <c r="S316" s="23"/>
      <c r="T316" s="23"/>
      <c r="U316" s="20" t="str">
        <f ca="1">IF(COUNTA(A316:T316)=0,"",IF(OR(A316="",B316="",C316="",E316="",G316="",H316="",J316="",K316="",L316="",M316=""),"Ошибка: заполните обязательные поля",IF(AND(LEFT(H316,7)&lt;&gt;"http://",LEFT(H316,8)&lt;&gt;"https://"),"Ошибка: некорректная ссылка",IF(COUNTIF($H$6:$H$1005,H316)&gt;1,"Ошибка: дубликат URL",IF(E316&gt;TODAY(),"Ошибка: дата публикации в будущем",IF(S316="Да","Ошибка: подтверждённый дубль",IF(S316="","Проверить: отметьте дубль",IF(S316="Нужно проверить","Проверить возможный дубль",IF(TODAY()-E316&gt;30,"Проверить: старше 30 дней",IF(COUNTIFS(#REF!,G316,#REF!,"Готово")=0,"Проверить источник","Готово"))))))))))</f>
        <v/>
      </c>
    </row>
    <row r="317" spans="1:21" ht="25.5" customHeight="1">
      <c r="A317" s="21"/>
      <c r="B317" s="22"/>
      <c r="C317" s="21"/>
      <c r="D317" s="23"/>
      <c r="E317" s="22"/>
      <c r="F317" s="22"/>
      <c r="G317" s="23"/>
      <c r="H317" s="24"/>
      <c r="I317" s="24"/>
      <c r="J317" s="23"/>
      <c r="K317" s="23"/>
      <c r="L317" s="23"/>
      <c r="M317" s="23"/>
      <c r="N317" s="23"/>
      <c r="O317" s="23"/>
      <c r="P317" s="23"/>
      <c r="Q317" s="25"/>
      <c r="R317" s="23"/>
      <c r="S317" s="23"/>
      <c r="T317" s="23"/>
      <c r="U317" s="20" t="str">
        <f ca="1">IF(COUNTA(A317:T317)=0,"",IF(OR(A317="",B317="",C317="",E317="",G317="",H317="",J317="",K317="",L317="",M317=""),"Ошибка: заполните обязательные поля",IF(AND(LEFT(H317,7)&lt;&gt;"http://",LEFT(H317,8)&lt;&gt;"https://"),"Ошибка: некорректная ссылка",IF(COUNTIF($H$6:$H$1005,H317)&gt;1,"Ошибка: дубликат URL",IF(E317&gt;TODAY(),"Ошибка: дата публикации в будущем",IF(S317="Да","Ошибка: подтверждённый дубль",IF(S317="","Проверить: отметьте дубль",IF(S317="Нужно проверить","Проверить возможный дубль",IF(TODAY()-E317&gt;30,"Проверить: старше 30 дней",IF(COUNTIFS(#REF!,G317,#REF!,"Готово")=0,"Проверить источник","Готово"))))))))))</f>
        <v/>
      </c>
    </row>
    <row r="318" spans="1:21" ht="25.5" customHeight="1">
      <c r="A318" s="21"/>
      <c r="B318" s="22"/>
      <c r="C318" s="21"/>
      <c r="D318" s="23"/>
      <c r="E318" s="22"/>
      <c r="F318" s="22"/>
      <c r="G318" s="23"/>
      <c r="H318" s="24"/>
      <c r="I318" s="24"/>
      <c r="J318" s="23"/>
      <c r="K318" s="23"/>
      <c r="L318" s="23"/>
      <c r="M318" s="23"/>
      <c r="N318" s="23"/>
      <c r="O318" s="23"/>
      <c r="P318" s="23"/>
      <c r="Q318" s="25"/>
      <c r="R318" s="23"/>
      <c r="S318" s="23"/>
      <c r="T318" s="23"/>
      <c r="U318" s="20" t="str">
        <f ca="1">IF(COUNTA(A318:T318)=0,"",IF(OR(A318="",B318="",C318="",E318="",G318="",H318="",J318="",K318="",L318="",M318=""),"Ошибка: заполните обязательные поля",IF(AND(LEFT(H318,7)&lt;&gt;"http://",LEFT(H318,8)&lt;&gt;"https://"),"Ошибка: некорректная ссылка",IF(COUNTIF($H$6:$H$1005,H318)&gt;1,"Ошибка: дубликат URL",IF(E318&gt;TODAY(),"Ошибка: дата публикации в будущем",IF(S318="Да","Ошибка: подтверждённый дубль",IF(S318="","Проверить: отметьте дубль",IF(S318="Нужно проверить","Проверить возможный дубль",IF(TODAY()-E318&gt;30,"Проверить: старше 30 дней",IF(COUNTIFS(#REF!,G318,#REF!,"Готово")=0,"Проверить источник","Готово"))))))))))</f>
        <v/>
      </c>
    </row>
    <row r="319" spans="1:21" ht="25.5" customHeight="1">
      <c r="A319" s="21"/>
      <c r="B319" s="22"/>
      <c r="C319" s="21"/>
      <c r="D319" s="23"/>
      <c r="E319" s="22"/>
      <c r="F319" s="22"/>
      <c r="G319" s="23"/>
      <c r="H319" s="24"/>
      <c r="I319" s="24"/>
      <c r="J319" s="23"/>
      <c r="K319" s="23"/>
      <c r="L319" s="23"/>
      <c r="M319" s="23"/>
      <c r="N319" s="23"/>
      <c r="O319" s="23"/>
      <c r="P319" s="23"/>
      <c r="Q319" s="25"/>
      <c r="R319" s="23"/>
      <c r="S319" s="23"/>
      <c r="T319" s="23"/>
      <c r="U319" s="20" t="str">
        <f ca="1">IF(COUNTA(A319:T319)=0,"",IF(OR(A319="",B319="",C319="",E319="",G319="",H319="",J319="",K319="",L319="",M319=""),"Ошибка: заполните обязательные поля",IF(AND(LEFT(H319,7)&lt;&gt;"http://",LEFT(H319,8)&lt;&gt;"https://"),"Ошибка: некорректная ссылка",IF(COUNTIF($H$6:$H$1005,H319)&gt;1,"Ошибка: дубликат URL",IF(E319&gt;TODAY(),"Ошибка: дата публикации в будущем",IF(S319="Да","Ошибка: подтверждённый дубль",IF(S319="","Проверить: отметьте дубль",IF(S319="Нужно проверить","Проверить возможный дубль",IF(TODAY()-E319&gt;30,"Проверить: старше 30 дней",IF(COUNTIFS(#REF!,G319,#REF!,"Готово")=0,"Проверить источник","Готово"))))))))))</f>
        <v/>
      </c>
    </row>
    <row r="320" spans="1:21" ht="25.5" customHeight="1">
      <c r="A320" s="21"/>
      <c r="B320" s="22"/>
      <c r="C320" s="21"/>
      <c r="D320" s="23"/>
      <c r="E320" s="22"/>
      <c r="F320" s="22"/>
      <c r="G320" s="23"/>
      <c r="H320" s="24"/>
      <c r="I320" s="24"/>
      <c r="J320" s="23"/>
      <c r="K320" s="23"/>
      <c r="L320" s="23"/>
      <c r="M320" s="23"/>
      <c r="N320" s="23"/>
      <c r="O320" s="23"/>
      <c r="P320" s="23"/>
      <c r="Q320" s="25"/>
      <c r="R320" s="23"/>
      <c r="S320" s="23"/>
      <c r="T320" s="23"/>
      <c r="U320" s="20" t="str">
        <f ca="1">IF(COUNTA(A320:T320)=0,"",IF(OR(A320="",B320="",C320="",E320="",G320="",H320="",J320="",K320="",L320="",M320=""),"Ошибка: заполните обязательные поля",IF(AND(LEFT(H320,7)&lt;&gt;"http://",LEFT(H320,8)&lt;&gt;"https://"),"Ошибка: некорректная ссылка",IF(COUNTIF($H$6:$H$1005,H320)&gt;1,"Ошибка: дубликат URL",IF(E320&gt;TODAY(),"Ошибка: дата публикации в будущем",IF(S320="Да","Ошибка: подтверждённый дубль",IF(S320="","Проверить: отметьте дубль",IF(S320="Нужно проверить","Проверить возможный дубль",IF(TODAY()-E320&gt;30,"Проверить: старше 30 дней",IF(COUNTIFS(#REF!,G320,#REF!,"Готово")=0,"Проверить источник","Готово"))))))))))</f>
        <v/>
      </c>
    </row>
    <row r="321" spans="1:21" ht="25.5" customHeight="1">
      <c r="A321" s="21"/>
      <c r="B321" s="22"/>
      <c r="C321" s="21"/>
      <c r="D321" s="23"/>
      <c r="E321" s="22"/>
      <c r="F321" s="22"/>
      <c r="G321" s="23"/>
      <c r="H321" s="24"/>
      <c r="I321" s="24"/>
      <c r="J321" s="23"/>
      <c r="K321" s="23"/>
      <c r="L321" s="23"/>
      <c r="M321" s="23"/>
      <c r="N321" s="23"/>
      <c r="O321" s="23"/>
      <c r="P321" s="23"/>
      <c r="Q321" s="25"/>
      <c r="R321" s="23"/>
      <c r="S321" s="23"/>
      <c r="T321" s="23"/>
      <c r="U321" s="20" t="str">
        <f ca="1">IF(COUNTA(A321:T321)=0,"",IF(OR(A321="",B321="",C321="",E321="",G321="",H321="",J321="",K321="",L321="",M321=""),"Ошибка: заполните обязательные поля",IF(AND(LEFT(H321,7)&lt;&gt;"http://",LEFT(H321,8)&lt;&gt;"https://"),"Ошибка: некорректная ссылка",IF(COUNTIF($H$6:$H$1005,H321)&gt;1,"Ошибка: дубликат URL",IF(E321&gt;TODAY(),"Ошибка: дата публикации в будущем",IF(S321="Да","Ошибка: подтверждённый дубль",IF(S321="","Проверить: отметьте дубль",IF(S321="Нужно проверить","Проверить возможный дубль",IF(TODAY()-E321&gt;30,"Проверить: старше 30 дней",IF(COUNTIFS(#REF!,G321,#REF!,"Готово")=0,"Проверить источник","Готово"))))))))))</f>
        <v/>
      </c>
    </row>
    <row r="322" spans="1:21" ht="25.5" customHeight="1">
      <c r="A322" s="21"/>
      <c r="B322" s="22"/>
      <c r="C322" s="21"/>
      <c r="D322" s="23"/>
      <c r="E322" s="22"/>
      <c r="F322" s="22"/>
      <c r="G322" s="23"/>
      <c r="H322" s="24"/>
      <c r="I322" s="24"/>
      <c r="J322" s="23"/>
      <c r="K322" s="23"/>
      <c r="L322" s="23"/>
      <c r="M322" s="23"/>
      <c r="N322" s="23"/>
      <c r="O322" s="23"/>
      <c r="P322" s="23"/>
      <c r="Q322" s="25"/>
      <c r="R322" s="23"/>
      <c r="S322" s="23"/>
      <c r="T322" s="23"/>
      <c r="U322" s="20" t="str">
        <f ca="1">IF(COUNTA(A322:T322)=0,"",IF(OR(A322="",B322="",C322="",E322="",G322="",H322="",J322="",K322="",L322="",M322=""),"Ошибка: заполните обязательные поля",IF(AND(LEFT(H322,7)&lt;&gt;"http://",LEFT(H322,8)&lt;&gt;"https://"),"Ошибка: некорректная ссылка",IF(COUNTIF($H$6:$H$1005,H322)&gt;1,"Ошибка: дубликат URL",IF(E322&gt;TODAY(),"Ошибка: дата публикации в будущем",IF(S322="Да","Ошибка: подтверждённый дубль",IF(S322="","Проверить: отметьте дубль",IF(S322="Нужно проверить","Проверить возможный дубль",IF(TODAY()-E322&gt;30,"Проверить: старше 30 дней",IF(COUNTIFS(#REF!,G322,#REF!,"Готово")=0,"Проверить источник","Готово"))))))))))</f>
        <v/>
      </c>
    </row>
    <row r="323" spans="1:21" ht="25.5" customHeight="1">
      <c r="A323" s="21"/>
      <c r="B323" s="22"/>
      <c r="C323" s="21"/>
      <c r="D323" s="23"/>
      <c r="E323" s="22"/>
      <c r="F323" s="22"/>
      <c r="G323" s="23"/>
      <c r="H323" s="24"/>
      <c r="I323" s="24"/>
      <c r="J323" s="23"/>
      <c r="K323" s="23"/>
      <c r="L323" s="23"/>
      <c r="M323" s="23"/>
      <c r="N323" s="23"/>
      <c r="O323" s="23"/>
      <c r="P323" s="23"/>
      <c r="Q323" s="25"/>
      <c r="R323" s="23"/>
      <c r="S323" s="23"/>
      <c r="T323" s="23"/>
      <c r="U323" s="20" t="str">
        <f ca="1">IF(COUNTA(A323:T323)=0,"",IF(OR(A323="",B323="",C323="",E323="",G323="",H323="",J323="",K323="",L323="",M323=""),"Ошибка: заполните обязательные поля",IF(AND(LEFT(H323,7)&lt;&gt;"http://",LEFT(H323,8)&lt;&gt;"https://"),"Ошибка: некорректная ссылка",IF(COUNTIF($H$6:$H$1005,H323)&gt;1,"Ошибка: дубликат URL",IF(E323&gt;TODAY(),"Ошибка: дата публикации в будущем",IF(S323="Да","Ошибка: подтверждённый дубль",IF(S323="","Проверить: отметьте дубль",IF(S323="Нужно проверить","Проверить возможный дубль",IF(TODAY()-E323&gt;30,"Проверить: старше 30 дней",IF(COUNTIFS(#REF!,G323,#REF!,"Готово")=0,"Проверить источник","Готово"))))))))))</f>
        <v/>
      </c>
    </row>
    <row r="324" spans="1:21" ht="25.5" customHeight="1">
      <c r="A324" s="21"/>
      <c r="B324" s="22"/>
      <c r="C324" s="21"/>
      <c r="D324" s="23"/>
      <c r="E324" s="22"/>
      <c r="F324" s="22"/>
      <c r="G324" s="23"/>
      <c r="H324" s="24"/>
      <c r="I324" s="24"/>
      <c r="J324" s="23"/>
      <c r="K324" s="23"/>
      <c r="L324" s="23"/>
      <c r="M324" s="23"/>
      <c r="N324" s="23"/>
      <c r="O324" s="23"/>
      <c r="P324" s="23"/>
      <c r="Q324" s="25"/>
      <c r="R324" s="23"/>
      <c r="S324" s="23"/>
      <c r="T324" s="23"/>
      <c r="U324" s="20" t="str">
        <f ca="1">IF(COUNTA(A324:T324)=0,"",IF(OR(A324="",B324="",C324="",E324="",G324="",H324="",J324="",K324="",L324="",M324=""),"Ошибка: заполните обязательные поля",IF(AND(LEFT(H324,7)&lt;&gt;"http://",LEFT(H324,8)&lt;&gt;"https://"),"Ошибка: некорректная ссылка",IF(COUNTIF($H$6:$H$1005,H324)&gt;1,"Ошибка: дубликат URL",IF(E324&gt;TODAY(),"Ошибка: дата публикации в будущем",IF(S324="Да","Ошибка: подтверждённый дубль",IF(S324="","Проверить: отметьте дубль",IF(S324="Нужно проверить","Проверить возможный дубль",IF(TODAY()-E324&gt;30,"Проверить: старше 30 дней",IF(COUNTIFS(#REF!,G324,#REF!,"Готово")=0,"Проверить источник","Готово"))))))))))</f>
        <v/>
      </c>
    </row>
    <row r="325" spans="1:21" ht="25.5" customHeight="1">
      <c r="A325" s="21"/>
      <c r="B325" s="22"/>
      <c r="C325" s="21"/>
      <c r="D325" s="23"/>
      <c r="E325" s="22"/>
      <c r="F325" s="22"/>
      <c r="G325" s="23"/>
      <c r="H325" s="24"/>
      <c r="I325" s="24"/>
      <c r="J325" s="23"/>
      <c r="K325" s="23"/>
      <c r="L325" s="23"/>
      <c r="M325" s="23"/>
      <c r="N325" s="23"/>
      <c r="O325" s="23"/>
      <c r="P325" s="23"/>
      <c r="Q325" s="25"/>
      <c r="R325" s="23"/>
      <c r="S325" s="23"/>
      <c r="T325" s="23"/>
      <c r="U325" s="20" t="str">
        <f ca="1">IF(COUNTA(A325:T325)=0,"",IF(OR(A325="",B325="",C325="",E325="",G325="",H325="",J325="",K325="",L325="",M325=""),"Ошибка: заполните обязательные поля",IF(AND(LEFT(H325,7)&lt;&gt;"http://",LEFT(H325,8)&lt;&gt;"https://"),"Ошибка: некорректная ссылка",IF(COUNTIF($H$6:$H$1005,H325)&gt;1,"Ошибка: дубликат URL",IF(E325&gt;TODAY(),"Ошибка: дата публикации в будущем",IF(S325="Да","Ошибка: подтверждённый дубль",IF(S325="","Проверить: отметьте дубль",IF(S325="Нужно проверить","Проверить возможный дубль",IF(TODAY()-E325&gt;30,"Проверить: старше 30 дней",IF(COUNTIFS(#REF!,G325,#REF!,"Готово")=0,"Проверить источник","Готово"))))))))))</f>
        <v/>
      </c>
    </row>
    <row r="326" spans="1:21" ht="25.5" customHeight="1">
      <c r="A326" s="21"/>
      <c r="B326" s="22"/>
      <c r="C326" s="21"/>
      <c r="D326" s="23"/>
      <c r="E326" s="22"/>
      <c r="F326" s="22"/>
      <c r="G326" s="23"/>
      <c r="H326" s="24"/>
      <c r="I326" s="24"/>
      <c r="J326" s="23"/>
      <c r="K326" s="23"/>
      <c r="L326" s="23"/>
      <c r="M326" s="23"/>
      <c r="N326" s="23"/>
      <c r="O326" s="23"/>
      <c r="P326" s="23"/>
      <c r="Q326" s="25"/>
      <c r="R326" s="23"/>
      <c r="S326" s="23"/>
      <c r="T326" s="23"/>
      <c r="U326" s="20" t="str">
        <f ca="1">IF(COUNTA(A326:T326)=0,"",IF(OR(A326="",B326="",C326="",E326="",G326="",H326="",J326="",K326="",L326="",M326=""),"Ошибка: заполните обязательные поля",IF(AND(LEFT(H326,7)&lt;&gt;"http://",LEFT(H326,8)&lt;&gt;"https://"),"Ошибка: некорректная ссылка",IF(COUNTIF($H$6:$H$1005,H326)&gt;1,"Ошибка: дубликат URL",IF(E326&gt;TODAY(),"Ошибка: дата публикации в будущем",IF(S326="Да","Ошибка: подтверждённый дубль",IF(S326="","Проверить: отметьте дубль",IF(S326="Нужно проверить","Проверить возможный дубль",IF(TODAY()-E326&gt;30,"Проверить: старше 30 дней",IF(COUNTIFS(#REF!,G326,#REF!,"Готово")=0,"Проверить источник","Готово"))))))))))</f>
        <v/>
      </c>
    </row>
    <row r="327" spans="1:21" ht="25.5" customHeight="1">
      <c r="A327" s="21"/>
      <c r="B327" s="22"/>
      <c r="C327" s="21"/>
      <c r="D327" s="23"/>
      <c r="E327" s="22"/>
      <c r="F327" s="22"/>
      <c r="G327" s="23"/>
      <c r="H327" s="24"/>
      <c r="I327" s="24"/>
      <c r="J327" s="23"/>
      <c r="K327" s="23"/>
      <c r="L327" s="23"/>
      <c r="M327" s="23"/>
      <c r="N327" s="23"/>
      <c r="O327" s="23"/>
      <c r="P327" s="23"/>
      <c r="Q327" s="25"/>
      <c r="R327" s="23"/>
      <c r="S327" s="23"/>
      <c r="T327" s="23"/>
      <c r="U327" s="20" t="str">
        <f ca="1">IF(COUNTA(A327:T327)=0,"",IF(OR(A327="",B327="",C327="",E327="",G327="",H327="",J327="",K327="",L327="",M327=""),"Ошибка: заполните обязательные поля",IF(AND(LEFT(H327,7)&lt;&gt;"http://",LEFT(H327,8)&lt;&gt;"https://"),"Ошибка: некорректная ссылка",IF(COUNTIF($H$6:$H$1005,H327)&gt;1,"Ошибка: дубликат URL",IF(E327&gt;TODAY(),"Ошибка: дата публикации в будущем",IF(S327="Да","Ошибка: подтверждённый дубль",IF(S327="","Проверить: отметьте дубль",IF(S327="Нужно проверить","Проверить возможный дубль",IF(TODAY()-E327&gt;30,"Проверить: старше 30 дней",IF(COUNTIFS(#REF!,G327,#REF!,"Готово")=0,"Проверить источник","Готово"))))))))))</f>
        <v/>
      </c>
    </row>
    <row r="328" spans="1:21" ht="25.5" customHeight="1">
      <c r="A328" s="21"/>
      <c r="B328" s="22"/>
      <c r="C328" s="21"/>
      <c r="D328" s="23"/>
      <c r="E328" s="22"/>
      <c r="F328" s="22"/>
      <c r="G328" s="23"/>
      <c r="H328" s="24"/>
      <c r="I328" s="24"/>
      <c r="J328" s="23"/>
      <c r="K328" s="23"/>
      <c r="L328" s="23"/>
      <c r="M328" s="23"/>
      <c r="N328" s="23"/>
      <c r="O328" s="23"/>
      <c r="P328" s="23"/>
      <c r="Q328" s="25"/>
      <c r="R328" s="23"/>
      <c r="S328" s="23"/>
      <c r="T328" s="23"/>
      <c r="U328" s="20" t="str">
        <f ca="1">IF(COUNTA(A328:T328)=0,"",IF(OR(A328="",B328="",C328="",E328="",G328="",H328="",J328="",K328="",L328="",M328=""),"Ошибка: заполните обязательные поля",IF(AND(LEFT(H328,7)&lt;&gt;"http://",LEFT(H328,8)&lt;&gt;"https://"),"Ошибка: некорректная ссылка",IF(COUNTIF($H$6:$H$1005,H328)&gt;1,"Ошибка: дубликат URL",IF(E328&gt;TODAY(),"Ошибка: дата публикации в будущем",IF(S328="Да","Ошибка: подтверждённый дубль",IF(S328="","Проверить: отметьте дубль",IF(S328="Нужно проверить","Проверить возможный дубль",IF(TODAY()-E328&gt;30,"Проверить: старше 30 дней",IF(COUNTIFS(#REF!,G328,#REF!,"Готово")=0,"Проверить источник","Готово"))))))))))</f>
        <v/>
      </c>
    </row>
    <row r="329" spans="1:21" ht="25.5" customHeight="1">
      <c r="A329" s="21"/>
      <c r="B329" s="22"/>
      <c r="C329" s="21"/>
      <c r="D329" s="23"/>
      <c r="E329" s="22"/>
      <c r="F329" s="22"/>
      <c r="G329" s="23"/>
      <c r="H329" s="24"/>
      <c r="I329" s="24"/>
      <c r="J329" s="23"/>
      <c r="K329" s="23"/>
      <c r="L329" s="23"/>
      <c r="M329" s="23"/>
      <c r="N329" s="23"/>
      <c r="O329" s="23"/>
      <c r="P329" s="23"/>
      <c r="Q329" s="25"/>
      <c r="R329" s="23"/>
      <c r="S329" s="23"/>
      <c r="T329" s="23"/>
      <c r="U329" s="20" t="str">
        <f ca="1">IF(COUNTA(A329:T329)=0,"",IF(OR(A329="",B329="",C329="",E329="",G329="",H329="",J329="",K329="",L329="",M329=""),"Ошибка: заполните обязательные поля",IF(AND(LEFT(H329,7)&lt;&gt;"http://",LEFT(H329,8)&lt;&gt;"https://"),"Ошибка: некорректная ссылка",IF(COUNTIF($H$6:$H$1005,H329)&gt;1,"Ошибка: дубликат URL",IF(E329&gt;TODAY(),"Ошибка: дата публикации в будущем",IF(S329="Да","Ошибка: подтверждённый дубль",IF(S329="","Проверить: отметьте дубль",IF(S329="Нужно проверить","Проверить возможный дубль",IF(TODAY()-E329&gt;30,"Проверить: старше 30 дней",IF(COUNTIFS(#REF!,G329,#REF!,"Готово")=0,"Проверить источник","Готово"))))))))))</f>
        <v/>
      </c>
    </row>
    <row r="330" spans="1:21" ht="25.5" customHeight="1">
      <c r="A330" s="21"/>
      <c r="B330" s="22"/>
      <c r="C330" s="21"/>
      <c r="D330" s="23"/>
      <c r="E330" s="22"/>
      <c r="F330" s="22"/>
      <c r="G330" s="23"/>
      <c r="H330" s="24"/>
      <c r="I330" s="24"/>
      <c r="J330" s="23"/>
      <c r="K330" s="23"/>
      <c r="L330" s="23"/>
      <c r="M330" s="23"/>
      <c r="N330" s="23"/>
      <c r="O330" s="23"/>
      <c r="P330" s="23"/>
      <c r="Q330" s="25"/>
      <c r="R330" s="23"/>
      <c r="S330" s="23"/>
      <c r="T330" s="23"/>
      <c r="U330" s="20" t="str">
        <f ca="1">IF(COUNTA(A330:T330)=0,"",IF(OR(A330="",B330="",C330="",E330="",G330="",H330="",J330="",K330="",L330="",M330=""),"Ошибка: заполните обязательные поля",IF(AND(LEFT(H330,7)&lt;&gt;"http://",LEFT(H330,8)&lt;&gt;"https://"),"Ошибка: некорректная ссылка",IF(COUNTIF($H$6:$H$1005,H330)&gt;1,"Ошибка: дубликат URL",IF(E330&gt;TODAY(),"Ошибка: дата публикации в будущем",IF(S330="Да","Ошибка: подтверждённый дубль",IF(S330="","Проверить: отметьте дубль",IF(S330="Нужно проверить","Проверить возможный дубль",IF(TODAY()-E330&gt;30,"Проверить: старше 30 дней",IF(COUNTIFS(#REF!,G330,#REF!,"Готово")=0,"Проверить источник","Готово"))))))))))</f>
        <v/>
      </c>
    </row>
    <row r="331" spans="1:21" ht="25.5" customHeight="1">
      <c r="A331" s="21"/>
      <c r="B331" s="22"/>
      <c r="C331" s="21"/>
      <c r="D331" s="23"/>
      <c r="E331" s="22"/>
      <c r="F331" s="22"/>
      <c r="G331" s="23"/>
      <c r="H331" s="24"/>
      <c r="I331" s="24"/>
      <c r="J331" s="23"/>
      <c r="K331" s="23"/>
      <c r="L331" s="23"/>
      <c r="M331" s="23"/>
      <c r="N331" s="23"/>
      <c r="O331" s="23"/>
      <c r="P331" s="23"/>
      <c r="Q331" s="25"/>
      <c r="R331" s="23"/>
      <c r="S331" s="23"/>
      <c r="T331" s="23"/>
      <c r="U331" s="20" t="str">
        <f ca="1">IF(COUNTA(A331:T331)=0,"",IF(OR(A331="",B331="",C331="",E331="",G331="",H331="",J331="",K331="",L331="",M331=""),"Ошибка: заполните обязательные поля",IF(AND(LEFT(H331,7)&lt;&gt;"http://",LEFT(H331,8)&lt;&gt;"https://"),"Ошибка: некорректная ссылка",IF(COUNTIF($H$6:$H$1005,H331)&gt;1,"Ошибка: дубликат URL",IF(E331&gt;TODAY(),"Ошибка: дата публикации в будущем",IF(S331="Да","Ошибка: подтверждённый дубль",IF(S331="","Проверить: отметьте дубль",IF(S331="Нужно проверить","Проверить возможный дубль",IF(TODAY()-E331&gt;30,"Проверить: старше 30 дней",IF(COUNTIFS(#REF!,G331,#REF!,"Готово")=0,"Проверить источник","Готово"))))))))))</f>
        <v/>
      </c>
    </row>
    <row r="332" spans="1:21" ht="25.5" customHeight="1">
      <c r="A332" s="21"/>
      <c r="B332" s="22"/>
      <c r="C332" s="21"/>
      <c r="D332" s="23"/>
      <c r="E332" s="22"/>
      <c r="F332" s="22"/>
      <c r="G332" s="23"/>
      <c r="H332" s="24"/>
      <c r="I332" s="24"/>
      <c r="J332" s="23"/>
      <c r="K332" s="23"/>
      <c r="L332" s="23"/>
      <c r="M332" s="23"/>
      <c r="N332" s="23"/>
      <c r="O332" s="23"/>
      <c r="P332" s="23"/>
      <c r="Q332" s="25"/>
      <c r="R332" s="23"/>
      <c r="S332" s="23"/>
      <c r="T332" s="23"/>
      <c r="U332" s="20" t="str">
        <f ca="1">IF(COUNTA(A332:T332)=0,"",IF(OR(A332="",B332="",C332="",E332="",G332="",H332="",J332="",K332="",L332="",M332=""),"Ошибка: заполните обязательные поля",IF(AND(LEFT(H332,7)&lt;&gt;"http://",LEFT(H332,8)&lt;&gt;"https://"),"Ошибка: некорректная ссылка",IF(COUNTIF($H$6:$H$1005,H332)&gt;1,"Ошибка: дубликат URL",IF(E332&gt;TODAY(),"Ошибка: дата публикации в будущем",IF(S332="Да","Ошибка: подтверждённый дубль",IF(S332="","Проверить: отметьте дубль",IF(S332="Нужно проверить","Проверить возможный дубль",IF(TODAY()-E332&gt;30,"Проверить: старше 30 дней",IF(COUNTIFS(#REF!,G332,#REF!,"Готово")=0,"Проверить источник","Готово"))))))))))</f>
        <v/>
      </c>
    </row>
    <row r="333" spans="1:21" ht="25.5" customHeight="1">
      <c r="A333" s="21"/>
      <c r="B333" s="22"/>
      <c r="C333" s="21"/>
      <c r="D333" s="23"/>
      <c r="E333" s="22"/>
      <c r="F333" s="22"/>
      <c r="G333" s="23"/>
      <c r="H333" s="24"/>
      <c r="I333" s="24"/>
      <c r="J333" s="23"/>
      <c r="K333" s="23"/>
      <c r="L333" s="23"/>
      <c r="M333" s="23"/>
      <c r="N333" s="23"/>
      <c r="O333" s="23"/>
      <c r="P333" s="23"/>
      <c r="Q333" s="25"/>
      <c r="R333" s="23"/>
      <c r="S333" s="23"/>
      <c r="T333" s="23"/>
      <c r="U333" s="20" t="str">
        <f ca="1">IF(COUNTA(A333:T333)=0,"",IF(OR(A333="",B333="",C333="",E333="",G333="",H333="",J333="",K333="",L333="",M333=""),"Ошибка: заполните обязательные поля",IF(AND(LEFT(H333,7)&lt;&gt;"http://",LEFT(H333,8)&lt;&gt;"https://"),"Ошибка: некорректная ссылка",IF(COUNTIF($H$6:$H$1005,H333)&gt;1,"Ошибка: дубликат URL",IF(E333&gt;TODAY(),"Ошибка: дата публикации в будущем",IF(S333="Да","Ошибка: подтверждённый дубль",IF(S333="","Проверить: отметьте дубль",IF(S333="Нужно проверить","Проверить возможный дубль",IF(TODAY()-E333&gt;30,"Проверить: старше 30 дней",IF(COUNTIFS(#REF!,G333,#REF!,"Готово")=0,"Проверить источник","Готово"))))))))))</f>
        <v/>
      </c>
    </row>
    <row r="334" spans="1:21" ht="25.5" customHeight="1">
      <c r="A334" s="21"/>
      <c r="B334" s="22"/>
      <c r="C334" s="21"/>
      <c r="D334" s="23"/>
      <c r="E334" s="22"/>
      <c r="F334" s="22"/>
      <c r="G334" s="23"/>
      <c r="H334" s="24"/>
      <c r="I334" s="24"/>
      <c r="J334" s="23"/>
      <c r="K334" s="23"/>
      <c r="L334" s="23"/>
      <c r="M334" s="23"/>
      <c r="N334" s="23"/>
      <c r="O334" s="23"/>
      <c r="P334" s="23"/>
      <c r="Q334" s="25"/>
      <c r="R334" s="23"/>
      <c r="S334" s="23"/>
      <c r="T334" s="23"/>
      <c r="U334" s="20" t="str">
        <f ca="1">IF(COUNTA(A334:T334)=0,"",IF(OR(A334="",B334="",C334="",E334="",G334="",H334="",J334="",K334="",L334="",M334=""),"Ошибка: заполните обязательные поля",IF(AND(LEFT(H334,7)&lt;&gt;"http://",LEFT(H334,8)&lt;&gt;"https://"),"Ошибка: некорректная ссылка",IF(COUNTIF($H$6:$H$1005,H334)&gt;1,"Ошибка: дубликат URL",IF(E334&gt;TODAY(),"Ошибка: дата публикации в будущем",IF(S334="Да","Ошибка: подтверждённый дубль",IF(S334="","Проверить: отметьте дубль",IF(S334="Нужно проверить","Проверить возможный дубль",IF(TODAY()-E334&gt;30,"Проверить: старше 30 дней",IF(COUNTIFS(#REF!,G334,#REF!,"Готово")=0,"Проверить источник","Готово"))))))))))</f>
        <v/>
      </c>
    </row>
    <row r="335" spans="1:21" ht="25.5" customHeight="1">
      <c r="A335" s="21"/>
      <c r="B335" s="22"/>
      <c r="C335" s="21"/>
      <c r="D335" s="23"/>
      <c r="E335" s="22"/>
      <c r="F335" s="22"/>
      <c r="G335" s="23"/>
      <c r="H335" s="24"/>
      <c r="I335" s="24"/>
      <c r="J335" s="23"/>
      <c r="K335" s="23"/>
      <c r="L335" s="23"/>
      <c r="M335" s="23"/>
      <c r="N335" s="23"/>
      <c r="O335" s="23"/>
      <c r="P335" s="23"/>
      <c r="Q335" s="25"/>
      <c r="R335" s="23"/>
      <c r="S335" s="23"/>
      <c r="T335" s="23"/>
      <c r="U335" s="20" t="str">
        <f ca="1">IF(COUNTA(A335:T335)=0,"",IF(OR(A335="",B335="",C335="",E335="",G335="",H335="",J335="",K335="",L335="",M335=""),"Ошибка: заполните обязательные поля",IF(AND(LEFT(H335,7)&lt;&gt;"http://",LEFT(H335,8)&lt;&gt;"https://"),"Ошибка: некорректная ссылка",IF(COUNTIF($H$6:$H$1005,H335)&gt;1,"Ошибка: дубликат URL",IF(E335&gt;TODAY(),"Ошибка: дата публикации в будущем",IF(S335="Да","Ошибка: подтверждённый дубль",IF(S335="","Проверить: отметьте дубль",IF(S335="Нужно проверить","Проверить возможный дубль",IF(TODAY()-E335&gt;30,"Проверить: старше 30 дней",IF(COUNTIFS(#REF!,G335,#REF!,"Готово")=0,"Проверить источник","Готово"))))))))))</f>
        <v/>
      </c>
    </row>
    <row r="336" spans="1:21" ht="25.5" customHeight="1">
      <c r="A336" s="21"/>
      <c r="B336" s="22"/>
      <c r="C336" s="21"/>
      <c r="D336" s="23"/>
      <c r="E336" s="22"/>
      <c r="F336" s="22"/>
      <c r="G336" s="23"/>
      <c r="H336" s="24"/>
      <c r="I336" s="24"/>
      <c r="J336" s="23"/>
      <c r="K336" s="23"/>
      <c r="L336" s="23"/>
      <c r="M336" s="23"/>
      <c r="N336" s="23"/>
      <c r="O336" s="23"/>
      <c r="P336" s="23"/>
      <c r="Q336" s="25"/>
      <c r="R336" s="23"/>
      <c r="S336" s="23"/>
      <c r="T336" s="23"/>
      <c r="U336" s="20" t="str">
        <f ca="1">IF(COUNTA(A336:T336)=0,"",IF(OR(A336="",B336="",C336="",E336="",G336="",H336="",J336="",K336="",L336="",M336=""),"Ошибка: заполните обязательные поля",IF(AND(LEFT(H336,7)&lt;&gt;"http://",LEFT(H336,8)&lt;&gt;"https://"),"Ошибка: некорректная ссылка",IF(COUNTIF($H$6:$H$1005,H336)&gt;1,"Ошибка: дубликат URL",IF(E336&gt;TODAY(),"Ошибка: дата публикации в будущем",IF(S336="Да","Ошибка: подтверждённый дубль",IF(S336="","Проверить: отметьте дубль",IF(S336="Нужно проверить","Проверить возможный дубль",IF(TODAY()-E336&gt;30,"Проверить: старше 30 дней",IF(COUNTIFS(#REF!,G336,#REF!,"Готово")=0,"Проверить источник","Готово"))))))))))</f>
        <v/>
      </c>
    </row>
    <row r="337" spans="1:21" ht="25.5" customHeight="1">
      <c r="A337" s="21"/>
      <c r="B337" s="22"/>
      <c r="C337" s="21"/>
      <c r="D337" s="23"/>
      <c r="E337" s="22"/>
      <c r="F337" s="22"/>
      <c r="G337" s="23"/>
      <c r="H337" s="24"/>
      <c r="I337" s="24"/>
      <c r="J337" s="23"/>
      <c r="K337" s="23"/>
      <c r="L337" s="23"/>
      <c r="M337" s="23"/>
      <c r="N337" s="23"/>
      <c r="O337" s="23"/>
      <c r="P337" s="23"/>
      <c r="Q337" s="25"/>
      <c r="R337" s="23"/>
      <c r="S337" s="23"/>
      <c r="T337" s="23"/>
      <c r="U337" s="20" t="str">
        <f ca="1">IF(COUNTA(A337:T337)=0,"",IF(OR(A337="",B337="",C337="",E337="",G337="",H337="",J337="",K337="",L337="",M337=""),"Ошибка: заполните обязательные поля",IF(AND(LEFT(H337,7)&lt;&gt;"http://",LEFT(H337,8)&lt;&gt;"https://"),"Ошибка: некорректная ссылка",IF(COUNTIF($H$6:$H$1005,H337)&gt;1,"Ошибка: дубликат URL",IF(E337&gt;TODAY(),"Ошибка: дата публикации в будущем",IF(S337="Да","Ошибка: подтверждённый дубль",IF(S337="","Проверить: отметьте дубль",IF(S337="Нужно проверить","Проверить возможный дубль",IF(TODAY()-E337&gt;30,"Проверить: старше 30 дней",IF(COUNTIFS(#REF!,G337,#REF!,"Готово")=0,"Проверить источник","Готово"))))))))))</f>
        <v/>
      </c>
    </row>
    <row r="338" spans="1:21" ht="25.5" customHeight="1">
      <c r="A338" s="21"/>
      <c r="B338" s="22"/>
      <c r="C338" s="21"/>
      <c r="D338" s="23"/>
      <c r="E338" s="22"/>
      <c r="F338" s="22"/>
      <c r="G338" s="23"/>
      <c r="H338" s="24"/>
      <c r="I338" s="24"/>
      <c r="J338" s="23"/>
      <c r="K338" s="23"/>
      <c r="L338" s="23"/>
      <c r="M338" s="23"/>
      <c r="N338" s="23"/>
      <c r="O338" s="23"/>
      <c r="P338" s="23"/>
      <c r="Q338" s="25"/>
      <c r="R338" s="23"/>
      <c r="S338" s="23"/>
      <c r="T338" s="23"/>
      <c r="U338" s="20" t="str">
        <f ca="1">IF(COUNTA(A338:T338)=0,"",IF(OR(A338="",B338="",C338="",E338="",G338="",H338="",J338="",K338="",L338="",M338=""),"Ошибка: заполните обязательные поля",IF(AND(LEFT(H338,7)&lt;&gt;"http://",LEFT(H338,8)&lt;&gt;"https://"),"Ошибка: некорректная ссылка",IF(COUNTIF($H$6:$H$1005,H338)&gt;1,"Ошибка: дубликат URL",IF(E338&gt;TODAY(),"Ошибка: дата публикации в будущем",IF(S338="Да","Ошибка: подтверждённый дубль",IF(S338="","Проверить: отметьте дубль",IF(S338="Нужно проверить","Проверить возможный дубль",IF(TODAY()-E338&gt;30,"Проверить: старше 30 дней",IF(COUNTIFS(#REF!,G338,#REF!,"Готово")=0,"Проверить источник","Готово"))))))))))</f>
        <v/>
      </c>
    </row>
    <row r="339" spans="1:21" ht="25.5" customHeight="1">
      <c r="A339" s="21"/>
      <c r="B339" s="22"/>
      <c r="C339" s="21"/>
      <c r="D339" s="23"/>
      <c r="E339" s="22"/>
      <c r="F339" s="22"/>
      <c r="G339" s="23"/>
      <c r="H339" s="24"/>
      <c r="I339" s="24"/>
      <c r="J339" s="23"/>
      <c r="K339" s="23"/>
      <c r="L339" s="23"/>
      <c r="M339" s="23"/>
      <c r="N339" s="23"/>
      <c r="O339" s="23"/>
      <c r="P339" s="23"/>
      <c r="Q339" s="25"/>
      <c r="R339" s="23"/>
      <c r="S339" s="23"/>
      <c r="T339" s="23"/>
      <c r="U339" s="20" t="str">
        <f ca="1">IF(COUNTA(A339:T339)=0,"",IF(OR(A339="",B339="",C339="",E339="",G339="",H339="",J339="",K339="",L339="",M339=""),"Ошибка: заполните обязательные поля",IF(AND(LEFT(H339,7)&lt;&gt;"http://",LEFT(H339,8)&lt;&gt;"https://"),"Ошибка: некорректная ссылка",IF(COUNTIF($H$6:$H$1005,H339)&gt;1,"Ошибка: дубликат URL",IF(E339&gt;TODAY(),"Ошибка: дата публикации в будущем",IF(S339="Да","Ошибка: подтверждённый дубль",IF(S339="","Проверить: отметьте дубль",IF(S339="Нужно проверить","Проверить возможный дубль",IF(TODAY()-E339&gt;30,"Проверить: старше 30 дней",IF(COUNTIFS(#REF!,G339,#REF!,"Готово")=0,"Проверить источник","Готово"))))))))))</f>
        <v/>
      </c>
    </row>
    <row r="340" spans="1:21" ht="25.5" customHeight="1">
      <c r="A340" s="21"/>
      <c r="B340" s="22"/>
      <c r="C340" s="21"/>
      <c r="D340" s="23"/>
      <c r="E340" s="22"/>
      <c r="F340" s="22"/>
      <c r="G340" s="23"/>
      <c r="H340" s="24"/>
      <c r="I340" s="24"/>
      <c r="J340" s="23"/>
      <c r="K340" s="23"/>
      <c r="L340" s="23"/>
      <c r="M340" s="23"/>
      <c r="N340" s="23"/>
      <c r="O340" s="23"/>
      <c r="P340" s="23"/>
      <c r="Q340" s="25"/>
      <c r="R340" s="23"/>
      <c r="S340" s="23"/>
      <c r="T340" s="23"/>
      <c r="U340" s="20" t="str">
        <f ca="1">IF(COUNTA(A340:T340)=0,"",IF(OR(A340="",B340="",C340="",E340="",G340="",H340="",J340="",K340="",L340="",M340=""),"Ошибка: заполните обязательные поля",IF(AND(LEFT(H340,7)&lt;&gt;"http://",LEFT(H340,8)&lt;&gt;"https://"),"Ошибка: некорректная ссылка",IF(COUNTIF($H$6:$H$1005,H340)&gt;1,"Ошибка: дубликат URL",IF(E340&gt;TODAY(),"Ошибка: дата публикации в будущем",IF(S340="Да","Ошибка: подтверждённый дубль",IF(S340="","Проверить: отметьте дубль",IF(S340="Нужно проверить","Проверить возможный дубль",IF(TODAY()-E340&gt;30,"Проверить: старше 30 дней",IF(COUNTIFS(#REF!,G340,#REF!,"Готово")=0,"Проверить источник","Готово"))))))))))</f>
        <v/>
      </c>
    </row>
    <row r="341" spans="1:21" ht="25.5" customHeight="1">
      <c r="A341" s="21"/>
      <c r="B341" s="22"/>
      <c r="C341" s="21"/>
      <c r="D341" s="23"/>
      <c r="E341" s="22"/>
      <c r="F341" s="22"/>
      <c r="G341" s="23"/>
      <c r="H341" s="24"/>
      <c r="I341" s="24"/>
      <c r="J341" s="23"/>
      <c r="K341" s="23"/>
      <c r="L341" s="23"/>
      <c r="M341" s="23"/>
      <c r="N341" s="23"/>
      <c r="O341" s="23"/>
      <c r="P341" s="23"/>
      <c r="Q341" s="25"/>
      <c r="R341" s="23"/>
      <c r="S341" s="23"/>
      <c r="T341" s="23"/>
      <c r="U341" s="20" t="str">
        <f ca="1">IF(COUNTA(A341:T341)=0,"",IF(OR(A341="",B341="",C341="",E341="",G341="",H341="",J341="",K341="",L341="",M341=""),"Ошибка: заполните обязательные поля",IF(AND(LEFT(H341,7)&lt;&gt;"http://",LEFT(H341,8)&lt;&gt;"https://"),"Ошибка: некорректная ссылка",IF(COUNTIF($H$6:$H$1005,H341)&gt;1,"Ошибка: дубликат URL",IF(E341&gt;TODAY(),"Ошибка: дата публикации в будущем",IF(S341="Да","Ошибка: подтверждённый дубль",IF(S341="","Проверить: отметьте дубль",IF(S341="Нужно проверить","Проверить возможный дубль",IF(TODAY()-E341&gt;30,"Проверить: старше 30 дней",IF(COUNTIFS(#REF!,G341,#REF!,"Готово")=0,"Проверить источник","Готово"))))))))))</f>
        <v/>
      </c>
    </row>
    <row r="342" spans="1:21" ht="25.5" customHeight="1">
      <c r="A342" s="21"/>
      <c r="B342" s="22"/>
      <c r="C342" s="21"/>
      <c r="D342" s="23"/>
      <c r="E342" s="22"/>
      <c r="F342" s="22"/>
      <c r="G342" s="23"/>
      <c r="H342" s="24"/>
      <c r="I342" s="24"/>
      <c r="J342" s="23"/>
      <c r="K342" s="23"/>
      <c r="L342" s="23"/>
      <c r="M342" s="23"/>
      <c r="N342" s="23"/>
      <c r="O342" s="23"/>
      <c r="P342" s="23"/>
      <c r="Q342" s="25"/>
      <c r="R342" s="23"/>
      <c r="S342" s="23"/>
      <c r="T342" s="23"/>
      <c r="U342" s="20" t="str">
        <f ca="1">IF(COUNTA(A342:T342)=0,"",IF(OR(A342="",B342="",C342="",E342="",G342="",H342="",J342="",K342="",L342="",M342=""),"Ошибка: заполните обязательные поля",IF(AND(LEFT(H342,7)&lt;&gt;"http://",LEFT(H342,8)&lt;&gt;"https://"),"Ошибка: некорректная ссылка",IF(COUNTIF($H$6:$H$1005,H342)&gt;1,"Ошибка: дубликат URL",IF(E342&gt;TODAY(),"Ошибка: дата публикации в будущем",IF(S342="Да","Ошибка: подтверждённый дубль",IF(S342="","Проверить: отметьте дубль",IF(S342="Нужно проверить","Проверить возможный дубль",IF(TODAY()-E342&gt;30,"Проверить: старше 30 дней",IF(COUNTIFS(#REF!,G342,#REF!,"Готово")=0,"Проверить источник","Готово"))))))))))</f>
        <v/>
      </c>
    </row>
    <row r="343" spans="1:21" ht="25.5" customHeight="1">
      <c r="A343" s="21"/>
      <c r="B343" s="22"/>
      <c r="C343" s="21"/>
      <c r="D343" s="23"/>
      <c r="E343" s="22"/>
      <c r="F343" s="22"/>
      <c r="G343" s="23"/>
      <c r="H343" s="24"/>
      <c r="I343" s="24"/>
      <c r="J343" s="23"/>
      <c r="K343" s="23"/>
      <c r="L343" s="23"/>
      <c r="M343" s="23"/>
      <c r="N343" s="23"/>
      <c r="O343" s="23"/>
      <c r="P343" s="23"/>
      <c r="Q343" s="25"/>
      <c r="R343" s="23"/>
      <c r="S343" s="23"/>
      <c r="T343" s="23"/>
      <c r="U343" s="20" t="str">
        <f ca="1">IF(COUNTA(A343:T343)=0,"",IF(OR(A343="",B343="",C343="",E343="",G343="",H343="",J343="",K343="",L343="",M343=""),"Ошибка: заполните обязательные поля",IF(AND(LEFT(H343,7)&lt;&gt;"http://",LEFT(H343,8)&lt;&gt;"https://"),"Ошибка: некорректная ссылка",IF(COUNTIF($H$6:$H$1005,H343)&gt;1,"Ошибка: дубликат URL",IF(E343&gt;TODAY(),"Ошибка: дата публикации в будущем",IF(S343="Да","Ошибка: подтверждённый дубль",IF(S343="","Проверить: отметьте дубль",IF(S343="Нужно проверить","Проверить возможный дубль",IF(TODAY()-E343&gt;30,"Проверить: старше 30 дней",IF(COUNTIFS(#REF!,G343,#REF!,"Готово")=0,"Проверить источник","Готово"))))))))))</f>
        <v/>
      </c>
    </row>
    <row r="344" spans="1:21" ht="25.5" customHeight="1">
      <c r="A344" s="21"/>
      <c r="B344" s="22"/>
      <c r="C344" s="21"/>
      <c r="D344" s="23"/>
      <c r="E344" s="22"/>
      <c r="F344" s="22"/>
      <c r="G344" s="23"/>
      <c r="H344" s="24"/>
      <c r="I344" s="24"/>
      <c r="J344" s="23"/>
      <c r="K344" s="23"/>
      <c r="L344" s="23"/>
      <c r="M344" s="23"/>
      <c r="N344" s="23"/>
      <c r="O344" s="23"/>
      <c r="P344" s="23"/>
      <c r="Q344" s="25"/>
      <c r="R344" s="23"/>
      <c r="S344" s="23"/>
      <c r="T344" s="23"/>
      <c r="U344" s="20" t="str">
        <f ca="1">IF(COUNTA(A344:T344)=0,"",IF(OR(A344="",B344="",C344="",E344="",G344="",H344="",J344="",K344="",L344="",M344=""),"Ошибка: заполните обязательные поля",IF(AND(LEFT(H344,7)&lt;&gt;"http://",LEFT(H344,8)&lt;&gt;"https://"),"Ошибка: некорректная ссылка",IF(COUNTIF($H$6:$H$1005,H344)&gt;1,"Ошибка: дубликат URL",IF(E344&gt;TODAY(),"Ошибка: дата публикации в будущем",IF(S344="Да","Ошибка: подтверждённый дубль",IF(S344="","Проверить: отметьте дубль",IF(S344="Нужно проверить","Проверить возможный дубль",IF(TODAY()-E344&gt;30,"Проверить: старше 30 дней",IF(COUNTIFS(#REF!,G344,#REF!,"Готово")=0,"Проверить источник","Готово"))))))))))</f>
        <v/>
      </c>
    </row>
    <row r="345" spans="1:21" ht="25.5" customHeight="1">
      <c r="A345" s="21"/>
      <c r="B345" s="22"/>
      <c r="C345" s="21"/>
      <c r="D345" s="23"/>
      <c r="E345" s="22"/>
      <c r="F345" s="22"/>
      <c r="G345" s="23"/>
      <c r="H345" s="24"/>
      <c r="I345" s="24"/>
      <c r="J345" s="23"/>
      <c r="K345" s="23"/>
      <c r="L345" s="23"/>
      <c r="M345" s="23"/>
      <c r="N345" s="23"/>
      <c r="O345" s="23"/>
      <c r="P345" s="23"/>
      <c r="Q345" s="25"/>
      <c r="R345" s="23"/>
      <c r="S345" s="23"/>
      <c r="T345" s="23"/>
      <c r="U345" s="20" t="str">
        <f ca="1">IF(COUNTA(A345:T345)=0,"",IF(OR(A345="",B345="",C345="",E345="",G345="",H345="",J345="",K345="",L345="",M345=""),"Ошибка: заполните обязательные поля",IF(AND(LEFT(H345,7)&lt;&gt;"http://",LEFT(H345,8)&lt;&gt;"https://"),"Ошибка: некорректная ссылка",IF(COUNTIF($H$6:$H$1005,H345)&gt;1,"Ошибка: дубликат URL",IF(E345&gt;TODAY(),"Ошибка: дата публикации в будущем",IF(S345="Да","Ошибка: подтверждённый дубль",IF(S345="","Проверить: отметьте дубль",IF(S345="Нужно проверить","Проверить возможный дубль",IF(TODAY()-E345&gt;30,"Проверить: старше 30 дней",IF(COUNTIFS(#REF!,G345,#REF!,"Готово")=0,"Проверить источник","Готово"))))))))))</f>
        <v/>
      </c>
    </row>
    <row r="346" spans="1:21" ht="25.5" customHeight="1">
      <c r="A346" s="21"/>
      <c r="B346" s="22"/>
      <c r="C346" s="21"/>
      <c r="D346" s="23"/>
      <c r="E346" s="22"/>
      <c r="F346" s="22"/>
      <c r="G346" s="23"/>
      <c r="H346" s="24"/>
      <c r="I346" s="24"/>
      <c r="J346" s="23"/>
      <c r="K346" s="23"/>
      <c r="L346" s="23"/>
      <c r="M346" s="23"/>
      <c r="N346" s="23"/>
      <c r="O346" s="23"/>
      <c r="P346" s="23"/>
      <c r="Q346" s="25"/>
      <c r="R346" s="23"/>
      <c r="S346" s="23"/>
      <c r="T346" s="23"/>
      <c r="U346" s="20" t="str">
        <f ca="1">IF(COUNTA(A346:T346)=0,"",IF(OR(A346="",B346="",C346="",E346="",G346="",H346="",J346="",K346="",L346="",M346=""),"Ошибка: заполните обязательные поля",IF(AND(LEFT(H346,7)&lt;&gt;"http://",LEFT(H346,8)&lt;&gt;"https://"),"Ошибка: некорректная ссылка",IF(COUNTIF($H$6:$H$1005,H346)&gt;1,"Ошибка: дубликат URL",IF(E346&gt;TODAY(),"Ошибка: дата публикации в будущем",IF(S346="Да","Ошибка: подтверждённый дубль",IF(S346="","Проверить: отметьте дубль",IF(S346="Нужно проверить","Проверить возможный дубль",IF(TODAY()-E346&gt;30,"Проверить: старше 30 дней",IF(COUNTIFS(#REF!,G346,#REF!,"Готово")=0,"Проверить источник","Готово"))))))))))</f>
        <v/>
      </c>
    </row>
    <row r="347" spans="1:21" ht="25.5" customHeight="1">
      <c r="A347" s="21"/>
      <c r="B347" s="22"/>
      <c r="C347" s="21"/>
      <c r="D347" s="23"/>
      <c r="E347" s="22"/>
      <c r="F347" s="22"/>
      <c r="G347" s="23"/>
      <c r="H347" s="24"/>
      <c r="I347" s="24"/>
      <c r="J347" s="23"/>
      <c r="K347" s="23"/>
      <c r="L347" s="23"/>
      <c r="M347" s="23"/>
      <c r="N347" s="23"/>
      <c r="O347" s="23"/>
      <c r="P347" s="23"/>
      <c r="Q347" s="25"/>
      <c r="R347" s="23"/>
      <c r="S347" s="23"/>
      <c r="T347" s="23"/>
      <c r="U347" s="20" t="str">
        <f ca="1">IF(COUNTA(A347:T347)=0,"",IF(OR(A347="",B347="",C347="",E347="",G347="",H347="",J347="",K347="",L347="",M347=""),"Ошибка: заполните обязательные поля",IF(AND(LEFT(H347,7)&lt;&gt;"http://",LEFT(H347,8)&lt;&gt;"https://"),"Ошибка: некорректная ссылка",IF(COUNTIF($H$6:$H$1005,H347)&gt;1,"Ошибка: дубликат URL",IF(E347&gt;TODAY(),"Ошибка: дата публикации в будущем",IF(S347="Да","Ошибка: подтверждённый дубль",IF(S347="","Проверить: отметьте дубль",IF(S347="Нужно проверить","Проверить возможный дубль",IF(TODAY()-E347&gt;30,"Проверить: старше 30 дней",IF(COUNTIFS(#REF!,G347,#REF!,"Готово")=0,"Проверить источник","Готово"))))))))))</f>
        <v/>
      </c>
    </row>
    <row r="348" spans="1:21" ht="25.5" customHeight="1">
      <c r="A348" s="21"/>
      <c r="B348" s="22"/>
      <c r="C348" s="21"/>
      <c r="D348" s="23"/>
      <c r="E348" s="22"/>
      <c r="F348" s="22"/>
      <c r="G348" s="23"/>
      <c r="H348" s="24"/>
      <c r="I348" s="24"/>
      <c r="J348" s="23"/>
      <c r="K348" s="23"/>
      <c r="L348" s="23"/>
      <c r="M348" s="23"/>
      <c r="N348" s="23"/>
      <c r="O348" s="23"/>
      <c r="P348" s="23"/>
      <c r="Q348" s="25"/>
      <c r="R348" s="23"/>
      <c r="S348" s="23"/>
      <c r="T348" s="23"/>
      <c r="U348" s="20" t="str">
        <f ca="1">IF(COUNTA(A348:T348)=0,"",IF(OR(A348="",B348="",C348="",E348="",G348="",H348="",J348="",K348="",L348="",M348=""),"Ошибка: заполните обязательные поля",IF(AND(LEFT(H348,7)&lt;&gt;"http://",LEFT(H348,8)&lt;&gt;"https://"),"Ошибка: некорректная ссылка",IF(COUNTIF($H$6:$H$1005,H348)&gt;1,"Ошибка: дубликат URL",IF(E348&gt;TODAY(),"Ошибка: дата публикации в будущем",IF(S348="Да","Ошибка: подтверждённый дубль",IF(S348="","Проверить: отметьте дубль",IF(S348="Нужно проверить","Проверить возможный дубль",IF(TODAY()-E348&gt;30,"Проверить: старше 30 дней",IF(COUNTIFS(#REF!,G348,#REF!,"Готово")=0,"Проверить источник","Готово"))))))))))</f>
        <v/>
      </c>
    </row>
    <row r="349" spans="1:21" ht="25.5" customHeight="1">
      <c r="A349" s="21"/>
      <c r="B349" s="22"/>
      <c r="C349" s="21"/>
      <c r="D349" s="23"/>
      <c r="E349" s="22"/>
      <c r="F349" s="22"/>
      <c r="G349" s="23"/>
      <c r="H349" s="24"/>
      <c r="I349" s="24"/>
      <c r="J349" s="23"/>
      <c r="K349" s="23"/>
      <c r="L349" s="23"/>
      <c r="M349" s="23"/>
      <c r="N349" s="23"/>
      <c r="O349" s="23"/>
      <c r="P349" s="23"/>
      <c r="Q349" s="25"/>
      <c r="R349" s="23"/>
      <c r="S349" s="23"/>
      <c r="T349" s="23"/>
      <c r="U349" s="20" t="str">
        <f ca="1">IF(COUNTA(A349:T349)=0,"",IF(OR(A349="",B349="",C349="",E349="",G349="",H349="",J349="",K349="",L349="",M349=""),"Ошибка: заполните обязательные поля",IF(AND(LEFT(H349,7)&lt;&gt;"http://",LEFT(H349,8)&lt;&gt;"https://"),"Ошибка: некорректная ссылка",IF(COUNTIF($H$6:$H$1005,H349)&gt;1,"Ошибка: дубликат URL",IF(E349&gt;TODAY(),"Ошибка: дата публикации в будущем",IF(S349="Да","Ошибка: подтверждённый дубль",IF(S349="","Проверить: отметьте дубль",IF(S349="Нужно проверить","Проверить возможный дубль",IF(TODAY()-E349&gt;30,"Проверить: старше 30 дней",IF(COUNTIFS(#REF!,G349,#REF!,"Готово")=0,"Проверить источник","Готово"))))))))))</f>
        <v/>
      </c>
    </row>
    <row r="350" spans="1:21" ht="25.5" customHeight="1">
      <c r="A350" s="21"/>
      <c r="B350" s="22"/>
      <c r="C350" s="21"/>
      <c r="D350" s="23"/>
      <c r="E350" s="22"/>
      <c r="F350" s="22"/>
      <c r="G350" s="23"/>
      <c r="H350" s="24"/>
      <c r="I350" s="24"/>
      <c r="J350" s="23"/>
      <c r="K350" s="23"/>
      <c r="L350" s="23"/>
      <c r="M350" s="23"/>
      <c r="N350" s="23"/>
      <c r="O350" s="23"/>
      <c r="P350" s="23"/>
      <c r="Q350" s="25"/>
      <c r="R350" s="23"/>
      <c r="S350" s="23"/>
      <c r="T350" s="23"/>
      <c r="U350" s="20" t="str">
        <f ca="1">IF(COUNTA(A350:T350)=0,"",IF(OR(A350="",B350="",C350="",E350="",G350="",H350="",J350="",K350="",L350="",M350=""),"Ошибка: заполните обязательные поля",IF(AND(LEFT(H350,7)&lt;&gt;"http://",LEFT(H350,8)&lt;&gt;"https://"),"Ошибка: некорректная ссылка",IF(COUNTIF($H$6:$H$1005,H350)&gt;1,"Ошибка: дубликат URL",IF(E350&gt;TODAY(),"Ошибка: дата публикации в будущем",IF(S350="Да","Ошибка: подтверждённый дубль",IF(S350="","Проверить: отметьте дубль",IF(S350="Нужно проверить","Проверить возможный дубль",IF(TODAY()-E350&gt;30,"Проверить: старше 30 дней",IF(COUNTIFS(#REF!,G350,#REF!,"Готово")=0,"Проверить источник","Готово"))))))))))</f>
        <v/>
      </c>
    </row>
    <row r="351" spans="1:21" ht="25.5" customHeight="1">
      <c r="A351" s="21"/>
      <c r="B351" s="22"/>
      <c r="C351" s="21"/>
      <c r="D351" s="23"/>
      <c r="E351" s="22"/>
      <c r="F351" s="22"/>
      <c r="G351" s="23"/>
      <c r="H351" s="24"/>
      <c r="I351" s="24"/>
      <c r="J351" s="23"/>
      <c r="K351" s="23"/>
      <c r="L351" s="23"/>
      <c r="M351" s="23"/>
      <c r="N351" s="23"/>
      <c r="O351" s="23"/>
      <c r="P351" s="23"/>
      <c r="Q351" s="25"/>
      <c r="R351" s="23"/>
      <c r="S351" s="23"/>
      <c r="T351" s="23"/>
      <c r="U351" s="20" t="str">
        <f ca="1">IF(COUNTA(A351:T351)=0,"",IF(OR(A351="",B351="",C351="",E351="",G351="",H351="",J351="",K351="",L351="",M351=""),"Ошибка: заполните обязательные поля",IF(AND(LEFT(H351,7)&lt;&gt;"http://",LEFT(H351,8)&lt;&gt;"https://"),"Ошибка: некорректная ссылка",IF(COUNTIF($H$6:$H$1005,H351)&gt;1,"Ошибка: дубликат URL",IF(E351&gt;TODAY(),"Ошибка: дата публикации в будущем",IF(S351="Да","Ошибка: подтверждённый дубль",IF(S351="","Проверить: отметьте дубль",IF(S351="Нужно проверить","Проверить возможный дубль",IF(TODAY()-E351&gt;30,"Проверить: старше 30 дней",IF(COUNTIFS(#REF!,G351,#REF!,"Готово")=0,"Проверить источник","Готово"))))))))))</f>
        <v/>
      </c>
    </row>
    <row r="352" spans="1:21" ht="25.5" customHeight="1">
      <c r="A352" s="21"/>
      <c r="B352" s="22"/>
      <c r="C352" s="21"/>
      <c r="D352" s="23"/>
      <c r="E352" s="22"/>
      <c r="F352" s="22"/>
      <c r="G352" s="23"/>
      <c r="H352" s="24"/>
      <c r="I352" s="24"/>
      <c r="J352" s="23"/>
      <c r="K352" s="23"/>
      <c r="L352" s="23"/>
      <c r="M352" s="23"/>
      <c r="N352" s="23"/>
      <c r="O352" s="23"/>
      <c r="P352" s="23"/>
      <c r="Q352" s="25"/>
      <c r="R352" s="23"/>
      <c r="S352" s="23"/>
      <c r="T352" s="23"/>
      <c r="U352" s="20" t="str">
        <f ca="1">IF(COUNTA(A352:T352)=0,"",IF(OR(A352="",B352="",C352="",E352="",G352="",H352="",J352="",K352="",L352="",M352=""),"Ошибка: заполните обязательные поля",IF(AND(LEFT(H352,7)&lt;&gt;"http://",LEFT(H352,8)&lt;&gt;"https://"),"Ошибка: некорректная ссылка",IF(COUNTIF($H$6:$H$1005,H352)&gt;1,"Ошибка: дубликат URL",IF(E352&gt;TODAY(),"Ошибка: дата публикации в будущем",IF(S352="Да","Ошибка: подтверждённый дубль",IF(S352="","Проверить: отметьте дубль",IF(S352="Нужно проверить","Проверить возможный дубль",IF(TODAY()-E352&gt;30,"Проверить: старше 30 дней",IF(COUNTIFS(#REF!,G352,#REF!,"Готово")=0,"Проверить источник","Готово"))))))))))</f>
        <v/>
      </c>
    </row>
    <row r="353" spans="1:21" ht="25.5" customHeight="1">
      <c r="A353" s="21"/>
      <c r="B353" s="22"/>
      <c r="C353" s="21"/>
      <c r="D353" s="23"/>
      <c r="E353" s="22"/>
      <c r="F353" s="22"/>
      <c r="G353" s="23"/>
      <c r="H353" s="24"/>
      <c r="I353" s="24"/>
      <c r="J353" s="23"/>
      <c r="K353" s="23"/>
      <c r="L353" s="23"/>
      <c r="M353" s="23"/>
      <c r="N353" s="23"/>
      <c r="O353" s="23"/>
      <c r="P353" s="23"/>
      <c r="Q353" s="25"/>
      <c r="R353" s="23"/>
      <c r="S353" s="23"/>
      <c r="T353" s="23"/>
      <c r="U353" s="20" t="str">
        <f ca="1">IF(COUNTA(A353:T353)=0,"",IF(OR(A353="",B353="",C353="",E353="",G353="",H353="",J353="",K353="",L353="",M353=""),"Ошибка: заполните обязательные поля",IF(AND(LEFT(H353,7)&lt;&gt;"http://",LEFT(H353,8)&lt;&gt;"https://"),"Ошибка: некорректная ссылка",IF(COUNTIF($H$6:$H$1005,H353)&gt;1,"Ошибка: дубликат URL",IF(E353&gt;TODAY(),"Ошибка: дата публикации в будущем",IF(S353="Да","Ошибка: подтверждённый дубль",IF(S353="","Проверить: отметьте дубль",IF(S353="Нужно проверить","Проверить возможный дубль",IF(TODAY()-E353&gt;30,"Проверить: старше 30 дней",IF(COUNTIFS(#REF!,G353,#REF!,"Готово")=0,"Проверить источник","Готово"))))))))))</f>
        <v/>
      </c>
    </row>
    <row r="354" spans="1:21" ht="25.5" customHeight="1">
      <c r="A354" s="21"/>
      <c r="B354" s="22"/>
      <c r="C354" s="21"/>
      <c r="D354" s="23"/>
      <c r="E354" s="22"/>
      <c r="F354" s="22"/>
      <c r="G354" s="23"/>
      <c r="H354" s="24"/>
      <c r="I354" s="24"/>
      <c r="J354" s="23"/>
      <c r="K354" s="23"/>
      <c r="L354" s="23"/>
      <c r="M354" s="23"/>
      <c r="N354" s="23"/>
      <c r="O354" s="23"/>
      <c r="P354" s="23"/>
      <c r="Q354" s="25"/>
      <c r="R354" s="23"/>
      <c r="S354" s="23"/>
      <c r="T354" s="23"/>
      <c r="U354" s="20" t="str">
        <f ca="1">IF(COUNTA(A354:T354)=0,"",IF(OR(A354="",B354="",C354="",E354="",G354="",H354="",J354="",K354="",L354="",M354=""),"Ошибка: заполните обязательные поля",IF(AND(LEFT(H354,7)&lt;&gt;"http://",LEFT(H354,8)&lt;&gt;"https://"),"Ошибка: некорректная ссылка",IF(COUNTIF($H$6:$H$1005,H354)&gt;1,"Ошибка: дубликат URL",IF(E354&gt;TODAY(),"Ошибка: дата публикации в будущем",IF(S354="Да","Ошибка: подтверждённый дубль",IF(S354="","Проверить: отметьте дубль",IF(S354="Нужно проверить","Проверить возможный дубль",IF(TODAY()-E354&gt;30,"Проверить: старше 30 дней",IF(COUNTIFS(#REF!,G354,#REF!,"Готово")=0,"Проверить источник","Готово"))))))))))</f>
        <v/>
      </c>
    </row>
    <row r="355" spans="1:21" ht="25.5" customHeight="1">
      <c r="A355" s="21"/>
      <c r="B355" s="22"/>
      <c r="C355" s="21"/>
      <c r="D355" s="23"/>
      <c r="E355" s="22"/>
      <c r="F355" s="22"/>
      <c r="G355" s="23"/>
      <c r="H355" s="24"/>
      <c r="I355" s="24"/>
      <c r="J355" s="23"/>
      <c r="K355" s="23"/>
      <c r="L355" s="23"/>
      <c r="M355" s="23"/>
      <c r="N355" s="23"/>
      <c r="O355" s="23"/>
      <c r="P355" s="23"/>
      <c r="Q355" s="25"/>
      <c r="R355" s="23"/>
      <c r="S355" s="23"/>
      <c r="T355" s="23"/>
      <c r="U355" s="20" t="str">
        <f ca="1">IF(COUNTA(A355:T355)=0,"",IF(OR(A355="",B355="",C355="",E355="",G355="",H355="",J355="",K355="",L355="",M355=""),"Ошибка: заполните обязательные поля",IF(AND(LEFT(H355,7)&lt;&gt;"http://",LEFT(H355,8)&lt;&gt;"https://"),"Ошибка: некорректная ссылка",IF(COUNTIF($H$6:$H$1005,H355)&gt;1,"Ошибка: дубликат URL",IF(E355&gt;TODAY(),"Ошибка: дата публикации в будущем",IF(S355="Да","Ошибка: подтверждённый дубль",IF(S355="","Проверить: отметьте дубль",IF(S355="Нужно проверить","Проверить возможный дубль",IF(TODAY()-E355&gt;30,"Проверить: старше 30 дней",IF(COUNTIFS(#REF!,G355,#REF!,"Готово")=0,"Проверить источник","Готово"))))))))))</f>
        <v/>
      </c>
    </row>
    <row r="356" spans="1:21" ht="25.5" customHeight="1">
      <c r="A356" s="21"/>
      <c r="B356" s="22"/>
      <c r="C356" s="21"/>
      <c r="D356" s="23"/>
      <c r="E356" s="22"/>
      <c r="F356" s="22"/>
      <c r="G356" s="23"/>
      <c r="H356" s="24"/>
      <c r="I356" s="24"/>
      <c r="J356" s="23"/>
      <c r="K356" s="23"/>
      <c r="L356" s="23"/>
      <c r="M356" s="23"/>
      <c r="N356" s="23"/>
      <c r="O356" s="23"/>
      <c r="P356" s="23"/>
      <c r="Q356" s="25"/>
      <c r="R356" s="23"/>
      <c r="S356" s="23"/>
      <c r="T356" s="23"/>
      <c r="U356" s="20" t="str">
        <f ca="1">IF(COUNTA(A356:T356)=0,"",IF(OR(A356="",B356="",C356="",E356="",G356="",H356="",J356="",K356="",L356="",M356=""),"Ошибка: заполните обязательные поля",IF(AND(LEFT(H356,7)&lt;&gt;"http://",LEFT(H356,8)&lt;&gt;"https://"),"Ошибка: некорректная ссылка",IF(COUNTIF($H$6:$H$1005,H356)&gt;1,"Ошибка: дубликат URL",IF(E356&gt;TODAY(),"Ошибка: дата публикации в будущем",IF(S356="Да","Ошибка: подтверждённый дубль",IF(S356="","Проверить: отметьте дубль",IF(S356="Нужно проверить","Проверить возможный дубль",IF(TODAY()-E356&gt;30,"Проверить: старше 30 дней",IF(COUNTIFS(#REF!,G356,#REF!,"Готово")=0,"Проверить источник","Готово"))))))))))</f>
        <v/>
      </c>
    </row>
    <row r="357" spans="1:21" ht="25.5" customHeight="1">
      <c r="A357" s="21"/>
      <c r="B357" s="22"/>
      <c r="C357" s="21"/>
      <c r="D357" s="23"/>
      <c r="E357" s="22"/>
      <c r="F357" s="22"/>
      <c r="G357" s="23"/>
      <c r="H357" s="24"/>
      <c r="I357" s="24"/>
      <c r="J357" s="23"/>
      <c r="K357" s="23"/>
      <c r="L357" s="23"/>
      <c r="M357" s="23"/>
      <c r="N357" s="23"/>
      <c r="O357" s="23"/>
      <c r="P357" s="23"/>
      <c r="Q357" s="25"/>
      <c r="R357" s="23"/>
      <c r="S357" s="23"/>
      <c r="T357" s="23"/>
      <c r="U357" s="20" t="str">
        <f ca="1">IF(COUNTA(A357:T357)=0,"",IF(OR(A357="",B357="",C357="",E357="",G357="",H357="",J357="",K357="",L357="",M357=""),"Ошибка: заполните обязательные поля",IF(AND(LEFT(H357,7)&lt;&gt;"http://",LEFT(H357,8)&lt;&gt;"https://"),"Ошибка: некорректная ссылка",IF(COUNTIF($H$6:$H$1005,H357)&gt;1,"Ошибка: дубликат URL",IF(E357&gt;TODAY(),"Ошибка: дата публикации в будущем",IF(S357="Да","Ошибка: подтверждённый дубль",IF(S357="","Проверить: отметьте дубль",IF(S357="Нужно проверить","Проверить возможный дубль",IF(TODAY()-E357&gt;30,"Проверить: старше 30 дней",IF(COUNTIFS(#REF!,G357,#REF!,"Готово")=0,"Проверить источник","Готово"))))))))))</f>
        <v/>
      </c>
    </row>
    <row r="358" spans="1:21" ht="25.5" customHeight="1">
      <c r="A358" s="21"/>
      <c r="B358" s="22"/>
      <c r="C358" s="21"/>
      <c r="D358" s="23"/>
      <c r="E358" s="22"/>
      <c r="F358" s="22"/>
      <c r="G358" s="23"/>
      <c r="H358" s="24"/>
      <c r="I358" s="24"/>
      <c r="J358" s="23"/>
      <c r="K358" s="23"/>
      <c r="L358" s="23"/>
      <c r="M358" s="23"/>
      <c r="N358" s="23"/>
      <c r="O358" s="23"/>
      <c r="P358" s="23"/>
      <c r="Q358" s="25"/>
      <c r="R358" s="23"/>
      <c r="S358" s="23"/>
      <c r="T358" s="23"/>
      <c r="U358" s="20" t="str">
        <f ca="1">IF(COUNTA(A358:T358)=0,"",IF(OR(A358="",B358="",C358="",E358="",G358="",H358="",J358="",K358="",L358="",M358=""),"Ошибка: заполните обязательные поля",IF(AND(LEFT(H358,7)&lt;&gt;"http://",LEFT(H358,8)&lt;&gt;"https://"),"Ошибка: некорректная ссылка",IF(COUNTIF($H$6:$H$1005,H358)&gt;1,"Ошибка: дубликат URL",IF(E358&gt;TODAY(),"Ошибка: дата публикации в будущем",IF(S358="Да","Ошибка: подтверждённый дубль",IF(S358="","Проверить: отметьте дубль",IF(S358="Нужно проверить","Проверить возможный дубль",IF(TODAY()-E358&gt;30,"Проверить: старше 30 дней",IF(COUNTIFS(#REF!,G358,#REF!,"Готово")=0,"Проверить источник","Готово"))))))))))</f>
        <v/>
      </c>
    </row>
    <row r="359" spans="1:21" ht="25.5" customHeight="1">
      <c r="A359" s="21"/>
      <c r="B359" s="22"/>
      <c r="C359" s="21"/>
      <c r="D359" s="23"/>
      <c r="E359" s="22"/>
      <c r="F359" s="22"/>
      <c r="G359" s="23"/>
      <c r="H359" s="24"/>
      <c r="I359" s="24"/>
      <c r="J359" s="23"/>
      <c r="K359" s="23"/>
      <c r="L359" s="23"/>
      <c r="M359" s="23"/>
      <c r="N359" s="23"/>
      <c r="O359" s="23"/>
      <c r="P359" s="23"/>
      <c r="Q359" s="25"/>
      <c r="R359" s="23"/>
      <c r="S359" s="23"/>
      <c r="T359" s="23"/>
      <c r="U359" s="20" t="str">
        <f ca="1">IF(COUNTA(A359:T359)=0,"",IF(OR(A359="",B359="",C359="",E359="",G359="",H359="",J359="",K359="",L359="",M359=""),"Ошибка: заполните обязательные поля",IF(AND(LEFT(H359,7)&lt;&gt;"http://",LEFT(H359,8)&lt;&gt;"https://"),"Ошибка: некорректная ссылка",IF(COUNTIF($H$6:$H$1005,H359)&gt;1,"Ошибка: дубликат URL",IF(E359&gt;TODAY(),"Ошибка: дата публикации в будущем",IF(S359="Да","Ошибка: подтверждённый дубль",IF(S359="","Проверить: отметьте дубль",IF(S359="Нужно проверить","Проверить возможный дубль",IF(TODAY()-E359&gt;30,"Проверить: старше 30 дней",IF(COUNTIFS(#REF!,G359,#REF!,"Готово")=0,"Проверить источник","Готово"))))))))))</f>
        <v/>
      </c>
    </row>
    <row r="360" spans="1:21" ht="25.5" customHeight="1">
      <c r="A360" s="21"/>
      <c r="B360" s="22"/>
      <c r="C360" s="21"/>
      <c r="D360" s="23"/>
      <c r="E360" s="22"/>
      <c r="F360" s="22"/>
      <c r="G360" s="23"/>
      <c r="H360" s="24"/>
      <c r="I360" s="24"/>
      <c r="J360" s="23"/>
      <c r="K360" s="23"/>
      <c r="L360" s="23"/>
      <c r="M360" s="23"/>
      <c r="N360" s="23"/>
      <c r="O360" s="23"/>
      <c r="P360" s="23"/>
      <c r="Q360" s="25"/>
      <c r="R360" s="23"/>
      <c r="S360" s="23"/>
      <c r="T360" s="23"/>
      <c r="U360" s="20" t="str">
        <f ca="1">IF(COUNTA(A360:T360)=0,"",IF(OR(A360="",B360="",C360="",E360="",G360="",H360="",J360="",K360="",L360="",M360=""),"Ошибка: заполните обязательные поля",IF(AND(LEFT(H360,7)&lt;&gt;"http://",LEFT(H360,8)&lt;&gt;"https://"),"Ошибка: некорректная ссылка",IF(COUNTIF($H$6:$H$1005,H360)&gt;1,"Ошибка: дубликат URL",IF(E360&gt;TODAY(),"Ошибка: дата публикации в будущем",IF(S360="Да","Ошибка: подтверждённый дубль",IF(S360="","Проверить: отметьте дубль",IF(S360="Нужно проверить","Проверить возможный дубль",IF(TODAY()-E360&gt;30,"Проверить: старше 30 дней",IF(COUNTIFS(#REF!,G360,#REF!,"Готово")=0,"Проверить источник","Готово"))))))))))</f>
        <v/>
      </c>
    </row>
    <row r="361" spans="1:21" ht="25.5" customHeight="1">
      <c r="A361" s="21"/>
      <c r="B361" s="22"/>
      <c r="C361" s="21"/>
      <c r="D361" s="23"/>
      <c r="E361" s="22"/>
      <c r="F361" s="22"/>
      <c r="G361" s="23"/>
      <c r="H361" s="24"/>
      <c r="I361" s="24"/>
      <c r="J361" s="23"/>
      <c r="K361" s="23"/>
      <c r="L361" s="23"/>
      <c r="M361" s="23"/>
      <c r="N361" s="23"/>
      <c r="O361" s="23"/>
      <c r="P361" s="23"/>
      <c r="Q361" s="25"/>
      <c r="R361" s="23"/>
      <c r="S361" s="23"/>
      <c r="T361" s="23"/>
      <c r="U361" s="20" t="str">
        <f ca="1">IF(COUNTA(A361:T361)=0,"",IF(OR(A361="",B361="",C361="",E361="",G361="",H361="",J361="",K361="",L361="",M361=""),"Ошибка: заполните обязательные поля",IF(AND(LEFT(H361,7)&lt;&gt;"http://",LEFT(H361,8)&lt;&gt;"https://"),"Ошибка: некорректная ссылка",IF(COUNTIF($H$6:$H$1005,H361)&gt;1,"Ошибка: дубликат URL",IF(E361&gt;TODAY(),"Ошибка: дата публикации в будущем",IF(S361="Да","Ошибка: подтверждённый дубль",IF(S361="","Проверить: отметьте дубль",IF(S361="Нужно проверить","Проверить возможный дубль",IF(TODAY()-E361&gt;30,"Проверить: старше 30 дней",IF(COUNTIFS(#REF!,G361,#REF!,"Готово")=0,"Проверить источник","Готово"))))))))))</f>
        <v/>
      </c>
    </row>
    <row r="362" spans="1:21" ht="25.5" customHeight="1">
      <c r="A362" s="21"/>
      <c r="B362" s="22"/>
      <c r="C362" s="21"/>
      <c r="D362" s="23"/>
      <c r="E362" s="22"/>
      <c r="F362" s="22"/>
      <c r="G362" s="23"/>
      <c r="H362" s="24"/>
      <c r="I362" s="24"/>
      <c r="J362" s="23"/>
      <c r="K362" s="23"/>
      <c r="L362" s="23"/>
      <c r="M362" s="23"/>
      <c r="N362" s="23"/>
      <c r="O362" s="23"/>
      <c r="P362" s="23"/>
      <c r="Q362" s="25"/>
      <c r="R362" s="23"/>
      <c r="S362" s="23"/>
      <c r="T362" s="23"/>
      <c r="U362" s="20" t="str">
        <f ca="1">IF(COUNTA(A362:T362)=0,"",IF(OR(A362="",B362="",C362="",E362="",G362="",H362="",J362="",K362="",L362="",M362=""),"Ошибка: заполните обязательные поля",IF(AND(LEFT(H362,7)&lt;&gt;"http://",LEFT(H362,8)&lt;&gt;"https://"),"Ошибка: некорректная ссылка",IF(COUNTIF($H$6:$H$1005,H362)&gt;1,"Ошибка: дубликат URL",IF(E362&gt;TODAY(),"Ошибка: дата публикации в будущем",IF(S362="Да","Ошибка: подтверждённый дубль",IF(S362="","Проверить: отметьте дубль",IF(S362="Нужно проверить","Проверить возможный дубль",IF(TODAY()-E362&gt;30,"Проверить: старше 30 дней",IF(COUNTIFS(#REF!,G362,#REF!,"Готово")=0,"Проверить источник","Готово"))))))))))</f>
        <v/>
      </c>
    </row>
    <row r="363" spans="1:21" ht="25.5" customHeight="1">
      <c r="A363" s="21"/>
      <c r="B363" s="22"/>
      <c r="C363" s="21"/>
      <c r="D363" s="23"/>
      <c r="E363" s="22"/>
      <c r="F363" s="22"/>
      <c r="G363" s="23"/>
      <c r="H363" s="24"/>
      <c r="I363" s="24"/>
      <c r="J363" s="23"/>
      <c r="K363" s="23"/>
      <c r="L363" s="23"/>
      <c r="M363" s="23"/>
      <c r="N363" s="23"/>
      <c r="O363" s="23"/>
      <c r="P363" s="23"/>
      <c r="Q363" s="25"/>
      <c r="R363" s="23"/>
      <c r="S363" s="23"/>
      <c r="T363" s="23"/>
      <c r="U363" s="20" t="str">
        <f ca="1">IF(COUNTA(A363:T363)=0,"",IF(OR(A363="",B363="",C363="",E363="",G363="",H363="",J363="",K363="",L363="",M363=""),"Ошибка: заполните обязательные поля",IF(AND(LEFT(H363,7)&lt;&gt;"http://",LEFT(H363,8)&lt;&gt;"https://"),"Ошибка: некорректная ссылка",IF(COUNTIF($H$6:$H$1005,H363)&gt;1,"Ошибка: дубликат URL",IF(E363&gt;TODAY(),"Ошибка: дата публикации в будущем",IF(S363="Да","Ошибка: подтверждённый дубль",IF(S363="","Проверить: отметьте дубль",IF(S363="Нужно проверить","Проверить возможный дубль",IF(TODAY()-E363&gt;30,"Проверить: старше 30 дней",IF(COUNTIFS(#REF!,G363,#REF!,"Готово")=0,"Проверить источник","Готово"))))))))))</f>
        <v/>
      </c>
    </row>
    <row r="364" spans="1:21" ht="25.5" customHeight="1">
      <c r="A364" s="21"/>
      <c r="B364" s="22"/>
      <c r="C364" s="21"/>
      <c r="D364" s="23"/>
      <c r="E364" s="22"/>
      <c r="F364" s="22"/>
      <c r="G364" s="23"/>
      <c r="H364" s="24"/>
      <c r="I364" s="24"/>
      <c r="J364" s="23"/>
      <c r="K364" s="23"/>
      <c r="L364" s="23"/>
      <c r="M364" s="23"/>
      <c r="N364" s="23"/>
      <c r="O364" s="23"/>
      <c r="P364" s="23"/>
      <c r="Q364" s="25"/>
      <c r="R364" s="23"/>
      <c r="S364" s="23"/>
      <c r="T364" s="23"/>
      <c r="U364" s="20" t="str">
        <f ca="1">IF(COUNTA(A364:T364)=0,"",IF(OR(A364="",B364="",C364="",E364="",G364="",H364="",J364="",K364="",L364="",M364=""),"Ошибка: заполните обязательные поля",IF(AND(LEFT(H364,7)&lt;&gt;"http://",LEFT(H364,8)&lt;&gt;"https://"),"Ошибка: некорректная ссылка",IF(COUNTIF($H$6:$H$1005,H364)&gt;1,"Ошибка: дубликат URL",IF(E364&gt;TODAY(),"Ошибка: дата публикации в будущем",IF(S364="Да","Ошибка: подтверждённый дубль",IF(S364="","Проверить: отметьте дубль",IF(S364="Нужно проверить","Проверить возможный дубль",IF(TODAY()-E364&gt;30,"Проверить: старше 30 дней",IF(COUNTIFS(#REF!,G364,#REF!,"Готово")=0,"Проверить источник","Готово"))))))))))</f>
        <v/>
      </c>
    </row>
    <row r="365" spans="1:21" ht="25.5" customHeight="1">
      <c r="A365" s="21"/>
      <c r="B365" s="22"/>
      <c r="C365" s="21"/>
      <c r="D365" s="23"/>
      <c r="E365" s="22"/>
      <c r="F365" s="22"/>
      <c r="G365" s="23"/>
      <c r="H365" s="24"/>
      <c r="I365" s="24"/>
      <c r="J365" s="23"/>
      <c r="K365" s="23"/>
      <c r="L365" s="23"/>
      <c r="M365" s="23"/>
      <c r="N365" s="23"/>
      <c r="O365" s="23"/>
      <c r="P365" s="23"/>
      <c r="Q365" s="25"/>
      <c r="R365" s="23"/>
      <c r="S365" s="23"/>
      <c r="T365" s="23"/>
      <c r="U365" s="20" t="str">
        <f ca="1">IF(COUNTA(A365:T365)=0,"",IF(OR(A365="",B365="",C365="",E365="",G365="",H365="",J365="",K365="",L365="",M365=""),"Ошибка: заполните обязательные поля",IF(AND(LEFT(H365,7)&lt;&gt;"http://",LEFT(H365,8)&lt;&gt;"https://"),"Ошибка: некорректная ссылка",IF(COUNTIF($H$6:$H$1005,H365)&gt;1,"Ошибка: дубликат URL",IF(E365&gt;TODAY(),"Ошибка: дата публикации в будущем",IF(S365="Да","Ошибка: подтверждённый дубль",IF(S365="","Проверить: отметьте дубль",IF(S365="Нужно проверить","Проверить возможный дубль",IF(TODAY()-E365&gt;30,"Проверить: старше 30 дней",IF(COUNTIFS(#REF!,G365,#REF!,"Готово")=0,"Проверить источник","Готово"))))))))))</f>
        <v/>
      </c>
    </row>
    <row r="366" spans="1:21" ht="25.5" customHeight="1">
      <c r="A366" s="21"/>
      <c r="B366" s="22"/>
      <c r="C366" s="21"/>
      <c r="D366" s="23"/>
      <c r="E366" s="22"/>
      <c r="F366" s="22"/>
      <c r="G366" s="23"/>
      <c r="H366" s="24"/>
      <c r="I366" s="24"/>
      <c r="J366" s="23"/>
      <c r="K366" s="23"/>
      <c r="L366" s="23"/>
      <c r="M366" s="23"/>
      <c r="N366" s="23"/>
      <c r="O366" s="23"/>
      <c r="P366" s="23"/>
      <c r="Q366" s="25"/>
      <c r="R366" s="23"/>
      <c r="S366" s="23"/>
      <c r="T366" s="23"/>
      <c r="U366" s="20" t="str">
        <f ca="1">IF(COUNTA(A366:T366)=0,"",IF(OR(A366="",B366="",C366="",E366="",G366="",H366="",J366="",K366="",L366="",M366=""),"Ошибка: заполните обязательные поля",IF(AND(LEFT(H366,7)&lt;&gt;"http://",LEFT(H366,8)&lt;&gt;"https://"),"Ошибка: некорректная ссылка",IF(COUNTIF($H$6:$H$1005,H366)&gt;1,"Ошибка: дубликат URL",IF(E366&gt;TODAY(),"Ошибка: дата публикации в будущем",IF(S366="Да","Ошибка: подтверждённый дубль",IF(S366="","Проверить: отметьте дубль",IF(S366="Нужно проверить","Проверить возможный дубль",IF(TODAY()-E366&gt;30,"Проверить: старше 30 дней",IF(COUNTIFS(#REF!,G366,#REF!,"Готово")=0,"Проверить источник","Готово"))))))))))</f>
        <v/>
      </c>
    </row>
    <row r="367" spans="1:21" ht="25.5" customHeight="1">
      <c r="A367" s="21"/>
      <c r="B367" s="22"/>
      <c r="C367" s="21"/>
      <c r="D367" s="23"/>
      <c r="E367" s="22"/>
      <c r="F367" s="22"/>
      <c r="G367" s="23"/>
      <c r="H367" s="24"/>
      <c r="I367" s="24"/>
      <c r="J367" s="23"/>
      <c r="K367" s="23"/>
      <c r="L367" s="23"/>
      <c r="M367" s="23"/>
      <c r="N367" s="23"/>
      <c r="O367" s="23"/>
      <c r="P367" s="23"/>
      <c r="Q367" s="25"/>
      <c r="R367" s="23"/>
      <c r="S367" s="23"/>
      <c r="T367" s="23"/>
      <c r="U367" s="20" t="str">
        <f ca="1">IF(COUNTA(A367:T367)=0,"",IF(OR(A367="",B367="",C367="",E367="",G367="",H367="",J367="",K367="",L367="",M367=""),"Ошибка: заполните обязательные поля",IF(AND(LEFT(H367,7)&lt;&gt;"http://",LEFT(H367,8)&lt;&gt;"https://"),"Ошибка: некорректная ссылка",IF(COUNTIF($H$6:$H$1005,H367)&gt;1,"Ошибка: дубликат URL",IF(E367&gt;TODAY(),"Ошибка: дата публикации в будущем",IF(S367="Да","Ошибка: подтверждённый дубль",IF(S367="","Проверить: отметьте дубль",IF(S367="Нужно проверить","Проверить возможный дубль",IF(TODAY()-E367&gt;30,"Проверить: старше 30 дней",IF(COUNTIFS(#REF!,G367,#REF!,"Готово")=0,"Проверить источник","Готово"))))))))))</f>
        <v/>
      </c>
    </row>
    <row r="368" spans="1:21" ht="25.5" customHeight="1">
      <c r="A368" s="21"/>
      <c r="B368" s="22"/>
      <c r="C368" s="21"/>
      <c r="D368" s="23"/>
      <c r="E368" s="22"/>
      <c r="F368" s="22"/>
      <c r="G368" s="23"/>
      <c r="H368" s="24"/>
      <c r="I368" s="24"/>
      <c r="J368" s="23"/>
      <c r="K368" s="23"/>
      <c r="L368" s="23"/>
      <c r="M368" s="23"/>
      <c r="N368" s="23"/>
      <c r="O368" s="23"/>
      <c r="P368" s="23"/>
      <c r="Q368" s="25"/>
      <c r="R368" s="23"/>
      <c r="S368" s="23"/>
      <c r="T368" s="23"/>
      <c r="U368" s="20" t="str">
        <f ca="1">IF(COUNTA(A368:T368)=0,"",IF(OR(A368="",B368="",C368="",E368="",G368="",H368="",J368="",K368="",L368="",M368=""),"Ошибка: заполните обязательные поля",IF(AND(LEFT(H368,7)&lt;&gt;"http://",LEFT(H368,8)&lt;&gt;"https://"),"Ошибка: некорректная ссылка",IF(COUNTIF($H$6:$H$1005,H368)&gt;1,"Ошибка: дубликат URL",IF(E368&gt;TODAY(),"Ошибка: дата публикации в будущем",IF(S368="Да","Ошибка: подтверждённый дубль",IF(S368="","Проверить: отметьте дубль",IF(S368="Нужно проверить","Проверить возможный дубль",IF(TODAY()-E368&gt;30,"Проверить: старше 30 дней",IF(COUNTIFS(#REF!,G368,#REF!,"Готово")=0,"Проверить источник","Готово"))))))))))</f>
        <v/>
      </c>
    </row>
    <row r="369" spans="1:21" ht="25.5" customHeight="1">
      <c r="A369" s="21"/>
      <c r="B369" s="22"/>
      <c r="C369" s="21"/>
      <c r="D369" s="23"/>
      <c r="E369" s="22"/>
      <c r="F369" s="22"/>
      <c r="G369" s="23"/>
      <c r="H369" s="24"/>
      <c r="I369" s="24"/>
      <c r="J369" s="23"/>
      <c r="K369" s="23"/>
      <c r="L369" s="23"/>
      <c r="M369" s="23"/>
      <c r="N369" s="23"/>
      <c r="O369" s="23"/>
      <c r="P369" s="23"/>
      <c r="Q369" s="25"/>
      <c r="R369" s="23"/>
      <c r="S369" s="23"/>
      <c r="T369" s="23"/>
      <c r="U369" s="20" t="str">
        <f ca="1">IF(COUNTA(A369:T369)=0,"",IF(OR(A369="",B369="",C369="",E369="",G369="",H369="",J369="",K369="",L369="",M369=""),"Ошибка: заполните обязательные поля",IF(AND(LEFT(H369,7)&lt;&gt;"http://",LEFT(H369,8)&lt;&gt;"https://"),"Ошибка: некорректная ссылка",IF(COUNTIF($H$6:$H$1005,H369)&gt;1,"Ошибка: дубликат URL",IF(E369&gt;TODAY(),"Ошибка: дата публикации в будущем",IF(S369="Да","Ошибка: подтверждённый дубль",IF(S369="","Проверить: отметьте дубль",IF(S369="Нужно проверить","Проверить возможный дубль",IF(TODAY()-E369&gt;30,"Проверить: старше 30 дней",IF(COUNTIFS(#REF!,G369,#REF!,"Готово")=0,"Проверить источник","Готово"))))))))))</f>
        <v/>
      </c>
    </row>
    <row r="370" spans="1:21" ht="25.5" customHeight="1">
      <c r="A370" s="21"/>
      <c r="B370" s="22"/>
      <c r="C370" s="21"/>
      <c r="D370" s="23"/>
      <c r="E370" s="22"/>
      <c r="F370" s="22"/>
      <c r="G370" s="23"/>
      <c r="H370" s="24"/>
      <c r="I370" s="24"/>
      <c r="J370" s="23"/>
      <c r="K370" s="23"/>
      <c r="L370" s="23"/>
      <c r="M370" s="23"/>
      <c r="N370" s="23"/>
      <c r="O370" s="23"/>
      <c r="P370" s="23"/>
      <c r="Q370" s="25"/>
      <c r="R370" s="23"/>
      <c r="S370" s="23"/>
      <c r="T370" s="23"/>
      <c r="U370" s="20" t="str">
        <f ca="1">IF(COUNTA(A370:T370)=0,"",IF(OR(A370="",B370="",C370="",E370="",G370="",H370="",J370="",K370="",L370="",M370=""),"Ошибка: заполните обязательные поля",IF(AND(LEFT(H370,7)&lt;&gt;"http://",LEFT(H370,8)&lt;&gt;"https://"),"Ошибка: некорректная ссылка",IF(COUNTIF($H$6:$H$1005,H370)&gt;1,"Ошибка: дубликат URL",IF(E370&gt;TODAY(),"Ошибка: дата публикации в будущем",IF(S370="Да","Ошибка: подтверждённый дубль",IF(S370="","Проверить: отметьте дубль",IF(S370="Нужно проверить","Проверить возможный дубль",IF(TODAY()-E370&gt;30,"Проверить: старше 30 дней",IF(COUNTIFS(#REF!,G370,#REF!,"Готово")=0,"Проверить источник","Готово"))))))))))</f>
        <v/>
      </c>
    </row>
    <row r="371" spans="1:21" ht="25.5" customHeight="1">
      <c r="A371" s="21"/>
      <c r="B371" s="22"/>
      <c r="C371" s="21"/>
      <c r="D371" s="23"/>
      <c r="E371" s="22"/>
      <c r="F371" s="22"/>
      <c r="G371" s="23"/>
      <c r="H371" s="24"/>
      <c r="I371" s="24"/>
      <c r="J371" s="23"/>
      <c r="K371" s="23"/>
      <c r="L371" s="23"/>
      <c r="M371" s="23"/>
      <c r="N371" s="23"/>
      <c r="O371" s="23"/>
      <c r="P371" s="23"/>
      <c r="Q371" s="25"/>
      <c r="R371" s="23"/>
      <c r="S371" s="23"/>
      <c r="T371" s="23"/>
      <c r="U371" s="20" t="str">
        <f ca="1">IF(COUNTA(A371:T371)=0,"",IF(OR(A371="",B371="",C371="",E371="",G371="",H371="",J371="",K371="",L371="",M371=""),"Ошибка: заполните обязательные поля",IF(AND(LEFT(H371,7)&lt;&gt;"http://",LEFT(H371,8)&lt;&gt;"https://"),"Ошибка: некорректная ссылка",IF(COUNTIF($H$6:$H$1005,H371)&gt;1,"Ошибка: дубликат URL",IF(E371&gt;TODAY(),"Ошибка: дата публикации в будущем",IF(S371="Да","Ошибка: подтверждённый дубль",IF(S371="","Проверить: отметьте дубль",IF(S371="Нужно проверить","Проверить возможный дубль",IF(TODAY()-E371&gt;30,"Проверить: старше 30 дней",IF(COUNTIFS(#REF!,G371,#REF!,"Готово")=0,"Проверить источник","Готово"))))))))))</f>
        <v/>
      </c>
    </row>
    <row r="372" spans="1:21" ht="25.5" customHeight="1">
      <c r="A372" s="21"/>
      <c r="B372" s="22"/>
      <c r="C372" s="21"/>
      <c r="D372" s="23"/>
      <c r="E372" s="22"/>
      <c r="F372" s="22"/>
      <c r="G372" s="23"/>
      <c r="H372" s="24"/>
      <c r="I372" s="24"/>
      <c r="J372" s="23"/>
      <c r="K372" s="23"/>
      <c r="L372" s="23"/>
      <c r="M372" s="23"/>
      <c r="N372" s="23"/>
      <c r="O372" s="23"/>
      <c r="P372" s="23"/>
      <c r="Q372" s="25"/>
      <c r="R372" s="23"/>
      <c r="S372" s="23"/>
      <c r="T372" s="23"/>
      <c r="U372" s="20" t="str">
        <f ca="1">IF(COUNTA(A372:T372)=0,"",IF(OR(A372="",B372="",C372="",E372="",G372="",H372="",J372="",K372="",L372="",M372=""),"Ошибка: заполните обязательные поля",IF(AND(LEFT(H372,7)&lt;&gt;"http://",LEFT(H372,8)&lt;&gt;"https://"),"Ошибка: некорректная ссылка",IF(COUNTIF($H$6:$H$1005,H372)&gt;1,"Ошибка: дубликат URL",IF(E372&gt;TODAY(),"Ошибка: дата публикации в будущем",IF(S372="Да","Ошибка: подтверждённый дубль",IF(S372="","Проверить: отметьте дубль",IF(S372="Нужно проверить","Проверить возможный дубль",IF(TODAY()-E372&gt;30,"Проверить: старше 30 дней",IF(COUNTIFS(#REF!,G372,#REF!,"Готово")=0,"Проверить источник","Готово"))))))))))</f>
        <v/>
      </c>
    </row>
    <row r="373" spans="1:21" ht="25.5" customHeight="1">
      <c r="A373" s="21"/>
      <c r="B373" s="22"/>
      <c r="C373" s="21"/>
      <c r="D373" s="23"/>
      <c r="E373" s="22"/>
      <c r="F373" s="22"/>
      <c r="G373" s="23"/>
      <c r="H373" s="24"/>
      <c r="I373" s="24"/>
      <c r="J373" s="23"/>
      <c r="K373" s="23"/>
      <c r="L373" s="23"/>
      <c r="M373" s="23"/>
      <c r="N373" s="23"/>
      <c r="O373" s="23"/>
      <c r="P373" s="23"/>
      <c r="Q373" s="25"/>
      <c r="R373" s="23"/>
      <c r="S373" s="23"/>
      <c r="T373" s="23"/>
      <c r="U373" s="20" t="str">
        <f ca="1">IF(COUNTA(A373:T373)=0,"",IF(OR(A373="",B373="",C373="",E373="",G373="",H373="",J373="",K373="",L373="",M373=""),"Ошибка: заполните обязательные поля",IF(AND(LEFT(H373,7)&lt;&gt;"http://",LEFT(H373,8)&lt;&gt;"https://"),"Ошибка: некорректная ссылка",IF(COUNTIF($H$6:$H$1005,H373)&gt;1,"Ошибка: дубликат URL",IF(E373&gt;TODAY(),"Ошибка: дата публикации в будущем",IF(S373="Да","Ошибка: подтверждённый дубль",IF(S373="","Проверить: отметьте дубль",IF(S373="Нужно проверить","Проверить возможный дубль",IF(TODAY()-E373&gt;30,"Проверить: старше 30 дней",IF(COUNTIFS(#REF!,G373,#REF!,"Готово")=0,"Проверить источник","Готово"))))))))))</f>
        <v/>
      </c>
    </row>
    <row r="374" spans="1:21" ht="25.5" customHeight="1">
      <c r="A374" s="21"/>
      <c r="B374" s="22"/>
      <c r="C374" s="21"/>
      <c r="D374" s="23"/>
      <c r="E374" s="22"/>
      <c r="F374" s="22"/>
      <c r="G374" s="23"/>
      <c r="H374" s="24"/>
      <c r="I374" s="24"/>
      <c r="J374" s="23"/>
      <c r="K374" s="23"/>
      <c r="L374" s="23"/>
      <c r="M374" s="23"/>
      <c r="N374" s="23"/>
      <c r="O374" s="23"/>
      <c r="P374" s="23"/>
      <c r="Q374" s="25"/>
      <c r="R374" s="23"/>
      <c r="S374" s="23"/>
      <c r="T374" s="23"/>
      <c r="U374" s="20" t="str">
        <f ca="1">IF(COUNTA(A374:T374)=0,"",IF(OR(A374="",B374="",C374="",E374="",G374="",H374="",J374="",K374="",L374="",M374=""),"Ошибка: заполните обязательные поля",IF(AND(LEFT(H374,7)&lt;&gt;"http://",LEFT(H374,8)&lt;&gt;"https://"),"Ошибка: некорректная ссылка",IF(COUNTIF($H$6:$H$1005,H374)&gt;1,"Ошибка: дубликат URL",IF(E374&gt;TODAY(),"Ошибка: дата публикации в будущем",IF(S374="Да","Ошибка: подтверждённый дубль",IF(S374="","Проверить: отметьте дубль",IF(S374="Нужно проверить","Проверить возможный дубль",IF(TODAY()-E374&gt;30,"Проверить: старше 30 дней",IF(COUNTIFS(#REF!,G374,#REF!,"Готово")=0,"Проверить источник","Готово"))))))))))</f>
        <v/>
      </c>
    </row>
    <row r="375" spans="1:21" ht="25.5" customHeight="1">
      <c r="A375" s="21"/>
      <c r="B375" s="22"/>
      <c r="C375" s="21"/>
      <c r="D375" s="23"/>
      <c r="E375" s="22"/>
      <c r="F375" s="22"/>
      <c r="G375" s="23"/>
      <c r="H375" s="24"/>
      <c r="I375" s="24"/>
      <c r="J375" s="23"/>
      <c r="K375" s="23"/>
      <c r="L375" s="23"/>
      <c r="M375" s="23"/>
      <c r="N375" s="23"/>
      <c r="O375" s="23"/>
      <c r="P375" s="23"/>
      <c r="Q375" s="25"/>
      <c r="R375" s="23"/>
      <c r="S375" s="23"/>
      <c r="T375" s="23"/>
      <c r="U375" s="20" t="str">
        <f ca="1">IF(COUNTA(A375:T375)=0,"",IF(OR(A375="",B375="",C375="",E375="",G375="",H375="",J375="",K375="",L375="",M375=""),"Ошибка: заполните обязательные поля",IF(AND(LEFT(H375,7)&lt;&gt;"http://",LEFT(H375,8)&lt;&gt;"https://"),"Ошибка: некорректная ссылка",IF(COUNTIF($H$6:$H$1005,H375)&gt;1,"Ошибка: дубликат URL",IF(E375&gt;TODAY(),"Ошибка: дата публикации в будущем",IF(S375="Да","Ошибка: подтверждённый дубль",IF(S375="","Проверить: отметьте дубль",IF(S375="Нужно проверить","Проверить возможный дубль",IF(TODAY()-E375&gt;30,"Проверить: старше 30 дней",IF(COUNTIFS(#REF!,G375,#REF!,"Готово")=0,"Проверить источник","Готово"))))))))))</f>
        <v/>
      </c>
    </row>
    <row r="376" spans="1:21" ht="25.5" customHeight="1">
      <c r="A376" s="21"/>
      <c r="B376" s="22"/>
      <c r="C376" s="21"/>
      <c r="D376" s="23"/>
      <c r="E376" s="22"/>
      <c r="F376" s="22"/>
      <c r="G376" s="23"/>
      <c r="H376" s="24"/>
      <c r="I376" s="24"/>
      <c r="J376" s="23"/>
      <c r="K376" s="23"/>
      <c r="L376" s="23"/>
      <c r="M376" s="23"/>
      <c r="N376" s="23"/>
      <c r="O376" s="23"/>
      <c r="P376" s="23"/>
      <c r="Q376" s="25"/>
      <c r="R376" s="23"/>
      <c r="S376" s="23"/>
      <c r="T376" s="23"/>
      <c r="U376" s="20" t="str">
        <f ca="1">IF(COUNTA(A376:T376)=0,"",IF(OR(A376="",B376="",C376="",E376="",G376="",H376="",J376="",K376="",L376="",M376=""),"Ошибка: заполните обязательные поля",IF(AND(LEFT(H376,7)&lt;&gt;"http://",LEFT(H376,8)&lt;&gt;"https://"),"Ошибка: некорректная ссылка",IF(COUNTIF($H$6:$H$1005,H376)&gt;1,"Ошибка: дубликат URL",IF(E376&gt;TODAY(),"Ошибка: дата публикации в будущем",IF(S376="Да","Ошибка: подтверждённый дубль",IF(S376="","Проверить: отметьте дубль",IF(S376="Нужно проверить","Проверить возможный дубль",IF(TODAY()-E376&gt;30,"Проверить: старше 30 дней",IF(COUNTIFS(#REF!,G376,#REF!,"Готово")=0,"Проверить источник","Готово"))))))))))</f>
        <v/>
      </c>
    </row>
    <row r="377" spans="1:21" ht="25.5" customHeight="1">
      <c r="A377" s="21"/>
      <c r="B377" s="22"/>
      <c r="C377" s="21"/>
      <c r="D377" s="23"/>
      <c r="E377" s="22"/>
      <c r="F377" s="22"/>
      <c r="G377" s="23"/>
      <c r="H377" s="24"/>
      <c r="I377" s="24"/>
      <c r="J377" s="23"/>
      <c r="K377" s="23"/>
      <c r="L377" s="23"/>
      <c r="M377" s="23"/>
      <c r="N377" s="23"/>
      <c r="O377" s="23"/>
      <c r="P377" s="23"/>
      <c r="Q377" s="25"/>
      <c r="R377" s="23"/>
      <c r="S377" s="23"/>
      <c r="T377" s="23"/>
      <c r="U377" s="20" t="str">
        <f ca="1">IF(COUNTA(A377:T377)=0,"",IF(OR(A377="",B377="",C377="",E377="",G377="",H377="",J377="",K377="",L377="",M377=""),"Ошибка: заполните обязательные поля",IF(AND(LEFT(H377,7)&lt;&gt;"http://",LEFT(H377,8)&lt;&gt;"https://"),"Ошибка: некорректная ссылка",IF(COUNTIF($H$6:$H$1005,H377)&gt;1,"Ошибка: дубликат URL",IF(E377&gt;TODAY(),"Ошибка: дата публикации в будущем",IF(S377="Да","Ошибка: подтверждённый дубль",IF(S377="","Проверить: отметьте дубль",IF(S377="Нужно проверить","Проверить возможный дубль",IF(TODAY()-E377&gt;30,"Проверить: старше 30 дней",IF(COUNTIFS(#REF!,G377,#REF!,"Готово")=0,"Проверить источник","Готово"))))))))))</f>
        <v/>
      </c>
    </row>
    <row r="378" spans="1:21" ht="25.5" customHeight="1">
      <c r="A378" s="21"/>
      <c r="B378" s="22"/>
      <c r="C378" s="21"/>
      <c r="D378" s="23"/>
      <c r="E378" s="22"/>
      <c r="F378" s="22"/>
      <c r="G378" s="23"/>
      <c r="H378" s="24"/>
      <c r="I378" s="24"/>
      <c r="J378" s="23"/>
      <c r="K378" s="23"/>
      <c r="L378" s="23"/>
      <c r="M378" s="23"/>
      <c r="N378" s="23"/>
      <c r="O378" s="23"/>
      <c r="P378" s="23"/>
      <c r="Q378" s="25"/>
      <c r="R378" s="23"/>
      <c r="S378" s="23"/>
      <c r="T378" s="23"/>
      <c r="U378" s="20" t="str">
        <f ca="1">IF(COUNTA(A378:T378)=0,"",IF(OR(A378="",B378="",C378="",E378="",G378="",H378="",J378="",K378="",L378="",M378=""),"Ошибка: заполните обязательные поля",IF(AND(LEFT(H378,7)&lt;&gt;"http://",LEFT(H378,8)&lt;&gt;"https://"),"Ошибка: некорректная ссылка",IF(COUNTIF($H$6:$H$1005,H378)&gt;1,"Ошибка: дубликат URL",IF(E378&gt;TODAY(),"Ошибка: дата публикации в будущем",IF(S378="Да","Ошибка: подтверждённый дубль",IF(S378="","Проверить: отметьте дубль",IF(S378="Нужно проверить","Проверить возможный дубль",IF(TODAY()-E378&gt;30,"Проверить: старше 30 дней",IF(COUNTIFS(#REF!,G378,#REF!,"Готово")=0,"Проверить источник","Готово"))))))))))</f>
        <v/>
      </c>
    </row>
    <row r="379" spans="1:21" ht="25.5" customHeight="1">
      <c r="A379" s="21"/>
      <c r="B379" s="22"/>
      <c r="C379" s="21"/>
      <c r="D379" s="23"/>
      <c r="E379" s="22"/>
      <c r="F379" s="22"/>
      <c r="G379" s="23"/>
      <c r="H379" s="24"/>
      <c r="I379" s="24"/>
      <c r="J379" s="23"/>
      <c r="K379" s="23"/>
      <c r="L379" s="23"/>
      <c r="M379" s="23"/>
      <c r="N379" s="23"/>
      <c r="O379" s="23"/>
      <c r="P379" s="23"/>
      <c r="Q379" s="25"/>
      <c r="R379" s="23"/>
      <c r="S379" s="23"/>
      <c r="T379" s="23"/>
      <c r="U379" s="20" t="str">
        <f ca="1">IF(COUNTA(A379:T379)=0,"",IF(OR(A379="",B379="",C379="",E379="",G379="",H379="",J379="",K379="",L379="",M379=""),"Ошибка: заполните обязательные поля",IF(AND(LEFT(H379,7)&lt;&gt;"http://",LEFT(H379,8)&lt;&gt;"https://"),"Ошибка: некорректная ссылка",IF(COUNTIF($H$6:$H$1005,H379)&gt;1,"Ошибка: дубликат URL",IF(E379&gt;TODAY(),"Ошибка: дата публикации в будущем",IF(S379="Да","Ошибка: подтверждённый дубль",IF(S379="","Проверить: отметьте дубль",IF(S379="Нужно проверить","Проверить возможный дубль",IF(TODAY()-E379&gt;30,"Проверить: старше 30 дней",IF(COUNTIFS(#REF!,G379,#REF!,"Готово")=0,"Проверить источник","Готово"))))))))))</f>
        <v/>
      </c>
    </row>
    <row r="380" spans="1:21" ht="25.5" customHeight="1">
      <c r="A380" s="21"/>
      <c r="B380" s="22"/>
      <c r="C380" s="21"/>
      <c r="D380" s="23"/>
      <c r="E380" s="22"/>
      <c r="F380" s="22"/>
      <c r="G380" s="23"/>
      <c r="H380" s="24"/>
      <c r="I380" s="24"/>
      <c r="J380" s="23"/>
      <c r="K380" s="23"/>
      <c r="L380" s="23"/>
      <c r="M380" s="23"/>
      <c r="N380" s="23"/>
      <c r="O380" s="23"/>
      <c r="P380" s="23"/>
      <c r="Q380" s="25"/>
      <c r="R380" s="23"/>
      <c r="S380" s="23"/>
      <c r="T380" s="23"/>
      <c r="U380" s="20" t="str">
        <f ca="1">IF(COUNTA(A380:T380)=0,"",IF(OR(A380="",B380="",C380="",E380="",G380="",H380="",J380="",K380="",L380="",M380=""),"Ошибка: заполните обязательные поля",IF(AND(LEFT(H380,7)&lt;&gt;"http://",LEFT(H380,8)&lt;&gt;"https://"),"Ошибка: некорректная ссылка",IF(COUNTIF($H$6:$H$1005,H380)&gt;1,"Ошибка: дубликат URL",IF(E380&gt;TODAY(),"Ошибка: дата публикации в будущем",IF(S380="Да","Ошибка: подтверждённый дубль",IF(S380="","Проверить: отметьте дубль",IF(S380="Нужно проверить","Проверить возможный дубль",IF(TODAY()-E380&gt;30,"Проверить: старше 30 дней",IF(COUNTIFS(#REF!,G380,#REF!,"Готово")=0,"Проверить источник","Готово"))))))))))</f>
        <v/>
      </c>
    </row>
    <row r="381" spans="1:21" ht="25.5" customHeight="1">
      <c r="A381" s="21"/>
      <c r="B381" s="22"/>
      <c r="C381" s="21"/>
      <c r="D381" s="23"/>
      <c r="E381" s="22"/>
      <c r="F381" s="22"/>
      <c r="G381" s="23"/>
      <c r="H381" s="24"/>
      <c r="I381" s="24"/>
      <c r="J381" s="23"/>
      <c r="K381" s="23"/>
      <c r="L381" s="23"/>
      <c r="M381" s="23"/>
      <c r="N381" s="23"/>
      <c r="O381" s="23"/>
      <c r="P381" s="23"/>
      <c r="Q381" s="25"/>
      <c r="R381" s="23"/>
      <c r="S381" s="23"/>
      <c r="T381" s="23"/>
      <c r="U381" s="20" t="str">
        <f ca="1">IF(COUNTA(A381:T381)=0,"",IF(OR(A381="",B381="",C381="",E381="",G381="",H381="",J381="",K381="",L381="",M381=""),"Ошибка: заполните обязательные поля",IF(AND(LEFT(H381,7)&lt;&gt;"http://",LEFT(H381,8)&lt;&gt;"https://"),"Ошибка: некорректная ссылка",IF(COUNTIF($H$6:$H$1005,H381)&gt;1,"Ошибка: дубликат URL",IF(E381&gt;TODAY(),"Ошибка: дата публикации в будущем",IF(S381="Да","Ошибка: подтверждённый дубль",IF(S381="","Проверить: отметьте дубль",IF(S381="Нужно проверить","Проверить возможный дубль",IF(TODAY()-E381&gt;30,"Проверить: старше 30 дней",IF(COUNTIFS(#REF!,G381,#REF!,"Готово")=0,"Проверить источник","Готово"))))))))))</f>
        <v/>
      </c>
    </row>
    <row r="382" spans="1:21" ht="25.5" customHeight="1">
      <c r="A382" s="21"/>
      <c r="B382" s="22"/>
      <c r="C382" s="21"/>
      <c r="D382" s="23"/>
      <c r="E382" s="22"/>
      <c r="F382" s="22"/>
      <c r="G382" s="23"/>
      <c r="H382" s="24"/>
      <c r="I382" s="24"/>
      <c r="J382" s="23"/>
      <c r="K382" s="23"/>
      <c r="L382" s="23"/>
      <c r="M382" s="23"/>
      <c r="N382" s="23"/>
      <c r="O382" s="23"/>
      <c r="P382" s="23"/>
      <c r="Q382" s="25"/>
      <c r="R382" s="23"/>
      <c r="S382" s="23"/>
      <c r="T382" s="23"/>
      <c r="U382" s="20" t="str">
        <f ca="1">IF(COUNTA(A382:T382)=0,"",IF(OR(A382="",B382="",C382="",E382="",G382="",H382="",J382="",K382="",L382="",M382=""),"Ошибка: заполните обязательные поля",IF(AND(LEFT(H382,7)&lt;&gt;"http://",LEFT(H382,8)&lt;&gt;"https://"),"Ошибка: некорректная ссылка",IF(COUNTIF($H$6:$H$1005,H382)&gt;1,"Ошибка: дубликат URL",IF(E382&gt;TODAY(),"Ошибка: дата публикации в будущем",IF(S382="Да","Ошибка: подтверждённый дубль",IF(S382="","Проверить: отметьте дубль",IF(S382="Нужно проверить","Проверить возможный дубль",IF(TODAY()-E382&gt;30,"Проверить: старше 30 дней",IF(COUNTIFS(#REF!,G382,#REF!,"Готово")=0,"Проверить источник","Готово"))))))))))</f>
        <v/>
      </c>
    </row>
    <row r="383" spans="1:21" ht="25.5" customHeight="1">
      <c r="A383" s="21"/>
      <c r="B383" s="22"/>
      <c r="C383" s="21"/>
      <c r="D383" s="23"/>
      <c r="E383" s="22"/>
      <c r="F383" s="22"/>
      <c r="G383" s="23"/>
      <c r="H383" s="24"/>
      <c r="I383" s="24"/>
      <c r="J383" s="23"/>
      <c r="K383" s="23"/>
      <c r="L383" s="23"/>
      <c r="M383" s="23"/>
      <c r="N383" s="23"/>
      <c r="O383" s="23"/>
      <c r="P383" s="23"/>
      <c r="Q383" s="25"/>
      <c r="R383" s="23"/>
      <c r="S383" s="23"/>
      <c r="T383" s="23"/>
      <c r="U383" s="20" t="str">
        <f ca="1">IF(COUNTA(A383:T383)=0,"",IF(OR(A383="",B383="",C383="",E383="",G383="",H383="",J383="",K383="",L383="",M383=""),"Ошибка: заполните обязательные поля",IF(AND(LEFT(H383,7)&lt;&gt;"http://",LEFT(H383,8)&lt;&gt;"https://"),"Ошибка: некорректная ссылка",IF(COUNTIF($H$6:$H$1005,H383)&gt;1,"Ошибка: дубликат URL",IF(E383&gt;TODAY(),"Ошибка: дата публикации в будущем",IF(S383="Да","Ошибка: подтверждённый дубль",IF(S383="","Проверить: отметьте дубль",IF(S383="Нужно проверить","Проверить возможный дубль",IF(TODAY()-E383&gt;30,"Проверить: старше 30 дней",IF(COUNTIFS(#REF!,G383,#REF!,"Готово")=0,"Проверить источник","Готово"))))))))))</f>
        <v/>
      </c>
    </row>
    <row r="384" spans="1:21" ht="25.5" customHeight="1">
      <c r="A384" s="21"/>
      <c r="B384" s="22"/>
      <c r="C384" s="21"/>
      <c r="D384" s="23"/>
      <c r="E384" s="22"/>
      <c r="F384" s="22"/>
      <c r="G384" s="23"/>
      <c r="H384" s="24"/>
      <c r="I384" s="24"/>
      <c r="J384" s="23"/>
      <c r="K384" s="23"/>
      <c r="L384" s="23"/>
      <c r="M384" s="23"/>
      <c r="N384" s="23"/>
      <c r="O384" s="23"/>
      <c r="P384" s="23"/>
      <c r="Q384" s="25"/>
      <c r="R384" s="23"/>
      <c r="S384" s="23"/>
      <c r="T384" s="23"/>
      <c r="U384" s="20" t="str">
        <f ca="1">IF(COUNTA(A384:T384)=0,"",IF(OR(A384="",B384="",C384="",E384="",G384="",H384="",J384="",K384="",L384="",M384=""),"Ошибка: заполните обязательные поля",IF(AND(LEFT(H384,7)&lt;&gt;"http://",LEFT(H384,8)&lt;&gt;"https://"),"Ошибка: некорректная ссылка",IF(COUNTIF($H$6:$H$1005,H384)&gt;1,"Ошибка: дубликат URL",IF(E384&gt;TODAY(),"Ошибка: дата публикации в будущем",IF(S384="Да","Ошибка: подтверждённый дубль",IF(S384="","Проверить: отметьте дубль",IF(S384="Нужно проверить","Проверить возможный дубль",IF(TODAY()-E384&gt;30,"Проверить: старше 30 дней",IF(COUNTIFS(#REF!,G384,#REF!,"Готово")=0,"Проверить источник","Готово"))))))))))</f>
        <v/>
      </c>
    </row>
    <row r="385" spans="1:21" ht="25.5" customHeight="1">
      <c r="A385" s="21"/>
      <c r="B385" s="22"/>
      <c r="C385" s="21"/>
      <c r="D385" s="23"/>
      <c r="E385" s="22"/>
      <c r="F385" s="22"/>
      <c r="G385" s="23"/>
      <c r="H385" s="24"/>
      <c r="I385" s="24"/>
      <c r="J385" s="23"/>
      <c r="K385" s="23"/>
      <c r="L385" s="23"/>
      <c r="M385" s="23"/>
      <c r="N385" s="23"/>
      <c r="O385" s="23"/>
      <c r="P385" s="23"/>
      <c r="Q385" s="25"/>
      <c r="R385" s="23"/>
      <c r="S385" s="23"/>
      <c r="T385" s="23"/>
      <c r="U385" s="20" t="str">
        <f ca="1">IF(COUNTA(A385:T385)=0,"",IF(OR(A385="",B385="",C385="",E385="",G385="",H385="",J385="",K385="",L385="",M385=""),"Ошибка: заполните обязательные поля",IF(AND(LEFT(H385,7)&lt;&gt;"http://",LEFT(H385,8)&lt;&gt;"https://"),"Ошибка: некорректная ссылка",IF(COUNTIF($H$6:$H$1005,H385)&gt;1,"Ошибка: дубликат URL",IF(E385&gt;TODAY(),"Ошибка: дата публикации в будущем",IF(S385="Да","Ошибка: подтверждённый дубль",IF(S385="","Проверить: отметьте дубль",IF(S385="Нужно проверить","Проверить возможный дубль",IF(TODAY()-E385&gt;30,"Проверить: старше 30 дней",IF(COUNTIFS(#REF!,G385,#REF!,"Готово")=0,"Проверить источник","Готово"))))))))))</f>
        <v/>
      </c>
    </row>
    <row r="386" spans="1:21" ht="25.5" customHeight="1">
      <c r="A386" s="21"/>
      <c r="B386" s="22"/>
      <c r="C386" s="21"/>
      <c r="D386" s="23"/>
      <c r="E386" s="22"/>
      <c r="F386" s="22"/>
      <c r="G386" s="23"/>
      <c r="H386" s="24"/>
      <c r="I386" s="24"/>
      <c r="J386" s="23"/>
      <c r="K386" s="23"/>
      <c r="L386" s="23"/>
      <c r="M386" s="23"/>
      <c r="N386" s="23"/>
      <c r="O386" s="23"/>
      <c r="P386" s="23"/>
      <c r="Q386" s="25"/>
      <c r="R386" s="23"/>
      <c r="S386" s="23"/>
      <c r="T386" s="23"/>
      <c r="U386" s="20" t="str">
        <f ca="1">IF(COUNTA(A386:T386)=0,"",IF(OR(A386="",B386="",C386="",E386="",G386="",H386="",J386="",K386="",L386="",M386=""),"Ошибка: заполните обязательные поля",IF(AND(LEFT(H386,7)&lt;&gt;"http://",LEFT(H386,8)&lt;&gt;"https://"),"Ошибка: некорректная ссылка",IF(COUNTIF($H$6:$H$1005,H386)&gt;1,"Ошибка: дубликат URL",IF(E386&gt;TODAY(),"Ошибка: дата публикации в будущем",IF(S386="Да","Ошибка: подтверждённый дубль",IF(S386="","Проверить: отметьте дубль",IF(S386="Нужно проверить","Проверить возможный дубль",IF(TODAY()-E386&gt;30,"Проверить: старше 30 дней",IF(COUNTIFS(#REF!,G386,#REF!,"Готово")=0,"Проверить источник","Готово"))))))))))</f>
        <v/>
      </c>
    </row>
    <row r="387" spans="1:21" ht="25.5" customHeight="1">
      <c r="A387" s="21"/>
      <c r="B387" s="22"/>
      <c r="C387" s="21"/>
      <c r="D387" s="23"/>
      <c r="E387" s="22"/>
      <c r="F387" s="22"/>
      <c r="G387" s="23"/>
      <c r="H387" s="24"/>
      <c r="I387" s="24"/>
      <c r="J387" s="23"/>
      <c r="K387" s="23"/>
      <c r="L387" s="23"/>
      <c r="M387" s="23"/>
      <c r="N387" s="23"/>
      <c r="O387" s="23"/>
      <c r="P387" s="23"/>
      <c r="Q387" s="25"/>
      <c r="R387" s="23"/>
      <c r="S387" s="23"/>
      <c r="T387" s="23"/>
      <c r="U387" s="20" t="str">
        <f ca="1">IF(COUNTA(A387:T387)=0,"",IF(OR(A387="",B387="",C387="",E387="",G387="",H387="",J387="",K387="",L387="",M387=""),"Ошибка: заполните обязательные поля",IF(AND(LEFT(H387,7)&lt;&gt;"http://",LEFT(H387,8)&lt;&gt;"https://"),"Ошибка: некорректная ссылка",IF(COUNTIF($H$6:$H$1005,H387)&gt;1,"Ошибка: дубликат URL",IF(E387&gt;TODAY(),"Ошибка: дата публикации в будущем",IF(S387="Да","Ошибка: подтверждённый дубль",IF(S387="","Проверить: отметьте дубль",IF(S387="Нужно проверить","Проверить возможный дубль",IF(TODAY()-E387&gt;30,"Проверить: старше 30 дней",IF(COUNTIFS(#REF!,G387,#REF!,"Готово")=0,"Проверить источник","Готово"))))))))))</f>
        <v/>
      </c>
    </row>
    <row r="388" spans="1:21" ht="25.5" customHeight="1">
      <c r="A388" s="21"/>
      <c r="B388" s="22"/>
      <c r="C388" s="21"/>
      <c r="D388" s="23"/>
      <c r="E388" s="22"/>
      <c r="F388" s="22"/>
      <c r="G388" s="23"/>
      <c r="H388" s="24"/>
      <c r="I388" s="24"/>
      <c r="J388" s="23"/>
      <c r="K388" s="23"/>
      <c r="L388" s="23"/>
      <c r="M388" s="23"/>
      <c r="N388" s="23"/>
      <c r="O388" s="23"/>
      <c r="P388" s="23"/>
      <c r="Q388" s="25"/>
      <c r="R388" s="23"/>
      <c r="S388" s="23"/>
      <c r="T388" s="23"/>
      <c r="U388" s="20" t="str">
        <f ca="1">IF(COUNTA(A388:T388)=0,"",IF(OR(A388="",B388="",C388="",E388="",G388="",H388="",J388="",K388="",L388="",M388=""),"Ошибка: заполните обязательные поля",IF(AND(LEFT(H388,7)&lt;&gt;"http://",LEFT(H388,8)&lt;&gt;"https://"),"Ошибка: некорректная ссылка",IF(COUNTIF($H$6:$H$1005,H388)&gt;1,"Ошибка: дубликат URL",IF(E388&gt;TODAY(),"Ошибка: дата публикации в будущем",IF(S388="Да","Ошибка: подтверждённый дубль",IF(S388="","Проверить: отметьте дубль",IF(S388="Нужно проверить","Проверить возможный дубль",IF(TODAY()-E388&gt;30,"Проверить: старше 30 дней",IF(COUNTIFS(#REF!,G388,#REF!,"Готово")=0,"Проверить источник","Готово"))))))))))</f>
        <v/>
      </c>
    </row>
    <row r="389" spans="1:21" ht="25.5" customHeight="1">
      <c r="A389" s="21"/>
      <c r="B389" s="22"/>
      <c r="C389" s="21"/>
      <c r="D389" s="23"/>
      <c r="E389" s="22"/>
      <c r="F389" s="22"/>
      <c r="G389" s="23"/>
      <c r="H389" s="24"/>
      <c r="I389" s="24"/>
      <c r="J389" s="23"/>
      <c r="K389" s="23"/>
      <c r="L389" s="23"/>
      <c r="M389" s="23"/>
      <c r="N389" s="23"/>
      <c r="O389" s="23"/>
      <c r="P389" s="23"/>
      <c r="Q389" s="25"/>
      <c r="R389" s="23"/>
      <c r="S389" s="23"/>
      <c r="T389" s="23"/>
      <c r="U389" s="20" t="str">
        <f ca="1">IF(COUNTA(A389:T389)=0,"",IF(OR(A389="",B389="",C389="",E389="",G389="",H389="",J389="",K389="",L389="",M389=""),"Ошибка: заполните обязательные поля",IF(AND(LEFT(H389,7)&lt;&gt;"http://",LEFT(H389,8)&lt;&gt;"https://"),"Ошибка: некорректная ссылка",IF(COUNTIF($H$6:$H$1005,H389)&gt;1,"Ошибка: дубликат URL",IF(E389&gt;TODAY(),"Ошибка: дата публикации в будущем",IF(S389="Да","Ошибка: подтверждённый дубль",IF(S389="","Проверить: отметьте дубль",IF(S389="Нужно проверить","Проверить возможный дубль",IF(TODAY()-E389&gt;30,"Проверить: старше 30 дней",IF(COUNTIFS(#REF!,G389,#REF!,"Готово")=0,"Проверить источник","Готово"))))))))))</f>
        <v/>
      </c>
    </row>
    <row r="390" spans="1:21" ht="25.5" customHeight="1">
      <c r="A390" s="21"/>
      <c r="B390" s="22"/>
      <c r="C390" s="21"/>
      <c r="D390" s="23"/>
      <c r="E390" s="22"/>
      <c r="F390" s="22"/>
      <c r="G390" s="23"/>
      <c r="H390" s="24"/>
      <c r="I390" s="24"/>
      <c r="J390" s="23"/>
      <c r="K390" s="23"/>
      <c r="L390" s="23"/>
      <c r="M390" s="23"/>
      <c r="N390" s="23"/>
      <c r="O390" s="23"/>
      <c r="P390" s="23"/>
      <c r="Q390" s="25"/>
      <c r="R390" s="23"/>
      <c r="S390" s="23"/>
      <c r="T390" s="23"/>
      <c r="U390" s="20" t="str">
        <f ca="1">IF(COUNTA(A390:T390)=0,"",IF(OR(A390="",B390="",C390="",E390="",G390="",H390="",J390="",K390="",L390="",M390=""),"Ошибка: заполните обязательные поля",IF(AND(LEFT(H390,7)&lt;&gt;"http://",LEFT(H390,8)&lt;&gt;"https://"),"Ошибка: некорректная ссылка",IF(COUNTIF($H$6:$H$1005,H390)&gt;1,"Ошибка: дубликат URL",IF(E390&gt;TODAY(),"Ошибка: дата публикации в будущем",IF(S390="Да","Ошибка: подтверждённый дубль",IF(S390="","Проверить: отметьте дубль",IF(S390="Нужно проверить","Проверить возможный дубль",IF(TODAY()-E390&gt;30,"Проверить: старше 30 дней",IF(COUNTIFS(#REF!,G390,#REF!,"Готово")=0,"Проверить источник","Готово"))))))))))</f>
        <v/>
      </c>
    </row>
    <row r="391" spans="1:21" ht="25.5" customHeight="1">
      <c r="A391" s="21"/>
      <c r="B391" s="22"/>
      <c r="C391" s="21"/>
      <c r="D391" s="23"/>
      <c r="E391" s="22"/>
      <c r="F391" s="22"/>
      <c r="G391" s="23"/>
      <c r="H391" s="24"/>
      <c r="I391" s="24"/>
      <c r="J391" s="23"/>
      <c r="K391" s="23"/>
      <c r="L391" s="23"/>
      <c r="M391" s="23"/>
      <c r="N391" s="23"/>
      <c r="O391" s="23"/>
      <c r="P391" s="23"/>
      <c r="Q391" s="25"/>
      <c r="R391" s="23"/>
      <c r="S391" s="23"/>
      <c r="T391" s="23"/>
      <c r="U391" s="20" t="str">
        <f ca="1">IF(COUNTA(A391:T391)=0,"",IF(OR(A391="",B391="",C391="",E391="",G391="",H391="",J391="",K391="",L391="",M391=""),"Ошибка: заполните обязательные поля",IF(AND(LEFT(H391,7)&lt;&gt;"http://",LEFT(H391,8)&lt;&gt;"https://"),"Ошибка: некорректная ссылка",IF(COUNTIF($H$6:$H$1005,H391)&gt;1,"Ошибка: дубликат URL",IF(E391&gt;TODAY(),"Ошибка: дата публикации в будущем",IF(S391="Да","Ошибка: подтверждённый дубль",IF(S391="","Проверить: отметьте дубль",IF(S391="Нужно проверить","Проверить возможный дубль",IF(TODAY()-E391&gt;30,"Проверить: старше 30 дней",IF(COUNTIFS(#REF!,G391,#REF!,"Готово")=0,"Проверить источник","Готово"))))))))))</f>
        <v/>
      </c>
    </row>
    <row r="392" spans="1:21" ht="25.5" customHeight="1">
      <c r="A392" s="21"/>
      <c r="B392" s="22"/>
      <c r="C392" s="21"/>
      <c r="D392" s="23"/>
      <c r="E392" s="22"/>
      <c r="F392" s="22"/>
      <c r="G392" s="23"/>
      <c r="H392" s="24"/>
      <c r="I392" s="24"/>
      <c r="J392" s="23"/>
      <c r="K392" s="23"/>
      <c r="L392" s="23"/>
      <c r="M392" s="23"/>
      <c r="N392" s="23"/>
      <c r="O392" s="23"/>
      <c r="P392" s="23"/>
      <c r="Q392" s="25"/>
      <c r="R392" s="23"/>
      <c r="S392" s="23"/>
      <c r="T392" s="23"/>
      <c r="U392" s="20" t="str">
        <f ca="1">IF(COUNTA(A392:T392)=0,"",IF(OR(A392="",B392="",C392="",E392="",G392="",H392="",J392="",K392="",L392="",M392=""),"Ошибка: заполните обязательные поля",IF(AND(LEFT(H392,7)&lt;&gt;"http://",LEFT(H392,8)&lt;&gt;"https://"),"Ошибка: некорректная ссылка",IF(COUNTIF($H$6:$H$1005,H392)&gt;1,"Ошибка: дубликат URL",IF(E392&gt;TODAY(),"Ошибка: дата публикации в будущем",IF(S392="Да","Ошибка: подтверждённый дубль",IF(S392="","Проверить: отметьте дубль",IF(S392="Нужно проверить","Проверить возможный дубль",IF(TODAY()-E392&gt;30,"Проверить: старше 30 дней",IF(COUNTIFS(#REF!,G392,#REF!,"Готово")=0,"Проверить источник","Готово"))))))))))</f>
        <v/>
      </c>
    </row>
    <row r="393" spans="1:21" ht="25.5" customHeight="1">
      <c r="A393" s="21"/>
      <c r="B393" s="22"/>
      <c r="C393" s="21"/>
      <c r="D393" s="23"/>
      <c r="E393" s="22"/>
      <c r="F393" s="22"/>
      <c r="G393" s="23"/>
      <c r="H393" s="24"/>
      <c r="I393" s="24"/>
      <c r="J393" s="23"/>
      <c r="K393" s="23"/>
      <c r="L393" s="23"/>
      <c r="M393" s="23"/>
      <c r="N393" s="23"/>
      <c r="O393" s="23"/>
      <c r="P393" s="23"/>
      <c r="Q393" s="25"/>
      <c r="R393" s="23"/>
      <c r="S393" s="23"/>
      <c r="T393" s="23"/>
      <c r="U393" s="20" t="str">
        <f ca="1">IF(COUNTA(A393:T393)=0,"",IF(OR(A393="",B393="",C393="",E393="",G393="",H393="",J393="",K393="",L393="",M393=""),"Ошибка: заполните обязательные поля",IF(AND(LEFT(H393,7)&lt;&gt;"http://",LEFT(H393,8)&lt;&gt;"https://"),"Ошибка: некорректная ссылка",IF(COUNTIF($H$6:$H$1005,H393)&gt;1,"Ошибка: дубликат URL",IF(E393&gt;TODAY(),"Ошибка: дата публикации в будущем",IF(S393="Да","Ошибка: подтверждённый дубль",IF(S393="","Проверить: отметьте дубль",IF(S393="Нужно проверить","Проверить возможный дубль",IF(TODAY()-E393&gt;30,"Проверить: старше 30 дней",IF(COUNTIFS(#REF!,G393,#REF!,"Готово")=0,"Проверить источник","Готово"))))))))))</f>
        <v/>
      </c>
    </row>
    <row r="394" spans="1:21" ht="25.5" customHeight="1">
      <c r="A394" s="21"/>
      <c r="B394" s="22"/>
      <c r="C394" s="21"/>
      <c r="D394" s="23"/>
      <c r="E394" s="22"/>
      <c r="F394" s="22"/>
      <c r="G394" s="23"/>
      <c r="H394" s="24"/>
      <c r="I394" s="24"/>
      <c r="J394" s="23"/>
      <c r="K394" s="23"/>
      <c r="L394" s="23"/>
      <c r="M394" s="23"/>
      <c r="N394" s="23"/>
      <c r="O394" s="23"/>
      <c r="P394" s="23"/>
      <c r="Q394" s="25"/>
      <c r="R394" s="23"/>
      <c r="S394" s="23"/>
      <c r="T394" s="23"/>
      <c r="U394" s="20" t="str">
        <f ca="1">IF(COUNTA(A394:T394)=0,"",IF(OR(A394="",B394="",C394="",E394="",G394="",H394="",J394="",K394="",L394="",M394=""),"Ошибка: заполните обязательные поля",IF(AND(LEFT(H394,7)&lt;&gt;"http://",LEFT(H394,8)&lt;&gt;"https://"),"Ошибка: некорректная ссылка",IF(COUNTIF($H$6:$H$1005,H394)&gt;1,"Ошибка: дубликат URL",IF(E394&gt;TODAY(),"Ошибка: дата публикации в будущем",IF(S394="Да","Ошибка: подтверждённый дубль",IF(S394="","Проверить: отметьте дубль",IF(S394="Нужно проверить","Проверить возможный дубль",IF(TODAY()-E394&gt;30,"Проверить: старше 30 дней",IF(COUNTIFS(#REF!,G394,#REF!,"Готово")=0,"Проверить источник","Готово"))))))))))</f>
        <v/>
      </c>
    </row>
    <row r="395" spans="1:21" ht="25.5" customHeight="1">
      <c r="A395" s="21"/>
      <c r="B395" s="22"/>
      <c r="C395" s="21"/>
      <c r="D395" s="23"/>
      <c r="E395" s="22"/>
      <c r="F395" s="22"/>
      <c r="G395" s="23"/>
      <c r="H395" s="24"/>
      <c r="I395" s="24"/>
      <c r="J395" s="23"/>
      <c r="K395" s="23"/>
      <c r="L395" s="23"/>
      <c r="M395" s="23"/>
      <c r="N395" s="23"/>
      <c r="O395" s="23"/>
      <c r="P395" s="23"/>
      <c r="Q395" s="25"/>
      <c r="R395" s="23"/>
      <c r="S395" s="23"/>
      <c r="T395" s="23"/>
      <c r="U395" s="20" t="str">
        <f ca="1">IF(COUNTA(A395:T395)=0,"",IF(OR(A395="",B395="",C395="",E395="",G395="",H395="",J395="",K395="",L395="",M395=""),"Ошибка: заполните обязательные поля",IF(AND(LEFT(H395,7)&lt;&gt;"http://",LEFT(H395,8)&lt;&gt;"https://"),"Ошибка: некорректная ссылка",IF(COUNTIF($H$6:$H$1005,H395)&gt;1,"Ошибка: дубликат URL",IF(E395&gt;TODAY(),"Ошибка: дата публикации в будущем",IF(S395="Да","Ошибка: подтверждённый дубль",IF(S395="","Проверить: отметьте дубль",IF(S395="Нужно проверить","Проверить возможный дубль",IF(TODAY()-E395&gt;30,"Проверить: старше 30 дней",IF(COUNTIFS(#REF!,G395,#REF!,"Готово")=0,"Проверить источник","Готово"))))))))))</f>
        <v/>
      </c>
    </row>
    <row r="396" spans="1:21" ht="25.5" customHeight="1">
      <c r="A396" s="21"/>
      <c r="B396" s="22"/>
      <c r="C396" s="21"/>
      <c r="D396" s="23"/>
      <c r="E396" s="22"/>
      <c r="F396" s="22"/>
      <c r="G396" s="23"/>
      <c r="H396" s="24"/>
      <c r="I396" s="24"/>
      <c r="J396" s="23"/>
      <c r="K396" s="23"/>
      <c r="L396" s="23"/>
      <c r="M396" s="23"/>
      <c r="N396" s="23"/>
      <c r="O396" s="23"/>
      <c r="P396" s="23"/>
      <c r="Q396" s="25"/>
      <c r="R396" s="23"/>
      <c r="S396" s="23"/>
      <c r="T396" s="23"/>
      <c r="U396" s="20" t="str">
        <f ca="1">IF(COUNTA(A396:T396)=0,"",IF(OR(A396="",B396="",C396="",E396="",G396="",H396="",J396="",K396="",L396="",M396=""),"Ошибка: заполните обязательные поля",IF(AND(LEFT(H396,7)&lt;&gt;"http://",LEFT(H396,8)&lt;&gt;"https://"),"Ошибка: некорректная ссылка",IF(COUNTIF($H$6:$H$1005,H396)&gt;1,"Ошибка: дубликат URL",IF(E396&gt;TODAY(),"Ошибка: дата публикации в будущем",IF(S396="Да","Ошибка: подтверждённый дубль",IF(S396="","Проверить: отметьте дубль",IF(S396="Нужно проверить","Проверить возможный дубль",IF(TODAY()-E396&gt;30,"Проверить: старше 30 дней",IF(COUNTIFS(#REF!,G396,#REF!,"Готово")=0,"Проверить источник","Готово"))))))))))</f>
        <v/>
      </c>
    </row>
    <row r="397" spans="1:21" ht="25.5" customHeight="1">
      <c r="A397" s="21"/>
      <c r="B397" s="22"/>
      <c r="C397" s="21"/>
      <c r="D397" s="23"/>
      <c r="E397" s="22"/>
      <c r="F397" s="22"/>
      <c r="G397" s="23"/>
      <c r="H397" s="24"/>
      <c r="I397" s="24"/>
      <c r="J397" s="23"/>
      <c r="K397" s="23"/>
      <c r="L397" s="23"/>
      <c r="M397" s="23"/>
      <c r="N397" s="23"/>
      <c r="O397" s="23"/>
      <c r="P397" s="23"/>
      <c r="Q397" s="25"/>
      <c r="R397" s="23"/>
      <c r="S397" s="23"/>
      <c r="T397" s="23"/>
      <c r="U397" s="20" t="str">
        <f ca="1">IF(COUNTA(A397:T397)=0,"",IF(OR(A397="",B397="",C397="",E397="",G397="",H397="",J397="",K397="",L397="",M397=""),"Ошибка: заполните обязательные поля",IF(AND(LEFT(H397,7)&lt;&gt;"http://",LEFT(H397,8)&lt;&gt;"https://"),"Ошибка: некорректная ссылка",IF(COUNTIF($H$6:$H$1005,H397)&gt;1,"Ошибка: дубликат URL",IF(E397&gt;TODAY(),"Ошибка: дата публикации в будущем",IF(S397="Да","Ошибка: подтверждённый дубль",IF(S397="","Проверить: отметьте дубль",IF(S397="Нужно проверить","Проверить возможный дубль",IF(TODAY()-E397&gt;30,"Проверить: старше 30 дней",IF(COUNTIFS(#REF!,G397,#REF!,"Готово")=0,"Проверить источник","Готово"))))))))))</f>
        <v/>
      </c>
    </row>
    <row r="398" spans="1:21" ht="25.5" customHeight="1">
      <c r="A398" s="21"/>
      <c r="B398" s="22"/>
      <c r="C398" s="21"/>
      <c r="D398" s="23"/>
      <c r="E398" s="22"/>
      <c r="F398" s="22"/>
      <c r="G398" s="23"/>
      <c r="H398" s="24"/>
      <c r="I398" s="24"/>
      <c r="J398" s="23"/>
      <c r="K398" s="23"/>
      <c r="L398" s="23"/>
      <c r="M398" s="23"/>
      <c r="N398" s="23"/>
      <c r="O398" s="23"/>
      <c r="P398" s="23"/>
      <c r="Q398" s="25"/>
      <c r="R398" s="23"/>
      <c r="S398" s="23"/>
      <c r="T398" s="23"/>
      <c r="U398" s="20" t="str">
        <f ca="1">IF(COUNTA(A398:T398)=0,"",IF(OR(A398="",B398="",C398="",E398="",G398="",H398="",J398="",K398="",L398="",M398=""),"Ошибка: заполните обязательные поля",IF(AND(LEFT(H398,7)&lt;&gt;"http://",LEFT(H398,8)&lt;&gt;"https://"),"Ошибка: некорректная ссылка",IF(COUNTIF($H$6:$H$1005,H398)&gt;1,"Ошибка: дубликат URL",IF(E398&gt;TODAY(),"Ошибка: дата публикации в будущем",IF(S398="Да","Ошибка: подтверждённый дубль",IF(S398="","Проверить: отметьте дубль",IF(S398="Нужно проверить","Проверить возможный дубль",IF(TODAY()-E398&gt;30,"Проверить: старше 30 дней",IF(COUNTIFS(#REF!,G398,#REF!,"Готово")=0,"Проверить источник","Готово"))))))))))</f>
        <v/>
      </c>
    </row>
    <row r="399" spans="1:21" ht="25.5" customHeight="1">
      <c r="A399" s="21"/>
      <c r="B399" s="22"/>
      <c r="C399" s="21"/>
      <c r="D399" s="23"/>
      <c r="E399" s="22"/>
      <c r="F399" s="22"/>
      <c r="G399" s="23"/>
      <c r="H399" s="24"/>
      <c r="I399" s="24"/>
      <c r="J399" s="23"/>
      <c r="K399" s="23"/>
      <c r="L399" s="23"/>
      <c r="M399" s="23"/>
      <c r="N399" s="23"/>
      <c r="O399" s="23"/>
      <c r="P399" s="23"/>
      <c r="Q399" s="25"/>
      <c r="R399" s="23"/>
      <c r="S399" s="23"/>
      <c r="T399" s="23"/>
      <c r="U399" s="20" t="str">
        <f ca="1">IF(COUNTA(A399:T399)=0,"",IF(OR(A399="",B399="",C399="",E399="",G399="",H399="",J399="",K399="",L399="",M399=""),"Ошибка: заполните обязательные поля",IF(AND(LEFT(H399,7)&lt;&gt;"http://",LEFT(H399,8)&lt;&gt;"https://"),"Ошибка: некорректная ссылка",IF(COUNTIF($H$6:$H$1005,H399)&gt;1,"Ошибка: дубликат URL",IF(E399&gt;TODAY(),"Ошибка: дата публикации в будущем",IF(S399="Да","Ошибка: подтверждённый дубль",IF(S399="","Проверить: отметьте дубль",IF(S399="Нужно проверить","Проверить возможный дубль",IF(TODAY()-E399&gt;30,"Проверить: старше 30 дней",IF(COUNTIFS(#REF!,G399,#REF!,"Готово")=0,"Проверить источник","Готово"))))))))))</f>
        <v/>
      </c>
    </row>
    <row r="400" spans="1:21" ht="25.5" customHeight="1">
      <c r="A400" s="21"/>
      <c r="B400" s="22"/>
      <c r="C400" s="21"/>
      <c r="D400" s="23"/>
      <c r="E400" s="22"/>
      <c r="F400" s="22"/>
      <c r="G400" s="23"/>
      <c r="H400" s="24"/>
      <c r="I400" s="24"/>
      <c r="J400" s="23"/>
      <c r="K400" s="23"/>
      <c r="L400" s="23"/>
      <c r="M400" s="23"/>
      <c r="N400" s="23"/>
      <c r="O400" s="23"/>
      <c r="P400" s="23"/>
      <c r="Q400" s="25"/>
      <c r="R400" s="23"/>
      <c r="S400" s="23"/>
      <c r="T400" s="23"/>
      <c r="U400" s="20" t="str">
        <f ca="1">IF(COUNTA(A400:T400)=0,"",IF(OR(A400="",B400="",C400="",E400="",G400="",H400="",J400="",K400="",L400="",M400=""),"Ошибка: заполните обязательные поля",IF(AND(LEFT(H400,7)&lt;&gt;"http://",LEFT(H400,8)&lt;&gt;"https://"),"Ошибка: некорректная ссылка",IF(COUNTIF($H$6:$H$1005,H400)&gt;1,"Ошибка: дубликат URL",IF(E400&gt;TODAY(),"Ошибка: дата публикации в будущем",IF(S400="Да","Ошибка: подтверждённый дубль",IF(S400="","Проверить: отметьте дубль",IF(S400="Нужно проверить","Проверить возможный дубль",IF(TODAY()-E400&gt;30,"Проверить: старше 30 дней",IF(COUNTIFS(#REF!,G400,#REF!,"Готово")=0,"Проверить источник","Готово"))))))))))</f>
        <v/>
      </c>
    </row>
    <row r="401" spans="1:21" ht="25.5" customHeight="1">
      <c r="A401" s="21"/>
      <c r="B401" s="22"/>
      <c r="C401" s="21"/>
      <c r="D401" s="23"/>
      <c r="E401" s="22"/>
      <c r="F401" s="22"/>
      <c r="G401" s="23"/>
      <c r="H401" s="24"/>
      <c r="I401" s="24"/>
      <c r="J401" s="23"/>
      <c r="K401" s="23"/>
      <c r="L401" s="23"/>
      <c r="M401" s="23"/>
      <c r="N401" s="23"/>
      <c r="O401" s="23"/>
      <c r="P401" s="23"/>
      <c r="Q401" s="25"/>
      <c r="R401" s="23"/>
      <c r="S401" s="23"/>
      <c r="T401" s="23"/>
      <c r="U401" s="20" t="str">
        <f ca="1">IF(COUNTA(A401:T401)=0,"",IF(OR(A401="",B401="",C401="",E401="",G401="",H401="",J401="",K401="",L401="",M401=""),"Ошибка: заполните обязательные поля",IF(AND(LEFT(H401,7)&lt;&gt;"http://",LEFT(H401,8)&lt;&gt;"https://"),"Ошибка: некорректная ссылка",IF(COUNTIF($H$6:$H$1005,H401)&gt;1,"Ошибка: дубликат URL",IF(E401&gt;TODAY(),"Ошибка: дата публикации в будущем",IF(S401="Да","Ошибка: подтверждённый дубль",IF(S401="","Проверить: отметьте дубль",IF(S401="Нужно проверить","Проверить возможный дубль",IF(TODAY()-E401&gt;30,"Проверить: старше 30 дней",IF(COUNTIFS(#REF!,G401,#REF!,"Готово")=0,"Проверить источник","Готово"))))))))))</f>
        <v/>
      </c>
    </row>
    <row r="402" spans="1:21" ht="25.5" customHeight="1">
      <c r="A402" s="21"/>
      <c r="B402" s="22"/>
      <c r="C402" s="21"/>
      <c r="D402" s="23"/>
      <c r="E402" s="22"/>
      <c r="F402" s="22"/>
      <c r="G402" s="23"/>
      <c r="H402" s="24"/>
      <c r="I402" s="24"/>
      <c r="J402" s="23"/>
      <c r="K402" s="23"/>
      <c r="L402" s="23"/>
      <c r="M402" s="23"/>
      <c r="N402" s="23"/>
      <c r="O402" s="23"/>
      <c r="P402" s="23"/>
      <c r="Q402" s="25"/>
      <c r="R402" s="23"/>
      <c r="S402" s="23"/>
      <c r="T402" s="23"/>
      <c r="U402" s="20" t="str">
        <f ca="1">IF(COUNTA(A402:T402)=0,"",IF(OR(A402="",B402="",C402="",E402="",G402="",H402="",J402="",K402="",L402="",M402=""),"Ошибка: заполните обязательные поля",IF(AND(LEFT(H402,7)&lt;&gt;"http://",LEFT(H402,8)&lt;&gt;"https://"),"Ошибка: некорректная ссылка",IF(COUNTIF($H$6:$H$1005,H402)&gt;1,"Ошибка: дубликат URL",IF(E402&gt;TODAY(),"Ошибка: дата публикации в будущем",IF(S402="Да","Ошибка: подтверждённый дубль",IF(S402="","Проверить: отметьте дубль",IF(S402="Нужно проверить","Проверить возможный дубль",IF(TODAY()-E402&gt;30,"Проверить: старше 30 дней",IF(COUNTIFS(#REF!,G402,#REF!,"Готово")=0,"Проверить источник","Готово"))))))))))</f>
        <v/>
      </c>
    </row>
    <row r="403" spans="1:21" ht="25.5" customHeight="1">
      <c r="A403" s="21"/>
      <c r="B403" s="22"/>
      <c r="C403" s="21"/>
      <c r="D403" s="23"/>
      <c r="E403" s="22"/>
      <c r="F403" s="22"/>
      <c r="G403" s="23"/>
      <c r="H403" s="24"/>
      <c r="I403" s="24"/>
      <c r="J403" s="23"/>
      <c r="K403" s="23"/>
      <c r="L403" s="23"/>
      <c r="M403" s="23"/>
      <c r="N403" s="23"/>
      <c r="O403" s="23"/>
      <c r="P403" s="23"/>
      <c r="Q403" s="25"/>
      <c r="R403" s="23"/>
      <c r="S403" s="23"/>
      <c r="T403" s="23"/>
      <c r="U403" s="20" t="str">
        <f ca="1">IF(COUNTA(A403:T403)=0,"",IF(OR(A403="",B403="",C403="",E403="",G403="",H403="",J403="",K403="",L403="",M403=""),"Ошибка: заполните обязательные поля",IF(AND(LEFT(H403,7)&lt;&gt;"http://",LEFT(H403,8)&lt;&gt;"https://"),"Ошибка: некорректная ссылка",IF(COUNTIF($H$6:$H$1005,H403)&gt;1,"Ошибка: дубликат URL",IF(E403&gt;TODAY(),"Ошибка: дата публикации в будущем",IF(S403="Да","Ошибка: подтверждённый дубль",IF(S403="","Проверить: отметьте дубль",IF(S403="Нужно проверить","Проверить возможный дубль",IF(TODAY()-E403&gt;30,"Проверить: старше 30 дней",IF(COUNTIFS(#REF!,G403,#REF!,"Готово")=0,"Проверить источник","Готово"))))))))))</f>
        <v/>
      </c>
    </row>
    <row r="404" spans="1:21" ht="25.5" customHeight="1">
      <c r="A404" s="21"/>
      <c r="B404" s="22"/>
      <c r="C404" s="21"/>
      <c r="D404" s="23"/>
      <c r="E404" s="22"/>
      <c r="F404" s="22"/>
      <c r="G404" s="23"/>
      <c r="H404" s="24"/>
      <c r="I404" s="24"/>
      <c r="J404" s="23"/>
      <c r="K404" s="23"/>
      <c r="L404" s="23"/>
      <c r="M404" s="23"/>
      <c r="N404" s="23"/>
      <c r="O404" s="23"/>
      <c r="P404" s="23"/>
      <c r="Q404" s="25"/>
      <c r="R404" s="23"/>
      <c r="S404" s="23"/>
      <c r="T404" s="23"/>
      <c r="U404" s="20" t="str">
        <f ca="1">IF(COUNTA(A404:T404)=0,"",IF(OR(A404="",B404="",C404="",E404="",G404="",H404="",J404="",K404="",L404="",M404=""),"Ошибка: заполните обязательные поля",IF(AND(LEFT(H404,7)&lt;&gt;"http://",LEFT(H404,8)&lt;&gt;"https://"),"Ошибка: некорректная ссылка",IF(COUNTIF($H$6:$H$1005,H404)&gt;1,"Ошибка: дубликат URL",IF(E404&gt;TODAY(),"Ошибка: дата публикации в будущем",IF(S404="Да","Ошибка: подтверждённый дубль",IF(S404="","Проверить: отметьте дубль",IF(S404="Нужно проверить","Проверить возможный дубль",IF(TODAY()-E404&gt;30,"Проверить: старше 30 дней",IF(COUNTIFS(#REF!,G404,#REF!,"Готово")=0,"Проверить источник","Готово"))))))))))</f>
        <v/>
      </c>
    </row>
    <row r="405" spans="1:21" ht="25.5" customHeight="1">
      <c r="A405" s="21"/>
      <c r="B405" s="22"/>
      <c r="C405" s="21"/>
      <c r="D405" s="23"/>
      <c r="E405" s="22"/>
      <c r="F405" s="22"/>
      <c r="G405" s="23"/>
      <c r="H405" s="24"/>
      <c r="I405" s="24"/>
      <c r="J405" s="23"/>
      <c r="K405" s="23"/>
      <c r="L405" s="23"/>
      <c r="M405" s="23"/>
      <c r="N405" s="23"/>
      <c r="O405" s="23"/>
      <c r="P405" s="23"/>
      <c r="Q405" s="25"/>
      <c r="R405" s="23"/>
      <c r="S405" s="23"/>
      <c r="T405" s="23"/>
      <c r="U405" s="20" t="str">
        <f ca="1">IF(COUNTA(A405:T405)=0,"",IF(OR(A405="",B405="",C405="",E405="",G405="",H405="",J405="",K405="",L405="",M405=""),"Ошибка: заполните обязательные поля",IF(AND(LEFT(H405,7)&lt;&gt;"http://",LEFT(H405,8)&lt;&gt;"https://"),"Ошибка: некорректная ссылка",IF(COUNTIF($H$6:$H$1005,H405)&gt;1,"Ошибка: дубликат URL",IF(E405&gt;TODAY(),"Ошибка: дата публикации в будущем",IF(S405="Да","Ошибка: подтверждённый дубль",IF(S405="","Проверить: отметьте дубль",IF(S405="Нужно проверить","Проверить возможный дубль",IF(TODAY()-E405&gt;30,"Проверить: старше 30 дней",IF(COUNTIFS(#REF!,G405,#REF!,"Готово")=0,"Проверить источник","Готово"))))))))))</f>
        <v/>
      </c>
    </row>
    <row r="406" spans="1:21" ht="25.5" customHeight="1">
      <c r="A406" s="21"/>
      <c r="B406" s="22"/>
      <c r="C406" s="21"/>
      <c r="D406" s="23"/>
      <c r="E406" s="22"/>
      <c r="F406" s="22"/>
      <c r="G406" s="23"/>
      <c r="H406" s="24"/>
      <c r="I406" s="24"/>
      <c r="J406" s="23"/>
      <c r="K406" s="23"/>
      <c r="L406" s="23"/>
      <c r="M406" s="23"/>
      <c r="N406" s="23"/>
      <c r="O406" s="23"/>
      <c r="P406" s="23"/>
      <c r="Q406" s="25"/>
      <c r="R406" s="23"/>
      <c r="S406" s="23"/>
      <c r="T406" s="23"/>
      <c r="U406" s="20" t="str">
        <f ca="1">IF(COUNTA(A406:T406)=0,"",IF(OR(A406="",B406="",C406="",E406="",G406="",H406="",J406="",K406="",L406="",M406=""),"Ошибка: заполните обязательные поля",IF(AND(LEFT(H406,7)&lt;&gt;"http://",LEFT(H406,8)&lt;&gt;"https://"),"Ошибка: некорректная ссылка",IF(COUNTIF($H$6:$H$1005,H406)&gt;1,"Ошибка: дубликат URL",IF(E406&gt;TODAY(),"Ошибка: дата публикации в будущем",IF(S406="Да","Ошибка: подтверждённый дубль",IF(S406="","Проверить: отметьте дубль",IF(S406="Нужно проверить","Проверить возможный дубль",IF(TODAY()-E406&gt;30,"Проверить: старше 30 дней",IF(COUNTIFS(#REF!,G406,#REF!,"Готово")=0,"Проверить источник","Готово"))))))))))</f>
        <v/>
      </c>
    </row>
    <row r="407" spans="1:21" ht="25.5" customHeight="1">
      <c r="A407" s="21"/>
      <c r="B407" s="22"/>
      <c r="C407" s="21"/>
      <c r="D407" s="23"/>
      <c r="E407" s="22"/>
      <c r="F407" s="22"/>
      <c r="G407" s="23"/>
      <c r="H407" s="24"/>
      <c r="I407" s="24"/>
      <c r="J407" s="23"/>
      <c r="K407" s="23"/>
      <c r="L407" s="23"/>
      <c r="M407" s="23"/>
      <c r="N407" s="23"/>
      <c r="O407" s="23"/>
      <c r="P407" s="23"/>
      <c r="Q407" s="25"/>
      <c r="R407" s="23"/>
      <c r="S407" s="23"/>
      <c r="T407" s="23"/>
      <c r="U407" s="20" t="str">
        <f ca="1">IF(COUNTA(A407:T407)=0,"",IF(OR(A407="",B407="",C407="",E407="",G407="",H407="",J407="",K407="",L407="",M407=""),"Ошибка: заполните обязательные поля",IF(AND(LEFT(H407,7)&lt;&gt;"http://",LEFT(H407,8)&lt;&gt;"https://"),"Ошибка: некорректная ссылка",IF(COUNTIF($H$6:$H$1005,H407)&gt;1,"Ошибка: дубликат URL",IF(E407&gt;TODAY(),"Ошибка: дата публикации в будущем",IF(S407="Да","Ошибка: подтверждённый дубль",IF(S407="","Проверить: отметьте дубль",IF(S407="Нужно проверить","Проверить возможный дубль",IF(TODAY()-E407&gt;30,"Проверить: старше 30 дней",IF(COUNTIFS(#REF!,G407,#REF!,"Готово")=0,"Проверить источник","Готово"))))))))))</f>
        <v/>
      </c>
    </row>
    <row r="408" spans="1:21" ht="25.5" customHeight="1">
      <c r="A408" s="21"/>
      <c r="B408" s="22"/>
      <c r="C408" s="21"/>
      <c r="D408" s="23"/>
      <c r="E408" s="22"/>
      <c r="F408" s="22"/>
      <c r="G408" s="23"/>
      <c r="H408" s="24"/>
      <c r="I408" s="24"/>
      <c r="J408" s="23"/>
      <c r="K408" s="23"/>
      <c r="L408" s="23"/>
      <c r="M408" s="23"/>
      <c r="N408" s="23"/>
      <c r="O408" s="23"/>
      <c r="P408" s="23"/>
      <c r="Q408" s="25"/>
      <c r="R408" s="23"/>
      <c r="S408" s="23"/>
      <c r="T408" s="23"/>
      <c r="U408" s="20" t="str">
        <f ca="1">IF(COUNTA(A408:T408)=0,"",IF(OR(A408="",B408="",C408="",E408="",G408="",H408="",J408="",K408="",L408="",M408=""),"Ошибка: заполните обязательные поля",IF(AND(LEFT(H408,7)&lt;&gt;"http://",LEFT(H408,8)&lt;&gt;"https://"),"Ошибка: некорректная ссылка",IF(COUNTIF($H$6:$H$1005,H408)&gt;1,"Ошибка: дубликат URL",IF(E408&gt;TODAY(),"Ошибка: дата публикации в будущем",IF(S408="Да","Ошибка: подтверждённый дубль",IF(S408="","Проверить: отметьте дубль",IF(S408="Нужно проверить","Проверить возможный дубль",IF(TODAY()-E408&gt;30,"Проверить: старше 30 дней",IF(COUNTIFS(#REF!,G408,#REF!,"Готово")=0,"Проверить источник","Готово"))))))))))</f>
        <v/>
      </c>
    </row>
    <row r="409" spans="1:21" ht="25.5" customHeight="1">
      <c r="A409" s="21"/>
      <c r="B409" s="22"/>
      <c r="C409" s="21"/>
      <c r="D409" s="23"/>
      <c r="E409" s="22"/>
      <c r="F409" s="22"/>
      <c r="G409" s="23"/>
      <c r="H409" s="24"/>
      <c r="I409" s="24"/>
      <c r="J409" s="23"/>
      <c r="K409" s="23"/>
      <c r="L409" s="23"/>
      <c r="M409" s="23"/>
      <c r="N409" s="23"/>
      <c r="O409" s="23"/>
      <c r="P409" s="23"/>
      <c r="Q409" s="25"/>
      <c r="R409" s="23"/>
      <c r="S409" s="23"/>
      <c r="T409" s="23"/>
      <c r="U409" s="20" t="str">
        <f ca="1">IF(COUNTA(A409:T409)=0,"",IF(OR(A409="",B409="",C409="",E409="",G409="",H409="",J409="",K409="",L409="",M409=""),"Ошибка: заполните обязательные поля",IF(AND(LEFT(H409,7)&lt;&gt;"http://",LEFT(H409,8)&lt;&gt;"https://"),"Ошибка: некорректная ссылка",IF(COUNTIF($H$6:$H$1005,H409)&gt;1,"Ошибка: дубликат URL",IF(E409&gt;TODAY(),"Ошибка: дата публикации в будущем",IF(S409="Да","Ошибка: подтверждённый дубль",IF(S409="","Проверить: отметьте дубль",IF(S409="Нужно проверить","Проверить возможный дубль",IF(TODAY()-E409&gt;30,"Проверить: старше 30 дней",IF(COUNTIFS(#REF!,G409,#REF!,"Готово")=0,"Проверить источник","Готово"))))))))))</f>
        <v/>
      </c>
    </row>
    <row r="410" spans="1:21" ht="25.5" customHeight="1">
      <c r="A410" s="21"/>
      <c r="B410" s="22"/>
      <c r="C410" s="21"/>
      <c r="D410" s="23"/>
      <c r="E410" s="22"/>
      <c r="F410" s="22"/>
      <c r="G410" s="23"/>
      <c r="H410" s="24"/>
      <c r="I410" s="24"/>
      <c r="J410" s="23"/>
      <c r="K410" s="23"/>
      <c r="L410" s="23"/>
      <c r="M410" s="23"/>
      <c r="N410" s="23"/>
      <c r="O410" s="23"/>
      <c r="P410" s="23"/>
      <c r="Q410" s="25"/>
      <c r="R410" s="23"/>
      <c r="S410" s="23"/>
      <c r="T410" s="23"/>
      <c r="U410" s="20" t="str">
        <f ca="1">IF(COUNTA(A410:T410)=0,"",IF(OR(A410="",B410="",C410="",E410="",G410="",H410="",J410="",K410="",L410="",M410=""),"Ошибка: заполните обязательные поля",IF(AND(LEFT(H410,7)&lt;&gt;"http://",LEFT(H410,8)&lt;&gt;"https://"),"Ошибка: некорректная ссылка",IF(COUNTIF($H$6:$H$1005,H410)&gt;1,"Ошибка: дубликат URL",IF(E410&gt;TODAY(),"Ошибка: дата публикации в будущем",IF(S410="Да","Ошибка: подтверждённый дубль",IF(S410="","Проверить: отметьте дубль",IF(S410="Нужно проверить","Проверить возможный дубль",IF(TODAY()-E410&gt;30,"Проверить: старше 30 дней",IF(COUNTIFS(#REF!,G410,#REF!,"Готово")=0,"Проверить источник","Готово"))))))))))</f>
        <v/>
      </c>
    </row>
    <row r="411" spans="1:21" ht="25.5" customHeight="1">
      <c r="A411" s="21"/>
      <c r="B411" s="22"/>
      <c r="C411" s="21"/>
      <c r="D411" s="23"/>
      <c r="E411" s="22"/>
      <c r="F411" s="22"/>
      <c r="G411" s="23"/>
      <c r="H411" s="24"/>
      <c r="I411" s="24"/>
      <c r="J411" s="23"/>
      <c r="K411" s="23"/>
      <c r="L411" s="23"/>
      <c r="M411" s="23"/>
      <c r="N411" s="23"/>
      <c r="O411" s="23"/>
      <c r="P411" s="23"/>
      <c r="Q411" s="25"/>
      <c r="R411" s="23"/>
      <c r="S411" s="23"/>
      <c r="T411" s="23"/>
      <c r="U411" s="20" t="str">
        <f ca="1">IF(COUNTA(A411:T411)=0,"",IF(OR(A411="",B411="",C411="",E411="",G411="",H411="",J411="",K411="",L411="",M411=""),"Ошибка: заполните обязательные поля",IF(AND(LEFT(H411,7)&lt;&gt;"http://",LEFT(H411,8)&lt;&gt;"https://"),"Ошибка: некорректная ссылка",IF(COUNTIF($H$6:$H$1005,H411)&gt;1,"Ошибка: дубликат URL",IF(E411&gt;TODAY(),"Ошибка: дата публикации в будущем",IF(S411="Да","Ошибка: подтверждённый дубль",IF(S411="","Проверить: отметьте дубль",IF(S411="Нужно проверить","Проверить возможный дубль",IF(TODAY()-E411&gt;30,"Проверить: старше 30 дней",IF(COUNTIFS(#REF!,G411,#REF!,"Готово")=0,"Проверить источник","Готово"))))))))))</f>
        <v/>
      </c>
    </row>
    <row r="412" spans="1:21" ht="25.5" customHeight="1">
      <c r="A412" s="21"/>
      <c r="B412" s="22"/>
      <c r="C412" s="21"/>
      <c r="D412" s="23"/>
      <c r="E412" s="22"/>
      <c r="F412" s="22"/>
      <c r="G412" s="23"/>
      <c r="H412" s="24"/>
      <c r="I412" s="24"/>
      <c r="J412" s="23"/>
      <c r="K412" s="23"/>
      <c r="L412" s="23"/>
      <c r="M412" s="23"/>
      <c r="N412" s="23"/>
      <c r="O412" s="23"/>
      <c r="P412" s="23"/>
      <c r="Q412" s="25"/>
      <c r="R412" s="23"/>
      <c r="S412" s="23"/>
      <c r="T412" s="23"/>
      <c r="U412" s="20" t="str">
        <f ca="1">IF(COUNTA(A412:T412)=0,"",IF(OR(A412="",B412="",C412="",E412="",G412="",H412="",J412="",K412="",L412="",M412=""),"Ошибка: заполните обязательные поля",IF(AND(LEFT(H412,7)&lt;&gt;"http://",LEFT(H412,8)&lt;&gt;"https://"),"Ошибка: некорректная ссылка",IF(COUNTIF($H$6:$H$1005,H412)&gt;1,"Ошибка: дубликат URL",IF(E412&gt;TODAY(),"Ошибка: дата публикации в будущем",IF(S412="Да","Ошибка: подтверждённый дубль",IF(S412="","Проверить: отметьте дубль",IF(S412="Нужно проверить","Проверить возможный дубль",IF(TODAY()-E412&gt;30,"Проверить: старше 30 дней",IF(COUNTIFS(#REF!,G412,#REF!,"Готово")=0,"Проверить источник","Готово"))))))))))</f>
        <v/>
      </c>
    </row>
    <row r="413" spans="1:21" ht="25.5" customHeight="1">
      <c r="A413" s="21"/>
      <c r="B413" s="22"/>
      <c r="C413" s="21"/>
      <c r="D413" s="23"/>
      <c r="E413" s="22"/>
      <c r="F413" s="22"/>
      <c r="G413" s="23"/>
      <c r="H413" s="24"/>
      <c r="I413" s="24"/>
      <c r="J413" s="23"/>
      <c r="K413" s="23"/>
      <c r="L413" s="23"/>
      <c r="M413" s="23"/>
      <c r="N413" s="23"/>
      <c r="O413" s="23"/>
      <c r="P413" s="23"/>
      <c r="Q413" s="25"/>
      <c r="R413" s="23"/>
      <c r="S413" s="23"/>
      <c r="T413" s="23"/>
      <c r="U413" s="20" t="str">
        <f ca="1">IF(COUNTA(A413:T413)=0,"",IF(OR(A413="",B413="",C413="",E413="",G413="",H413="",J413="",K413="",L413="",M413=""),"Ошибка: заполните обязательные поля",IF(AND(LEFT(H413,7)&lt;&gt;"http://",LEFT(H413,8)&lt;&gt;"https://"),"Ошибка: некорректная ссылка",IF(COUNTIF($H$6:$H$1005,H413)&gt;1,"Ошибка: дубликат URL",IF(E413&gt;TODAY(),"Ошибка: дата публикации в будущем",IF(S413="Да","Ошибка: подтверждённый дубль",IF(S413="","Проверить: отметьте дубль",IF(S413="Нужно проверить","Проверить возможный дубль",IF(TODAY()-E413&gt;30,"Проверить: старше 30 дней",IF(COUNTIFS(#REF!,G413,#REF!,"Готово")=0,"Проверить источник","Готово"))))))))))</f>
        <v/>
      </c>
    </row>
    <row r="414" spans="1:21" ht="25.5" customHeight="1">
      <c r="A414" s="21"/>
      <c r="B414" s="22"/>
      <c r="C414" s="21"/>
      <c r="D414" s="23"/>
      <c r="E414" s="22"/>
      <c r="F414" s="22"/>
      <c r="G414" s="23"/>
      <c r="H414" s="24"/>
      <c r="I414" s="24"/>
      <c r="J414" s="23"/>
      <c r="K414" s="23"/>
      <c r="L414" s="23"/>
      <c r="M414" s="23"/>
      <c r="N414" s="23"/>
      <c r="O414" s="23"/>
      <c r="P414" s="23"/>
      <c r="Q414" s="25"/>
      <c r="R414" s="23"/>
      <c r="S414" s="23"/>
      <c r="T414" s="23"/>
      <c r="U414" s="20" t="str">
        <f ca="1">IF(COUNTA(A414:T414)=0,"",IF(OR(A414="",B414="",C414="",E414="",G414="",H414="",J414="",K414="",L414="",M414=""),"Ошибка: заполните обязательные поля",IF(AND(LEFT(H414,7)&lt;&gt;"http://",LEFT(H414,8)&lt;&gt;"https://"),"Ошибка: некорректная ссылка",IF(COUNTIF($H$6:$H$1005,H414)&gt;1,"Ошибка: дубликат URL",IF(E414&gt;TODAY(),"Ошибка: дата публикации в будущем",IF(S414="Да","Ошибка: подтверждённый дубль",IF(S414="","Проверить: отметьте дубль",IF(S414="Нужно проверить","Проверить возможный дубль",IF(TODAY()-E414&gt;30,"Проверить: старше 30 дней",IF(COUNTIFS(#REF!,G414,#REF!,"Готово")=0,"Проверить источник","Готово"))))))))))</f>
        <v/>
      </c>
    </row>
    <row r="415" spans="1:21" ht="25.5" customHeight="1">
      <c r="A415" s="21"/>
      <c r="B415" s="22"/>
      <c r="C415" s="21"/>
      <c r="D415" s="23"/>
      <c r="E415" s="22"/>
      <c r="F415" s="22"/>
      <c r="G415" s="23"/>
      <c r="H415" s="24"/>
      <c r="I415" s="24"/>
      <c r="J415" s="23"/>
      <c r="K415" s="23"/>
      <c r="L415" s="23"/>
      <c r="M415" s="23"/>
      <c r="N415" s="23"/>
      <c r="O415" s="23"/>
      <c r="P415" s="23"/>
      <c r="Q415" s="25"/>
      <c r="R415" s="23"/>
      <c r="S415" s="23"/>
      <c r="T415" s="23"/>
      <c r="U415" s="20" t="str">
        <f ca="1">IF(COUNTA(A415:T415)=0,"",IF(OR(A415="",B415="",C415="",E415="",G415="",H415="",J415="",K415="",L415="",M415=""),"Ошибка: заполните обязательные поля",IF(AND(LEFT(H415,7)&lt;&gt;"http://",LEFT(H415,8)&lt;&gt;"https://"),"Ошибка: некорректная ссылка",IF(COUNTIF($H$6:$H$1005,H415)&gt;1,"Ошибка: дубликат URL",IF(E415&gt;TODAY(),"Ошибка: дата публикации в будущем",IF(S415="Да","Ошибка: подтверждённый дубль",IF(S415="","Проверить: отметьте дубль",IF(S415="Нужно проверить","Проверить возможный дубль",IF(TODAY()-E415&gt;30,"Проверить: старше 30 дней",IF(COUNTIFS(#REF!,G415,#REF!,"Готово")=0,"Проверить источник","Готово"))))))))))</f>
        <v/>
      </c>
    </row>
    <row r="416" spans="1:21" ht="25.5" customHeight="1">
      <c r="A416" s="21"/>
      <c r="B416" s="22"/>
      <c r="C416" s="21"/>
      <c r="D416" s="23"/>
      <c r="E416" s="22"/>
      <c r="F416" s="22"/>
      <c r="G416" s="23"/>
      <c r="H416" s="24"/>
      <c r="I416" s="24"/>
      <c r="J416" s="23"/>
      <c r="K416" s="23"/>
      <c r="L416" s="23"/>
      <c r="M416" s="23"/>
      <c r="N416" s="23"/>
      <c r="O416" s="23"/>
      <c r="P416" s="23"/>
      <c r="Q416" s="25"/>
      <c r="R416" s="23"/>
      <c r="S416" s="23"/>
      <c r="T416" s="23"/>
      <c r="U416" s="20" t="str">
        <f ca="1">IF(COUNTA(A416:T416)=0,"",IF(OR(A416="",B416="",C416="",E416="",G416="",H416="",J416="",K416="",L416="",M416=""),"Ошибка: заполните обязательные поля",IF(AND(LEFT(H416,7)&lt;&gt;"http://",LEFT(H416,8)&lt;&gt;"https://"),"Ошибка: некорректная ссылка",IF(COUNTIF($H$6:$H$1005,H416)&gt;1,"Ошибка: дубликат URL",IF(E416&gt;TODAY(),"Ошибка: дата публикации в будущем",IF(S416="Да","Ошибка: подтверждённый дубль",IF(S416="","Проверить: отметьте дубль",IF(S416="Нужно проверить","Проверить возможный дубль",IF(TODAY()-E416&gt;30,"Проверить: старше 30 дней",IF(COUNTIFS(#REF!,G416,#REF!,"Готово")=0,"Проверить источник","Готово"))))))))))</f>
        <v/>
      </c>
    </row>
    <row r="417" spans="1:21" ht="25.5" customHeight="1">
      <c r="A417" s="21"/>
      <c r="B417" s="22"/>
      <c r="C417" s="21"/>
      <c r="D417" s="23"/>
      <c r="E417" s="22"/>
      <c r="F417" s="22"/>
      <c r="G417" s="23"/>
      <c r="H417" s="24"/>
      <c r="I417" s="24"/>
      <c r="J417" s="23"/>
      <c r="K417" s="23"/>
      <c r="L417" s="23"/>
      <c r="M417" s="23"/>
      <c r="N417" s="23"/>
      <c r="O417" s="23"/>
      <c r="P417" s="23"/>
      <c r="Q417" s="25"/>
      <c r="R417" s="23"/>
      <c r="S417" s="23"/>
      <c r="T417" s="23"/>
      <c r="U417" s="20" t="str">
        <f ca="1">IF(COUNTA(A417:T417)=0,"",IF(OR(A417="",B417="",C417="",E417="",G417="",H417="",J417="",K417="",L417="",M417=""),"Ошибка: заполните обязательные поля",IF(AND(LEFT(H417,7)&lt;&gt;"http://",LEFT(H417,8)&lt;&gt;"https://"),"Ошибка: некорректная ссылка",IF(COUNTIF($H$6:$H$1005,H417)&gt;1,"Ошибка: дубликат URL",IF(E417&gt;TODAY(),"Ошибка: дата публикации в будущем",IF(S417="Да","Ошибка: подтверждённый дубль",IF(S417="","Проверить: отметьте дубль",IF(S417="Нужно проверить","Проверить возможный дубль",IF(TODAY()-E417&gt;30,"Проверить: старше 30 дней",IF(COUNTIFS(#REF!,G417,#REF!,"Готово")=0,"Проверить источник","Готово"))))))))))</f>
        <v/>
      </c>
    </row>
    <row r="418" spans="1:21" ht="25.5" customHeight="1">
      <c r="A418" s="21"/>
      <c r="B418" s="22"/>
      <c r="C418" s="21"/>
      <c r="D418" s="23"/>
      <c r="E418" s="22"/>
      <c r="F418" s="22"/>
      <c r="G418" s="23"/>
      <c r="H418" s="24"/>
      <c r="I418" s="24"/>
      <c r="J418" s="23"/>
      <c r="K418" s="23"/>
      <c r="L418" s="23"/>
      <c r="M418" s="23"/>
      <c r="N418" s="23"/>
      <c r="O418" s="23"/>
      <c r="P418" s="23"/>
      <c r="Q418" s="25"/>
      <c r="R418" s="23"/>
      <c r="S418" s="23"/>
      <c r="T418" s="23"/>
      <c r="U418" s="20" t="str">
        <f ca="1">IF(COUNTA(A418:T418)=0,"",IF(OR(A418="",B418="",C418="",E418="",G418="",H418="",J418="",K418="",L418="",M418=""),"Ошибка: заполните обязательные поля",IF(AND(LEFT(H418,7)&lt;&gt;"http://",LEFT(H418,8)&lt;&gt;"https://"),"Ошибка: некорректная ссылка",IF(COUNTIF($H$6:$H$1005,H418)&gt;1,"Ошибка: дубликат URL",IF(E418&gt;TODAY(),"Ошибка: дата публикации в будущем",IF(S418="Да","Ошибка: подтверждённый дубль",IF(S418="","Проверить: отметьте дубль",IF(S418="Нужно проверить","Проверить возможный дубль",IF(TODAY()-E418&gt;30,"Проверить: старше 30 дней",IF(COUNTIFS(#REF!,G418,#REF!,"Готово")=0,"Проверить источник","Готово"))))))))))</f>
        <v/>
      </c>
    </row>
    <row r="419" spans="1:21" ht="25.5" customHeight="1">
      <c r="A419" s="21"/>
      <c r="B419" s="22"/>
      <c r="C419" s="21"/>
      <c r="D419" s="23"/>
      <c r="E419" s="22"/>
      <c r="F419" s="22"/>
      <c r="G419" s="23"/>
      <c r="H419" s="24"/>
      <c r="I419" s="24"/>
      <c r="J419" s="23"/>
      <c r="K419" s="23"/>
      <c r="L419" s="23"/>
      <c r="M419" s="23"/>
      <c r="N419" s="23"/>
      <c r="O419" s="23"/>
      <c r="P419" s="23"/>
      <c r="Q419" s="25"/>
      <c r="R419" s="23"/>
      <c r="S419" s="23"/>
      <c r="T419" s="23"/>
      <c r="U419" s="20" t="str">
        <f ca="1">IF(COUNTA(A419:T419)=0,"",IF(OR(A419="",B419="",C419="",E419="",G419="",H419="",J419="",K419="",L419="",M419=""),"Ошибка: заполните обязательные поля",IF(AND(LEFT(H419,7)&lt;&gt;"http://",LEFT(H419,8)&lt;&gt;"https://"),"Ошибка: некорректная ссылка",IF(COUNTIF($H$6:$H$1005,H419)&gt;1,"Ошибка: дубликат URL",IF(E419&gt;TODAY(),"Ошибка: дата публикации в будущем",IF(S419="Да","Ошибка: подтверждённый дубль",IF(S419="","Проверить: отметьте дубль",IF(S419="Нужно проверить","Проверить возможный дубль",IF(TODAY()-E419&gt;30,"Проверить: старше 30 дней",IF(COUNTIFS(#REF!,G419,#REF!,"Готово")=0,"Проверить источник","Готово"))))))))))</f>
        <v/>
      </c>
    </row>
    <row r="420" spans="1:21" ht="25.5" customHeight="1">
      <c r="A420" s="21"/>
      <c r="B420" s="22"/>
      <c r="C420" s="21"/>
      <c r="D420" s="23"/>
      <c r="E420" s="22"/>
      <c r="F420" s="22"/>
      <c r="G420" s="23"/>
      <c r="H420" s="24"/>
      <c r="I420" s="24"/>
      <c r="J420" s="23"/>
      <c r="K420" s="23"/>
      <c r="L420" s="23"/>
      <c r="M420" s="23"/>
      <c r="N420" s="23"/>
      <c r="O420" s="23"/>
      <c r="P420" s="23"/>
      <c r="Q420" s="25"/>
      <c r="R420" s="23"/>
      <c r="S420" s="23"/>
      <c r="T420" s="23"/>
      <c r="U420" s="20" t="str">
        <f ca="1">IF(COUNTA(A420:T420)=0,"",IF(OR(A420="",B420="",C420="",E420="",G420="",H420="",J420="",K420="",L420="",M420=""),"Ошибка: заполните обязательные поля",IF(AND(LEFT(H420,7)&lt;&gt;"http://",LEFT(H420,8)&lt;&gt;"https://"),"Ошибка: некорректная ссылка",IF(COUNTIF($H$6:$H$1005,H420)&gt;1,"Ошибка: дубликат URL",IF(E420&gt;TODAY(),"Ошибка: дата публикации в будущем",IF(S420="Да","Ошибка: подтверждённый дубль",IF(S420="","Проверить: отметьте дубль",IF(S420="Нужно проверить","Проверить возможный дубль",IF(TODAY()-E420&gt;30,"Проверить: старше 30 дней",IF(COUNTIFS(#REF!,G420,#REF!,"Готово")=0,"Проверить источник","Готово"))))))))))</f>
        <v/>
      </c>
    </row>
    <row r="421" spans="1:21" ht="25.5" customHeight="1">
      <c r="A421" s="21"/>
      <c r="B421" s="22"/>
      <c r="C421" s="21"/>
      <c r="D421" s="23"/>
      <c r="E421" s="22"/>
      <c r="F421" s="22"/>
      <c r="G421" s="23"/>
      <c r="H421" s="24"/>
      <c r="I421" s="24"/>
      <c r="J421" s="23"/>
      <c r="K421" s="23"/>
      <c r="L421" s="23"/>
      <c r="M421" s="23"/>
      <c r="N421" s="23"/>
      <c r="O421" s="23"/>
      <c r="P421" s="23"/>
      <c r="Q421" s="25"/>
      <c r="R421" s="23"/>
      <c r="S421" s="23"/>
      <c r="T421" s="23"/>
      <c r="U421" s="20" t="str">
        <f ca="1">IF(COUNTA(A421:T421)=0,"",IF(OR(A421="",B421="",C421="",E421="",G421="",H421="",J421="",K421="",L421="",M421=""),"Ошибка: заполните обязательные поля",IF(AND(LEFT(H421,7)&lt;&gt;"http://",LEFT(H421,8)&lt;&gt;"https://"),"Ошибка: некорректная ссылка",IF(COUNTIF($H$6:$H$1005,H421)&gt;1,"Ошибка: дубликат URL",IF(E421&gt;TODAY(),"Ошибка: дата публикации в будущем",IF(S421="Да","Ошибка: подтверждённый дубль",IF(S421="","Проверить: отметьте дубль",IF(S421="Нужно проверить","Проверить возможный дубль",IF(TODAY()-E421&gt;30,"Проверить: старше 30 дней",IF(COUNTIFS(#REF!,G421,#REF!,"Готово")=0,"Проверить источник","Готово"))))))))))</f>
        <v/>
      </c>
    </row>
    <row r="422" spans="1:21" ht="25.5" customHeight="1">
      <c r="A422" s="21"/>
      <c r="B422" s="22"/>
      <c r="C422" s="21"/>
      <c r="D422" s="23"/>
      <c r="E422" s="22"/>
      <c r="F422" s="22"/>
      <c r="G422" s="23"/>
      <c r="H422" s="24"/>
      <c r="I422" s="24"/>
      <c r="J422" s="23"/>
      <c r="K422" s="23"/>
      <c r="L422" s="23"/>
      <c r="M422" s="23"/>
      <c r="N422" s="23"/>
      <c r="O422" s="23"/>
      <c r="P422" s="23"/>
      <c r="Q422" s="25"/>
      <c r="R422" s="23"/>
      <c r="S422" s="23"/>
      <c r="T422" s="23"/>
      <c r="U422" s="20" t="str">
        <f ca="1">IF(COUNTA(A422:T422)=0,"",IF(OR(A422="",B422="",C422="",E422="",G422="",H422="",J422="",K422="",L422="",M422=""),"Ошибка: заполните обязательные поля",IF(AND(LEFT(H422,7)&lt;&gt;"http://",LEFT(H422,8)&lt;&gt;"https://"),"Ошибка: некорректная ссылка",IF(COUNTIF($H$6:$H$1005,H422)&gt;1,"Ошибка: дубликат URL",IF(E422&gt;TODAY(),"Ошибка: дата публикации в будущем",IF(S422="Да","Ошибка: подтверждённый дубль",IF(S422="","Проверить: отметьте дубль",IF(S422="Нужно проверить","Проверить возможный дубль",IF(TODAY()-E422&gt;30,"Проверить: старше 30 дней",IF(COUNTIFS(#REF!,G422,#REF!,"Готово")=0,"Проверить источник","Готово"))))))))))</f>
        <v/>
      </c>
    </row>
    <row r="423" spans="1:21" ht="25.5" customHeight="1">
      <c r="A423" s="21"/>
      <c r="B423" s="22"/>
      <c r="C423" s="21"/>
      <c r="D423" s="23"/>
      <c r="E423" s="22"/>
      <c r="F423" s="22"/>
      <c r="G423" s="23"/>
      <c r="H423" s="24"/>
      <c r="I423" s="24"/>
      <c r="J423" s="23"/>
      <c r="K423" s="23"/>
      <c r="L423" s="23"/>
      <c r="M423" s="23"/>
      <c r="N423" s="23"/>
      <c r="O423" s="23"/>
      <c r="P423" s="23"/>
      <c r="Q423" s="25"/>
      <c r="R423" s="23"/>
      <c r="S423" s="23"/>
      <c r="T423" s="23"/>
      <c r="U423" s="20" t="str">
        <f ca="1">IF(COUNTA(A423:T423)=0,"",IF(OR(A423="",B423="",C423="",E423="",G423="",H423="",J423="",K423="",L423="",M423=""),"Ошибка: заполните обязательные поля",IF(AND(LEFT(H423,7)&lt;&gt;"http://",LEFT(H423,8)&lt;&gt;"https://"),"Ошибка: некорректная ссылка",IF(COUNTIF($H$6:$H$1005,H423)&gt;1,"Ошибка: дубликат URL",IF(E423&gt;TODAY(),"Ошибка: дата публикации в будущем",IF(S423="Да","Ошибка: подтверждённый дубль",IF(S423="","Проверить: отметьте дубль",IF(S423="Нужно проверить","Проверить возможный дубль",IF(TODAY()-E423&gt;30,"Проверить: старше 30 дней",IF(COUNTIFS(#REF!,G423,#REF!,"Готово")=0,"Проверить источник","Готово"))))))))))</f>
        <v/>
      </c>
    </row>
    <row r="424" spans="1:21" ht="25.5" customHeight="1">
      <c r="A424" s="21"/>
      <c r="B424" s="22"/>
      <c r="C424" s="21"/>
      <c r="D424" s="23"/>
      <c r="E424" s="22"/>
      <c r="F424" s="22"/>
      <c r="G424" s="23"/>
      <c r="H424" s="24"/>
      <c r="I424" s="24"/>
      <c r="J424" s="23"/>
      <c r="K424" s="23"/>
      <c r="L424" s="23"/>
      <c r="M424" s="23"/>
      <c r="N424" s="23"/>
      <c r="O424" s="23"/>
      <c r="P424" s="23"/>
      <c r="Q424" s="25"/>
      <c r="R424" s="23"/>
      <c r="S424" s="23"/>
      <c r="T424" s="23"/>
      <c r="U424" s="20" t="str">
        <f ca="1">IF(COUNTA(A424:T424)=0,"",IF(OR(A424="",B424="",C424="",E424="",G424="",H424="",J424="",K424="",L424="",M424=""),"Ошибка: заполните обязательные поля",IF(AND(LEFT(H424,7)&lt;&gt;"http://",LEFT(H424,8)&lt;&gt;"https://"),"Ошибка: некорректная ссылка",IF(COUNTIF($H$6:$H$1005,H424)&gt;1,"Ошибка: дубликат URL",IF(E424&gt;TODAY(),"Ошибка: дата публикации в будущем",IF(S424="Да","Ошибка: подтверждённый дубль",IF(S424="","Проверить: отметьте дубль",IF(S424="Нужно проверить","Проверить возможный дубль",IF(TODAY()-E424&gt;30,"Проверить: старше 30 дней",IF(COUNTIFS(#REF!,G424,#REF!,"Готово")=0,"Проверить источник","Готово"))))))))))</f>
        <v/>
      </c>
    </row>
    <row r="425" spans="1:21" ht="25.5" customHeight="1">
      <c r="A425" s="21"/>
      <c r="B425" s="22"/>
      <c r="C425" s="21"/>
      <c r="D425" s="23"/>
      <c r="E425" s="22"/>
      <c r="F425" s="22"/>
      <c r="G425" s="23"/>
      <c r="H425" s="24"/>
      <c r="I425" s="24"/>
      <c r="J425" s="23"/>
      <c r="K425" s="23"/>
      <c r="L425" s="23"/>
      <c r="M425" s="23"/>
      <c r="N425" s="23"/>
      <c r="O425" s="23"/>
      <c r="P425" s="23"/>
      <c r="Q425" s="25"/>
      <c r="R425" s="23"/>
      <c r="S425" s="23"/>
      <c r="T425" s="23"/>
      <c r="U425" s="20" t="str">
        <f ca="1">IF(COUNTA(A425:T425)=0,"",IF(OR(A425="",B425="",C425="",E425="",G425="",H425="",J425="",K425="",L425="",M425=""),"Ошибка: заполните обязательные поля",IF(AND(LEFT(H425,7)&lt;&gt;"http://",LEFT(H425,8)&lt;&gt;"https://"),"Ошибка: некорректная ссылка",IF(COUNTIF($H$6:$H$1005,H425)&gt;1,"Ошибка: дубликат URL",IF(E425&gt;TODAY(),"Ошибка: дата публикации в будущем",IF(S425="Да","Ошибка: подтверждённый дубль",IF(S425="","Проверить: отметьте дубль",IF(S425="Нужно проверить","Проверить возможный дубль",IF(TODAY()-E425&gt;30,"Проверить: старше 30 дней",IF(COUNTIFS(#REF!,G425,#REF!,"Готово")=0,"Проверить источник","Готово"))))))))))</f>
        <v/>
      </c>
    </row>
    <row r="426" spans="1:21" ht="25.5" customHeight="1">
      <c r="A426" s="21"/>
      <c r="B426" s="22"/>
      <c r="C426" s="21"/>
      <c r="D426" s="23"/>
      <c r="E426" s="22"/>
      <c r="F426" s="22"/>
      <c r="G426" s="23"/>
      <c r="H426" s="24"/>
      <c r="I426" s="24"/>
      <c r="J426" s="23"/>
      <c r="K426" s="23"/>
      <c r="L426" s="23"/>
      <c r="M426" s="23"/>
      <c r="N426" s="23"/>
      <c r="O426" s="23"/>
      <c r="P426" s="23"/>
      <c r="Q426" s="25"/>
      <c r="R426" s="23"/>
      <c r="S426" s="23"/>
      <c r="T426" s="23"/>
      <c r="U426" s="20" t="str">
        <f ca="1">IF(COUNTA(A426:T426)=0,"",IF(OR(A426="",B426="",C426="",E426="",G426="",H426="",J426="",K426="",L426="",M426=""),"Ошибка: заполните обязательные поля",IF(AND(LEFT(H426,7)&lt;&gt;"http://",LEFT(H426,8)&lt;&gt;"https://"),"Ошибка: некорректная ссылка",IF(COUNTIF($H$6:$H$1005,H426)&gt;1,"Ошибка: дубликат URL",IF(E426&gt;TODAY(),"Ошибка: дата публикации в будущем",IF(S426="Да","Ошибка: подтверждённый дубль",IF(S426="","Проверить: отметьте дубль",IF(S426="Нужно проверить","Проверить возможный дубль",IF(TODAY()-E426&gt;30,"Проверить: старше 30 дней",IF(COUNTIFS(#REF!,G426,#REF!,"Готово")=0,"Проверить источник","Готово"))))))))))</f>
        <v/>
      </c>
    </row>
    <row r="427" spans="1:21" ht="25.5" customHeight="1">
      <c r="A427" s="21"/>
      <c r="B427" s="22"/>
      <c r="C427" s="21"/>
      <c r="D427" s="23"/>
      <c r="E427" s="22"/>
      <c r="F427" s="22"/>
      <c r="G427" s="23"/>
      <c r="H427" s="24"/>
      <c r="I427" s="24"/>
      <c r="J427" s="23"/>
      <c r="K427" s="23"/>
      <c r="L427" s="23"/>
      <c r="M427" s="23"/>
      <c r="N427" s="23"/>
      <c r="O427" s="23"/>
      <c r="P427" s="23"/>
      <c r="Q427" s="25"/>
      <c r="R427" s="23"/>
      <c r="S427" s="23"/>
      <c r="T427" s="23"/>
      <c r="U427" s="20" t="str">
        <f ca="1">IF(COUNTA(A427:T427)=0,"",IF(OR(A427="",B427="",C427="",E427="",G427="",H427="",J427="",K427="",L427="",M427=""),"Ошибка: заполните обязательные поля",IF(AND(LEFT(H427,7)&lt;&gt;"http://",LEFT(H427,8)&lt;&gt;"https://"),"Ошибка: некорректная ссылка",IF(COUNTIF($H$6:$H$1005,H427)&gt;1,"Ошибка: дубликат URL",IF(E427&gt;TODAY(),"Ошибка: дата публикации в будущем",IF(S427="Да","Ошибка: подтверждённый дубль",IF(S427="","Проверить: отметьте дубль",IF(S427="Нужно проверить","Проверить возможный дубль",IF(TODAY()-E427&gt;30,"Проверить: старше 30 дней",IF(COUNTIFS(#REF!,G427,#REF!,"Готово")=0,"Проверить источник","Готово"))))))))))</f>
        <v/>
      </c>
    </row>
    <row r="428" spans="1:21" ht="25.5" customHeight="1">
      <c r="A428" s="21"/>
      <c r="B428" s="22"/>
      <c r="C428" s="21"/>
      <c r="D428" s="23"/>
      <c r="E428" s="22"/>
      <c r="F428" s="22"/>
      <c r="G428" s="23"/>
      <c r="H428" s="24"/>
      <c r="I428" s="24"/>
      <c r="J428" s="23"/>
      <c r="K428" s="23"/>
      <c r="L428" s="23"/>
      <c r="M428" s="23"/>
      <c r="N428" s="23"/>
      <c r="O428" s="23"/>
      <c r="P428" s="23"/>
      <c r="Q428" s="25"/>
      <c r="R428" s="23"/>
      <c r="S428" s="23"/>
      <c r="T428" s="23"/>
      <c r="U428" s="20" t="str">
        <f ca="1">IF(COUNTA(A428:T428)=0,"",IF(OR(A428="",B428="",C428="",E428="",G428="",H428="",J428="",K428="",L428="",M428=""),"Ошибка: заполните обязательные поля",IF(AND(LEFT(H428,7)&lt;&gt;"http://",LEFT(H428,8)&lt;&gt;"https://"),"Ошибка: некорректная ссылка",IF(COUNTIF($H$6:$H$1005,H428)&gt;1,"Ошибка: дубликат URL",IF(E428&gt;TODAY(),"Ошибка: дата публикации в будущем",IF(S428="Да","Ошибка: подтверждённый дубль",IF(S428="","Проверить: отметьте дубль",IF(S428="Нужно проверить","Проверить возможный дубль",IF(TODAY()-E428&gt;30,"Проверить: старше 30 дней",IF(COUNTIFS(#REF!,G428,#REF!,"Готово")=0,"Проверить источник","Готово"))))))))))</f>
        <v/>
      </c>
    </row>
    <row r="429" spans="1:21" ht="25.5" customHeight="1">
      <c r="A429" s="21"/>
      <c r="B429" s="22"/>
      <c r="C429" s="21"/>
      <c r="D429" s="23"/>
      <c r="E429" s="22"/>
      <c r="F429" s="22"/>
      <c r="G429" s="23"/>
      <c r="H429" s="24"/>
      <c r="I429" s="24"/>
      <c r="J429" s="23"/>
      <c r="K429" s="23"/>
      <c r="L429" s="23"/>
      <c r="M429" s="23"/>
      <c r="N429" s="23"/>
      <c r="O429" s="23"/>
      <c r="P429" s="23"/>
      <c r="Q429" s="25"/>
      <c r="R429" s="23"/>
      <c r="S429" s="23"/>
      <c r="T429" s="23"/>
      <c r="U429" s="20" t="str">
        <f ca="1">IF(COUNTA(A429:T429)=0,"",IF(OR(A429="",B429="",C429="",E429="",G429="",H429="",J429="",K429="",L429="",M429=""),"Ошибка: заполните обязательные поля",IF(AND(LEFT(H429,7)&lt;&gt;"http://",LEFT(H429,8)&lt;&gt;"https://"),"Ошибка: некорректная ссылка",IF(COUNTIF($H$6:$H$1005,H429)&gt;1,"Ошибка: дубликат URL",IF(E429&gt;TODAY(),"Ошибка: дата публикации в будущем",IF(S429="Да","Ошибка: подтверждённый дубль",IF(S429="","Проверить: отметьте дубль",IF(S429="Нужно проверить","Проверить возможный дубль",IF(TODAY()-E429&gt;30,"Проверить: старше 30 дней",IF(COUNTIFS(#REF!,G429,#REF!,"Готово")=0,"Проверить источник","Готово"))))))))))</f>
        <v/>
      </c>
    </row>
    <row r="430" spans="1:21" ht="25.5" customHeight="1">
      <c r="A430" s="21"/>
      <c r="B430" s="22"/>
      <c r="C430" s="21"/>
      <c r="D430" s="23"/>
      <c r="E430" s="22"/>
      <c r="F430" s="22"/>
      <c r="G430" s="23"/>
      <c r="H430" s="24"/>
      <c r="I430" s="24"/>
      <c r="J430" s="23"/>
      <c r="K430" s="23"/>
      <c r="L430" s="23"/>
      <c r="M430" s="23"/>
      <c r="N430" s="23"/>
      <c r="O430" s="23"/>
      <c r="P430" s="23"/>
      <c r="Q430" s="25"/>
      <c r="R430" s="23"/>
      <c r="S430" s="23"/>
      <c r="T430" s="23"/>
      <c r="U430" s="20" t="str">
        <f ca="1">IF(COUNTA(A430:T430)=0,"",IF(OR(A430="",B430="",C430="",E430="",G430="",H430="",J430="",K430="",L430="",M430=""),"Ошибка: заполните обязательные поля",IF(AND(LEFT(H430,7)&lt;&gt;"http://",LEFT(H430,8)&lt;&gt;"https://"),"Ошибка: некорректная ссылка",IF(COUNTIF($H$6:$H$1005,H430)&gt;1,"Ошибка: дубликат URL",IF(E430&gt;TODAY(),"Ошибка: дата публикации в будущем",IF(S430="Да","Ошибка: подтверждённый дубль",IF(S430="","Проверить: отметьте дубль",IF(S430="Нужно проверить","Проверить возможный дубль",IF(TODAY()-E430&gt;30,"Проверить: старше 30 дней",IF(COUNTIFS(#REF!,G430,#REF!,"Готово")=0,"Проверить источник","Готово"))))))))))</f>
        <v/>
      </c>
    </row>
    <row r="431" spans="1:21" ht="25.5" customHeight="1">
      <c r="A431" s="21"/>
      <c r="B431" s="22"/>
      <c r="C431" s="21"/>
      <c r="D431" s="23"/>
      <c r="E431" s="22"/>
      <c r="F431" s="22"/>
      <c r="G431" s="23"/>
      <c r="H431" s="24"/>
      <c r="I431" s="24"/>
      <c r="J431" s="23"/>
      <c r="K431" s="23"/>
      <c r="L431" s="23"/>
      <c r="M431" s="23"/>
      <c r="N431" s="23"/>
      <c r="O431" s="23"/>
      <c r="P431" s="23"/>
      <c r="Q431" s="25"/>
      <c r="R431" s="23"/>
      <c r="S431" s="23"/>
      <c r="T431" s="23"/>
      <c r="U431" s="20" t="str">
        <f ca="1">IF(COUNTA(A431:T431)=0,"",IF(OR(A431="",B431="",C431="",E431="",G431="",H431="",J431="",K431="",L431="",M431=""),"Ошибка: заполните обязательные поля",IF(AND(LEFT(H431,7)&lt;&gt;"http://",LEFT(H431,8)&lt;&gt;"https://"),"Ошибка: некорректная ссылка",IF(COUNTIF($H$6:$H$1005,H431)&gt;1,"Ошибка: дубликат URL",IF(E431&gt;TODAY(),"Ошибка: дата публикации в будущем",IF(S431="Да","Ошибка: подтверждённый дубль",IF(S431="","Проверить: отметьте дубль",IF(S431="Нужно проверить","Проверить возможный дубль",IF(TODAY()-E431&gt;30,"Проверить: старше 30 дней",IF(COUNTIFS(#REF!,G431,#REF!,"Готово")=0,"Проверить источник","Готово"))))))))))</f>
        <v/>
      </c>
    </row>
    <row r="432" spans="1:21" ht="25.5" customHeight="1">
      <c r="A432" s="21"/>
      <c r="B432" s="22"/>
      <c r="C432" s="21"/>
      <c r="D432" s="23"/>
      <c r="E432" s="22"/>
      <c r="F432" s="22"/>
      <c r="G432" s="23"/>
      <c r="H432" s="24"/>
      <c r="I432" s="24"/>
      <c r="J432" s="23"/>
      <c r="K432" s="23"/>
      <c r="L432" s="23"/>
      <c r="M432" s="23"/>
      <c r="N432" s="23"/>
      <c r="O432" s="23"/>
      <c r="P432" s="23"/>
      <c r="Q432" s="25"/>
      <c r="R432" s="23"/>
      <c r="S432" s="23"/>
      <c r="T432" s="23"/>
      <c r="U432" s="20" t="str">
        <f ca="1">IF(COUNTA(A432:T432)=0,"",IF(OR(A432="",B432="",C432="",E432="",G432="",H432="",J432="",K432="",L432="",M432=""),"Ошибка: заполните обязательные поля",IF(AND(LEFT(H432,7)&lt;&gt;"http://",LEFT(H432,8)&lt;&gt;"https://"),"Ошибка: некорректная ссылка",IF(COUNTIF($H$6:$H$1005,H432)&gt;1,"Ошибка: дубликат URL",IF(E432&gt;TODAY(),"Ошибка: дата публикации в будущем",IF(S432="Да","Ошибка: подтверждённый дубль",IF(S432="","Проверить: отметьте дубль",IF(S432="Нужно проверить","Проверить возможный дубль",IF(TODAY()-E432&gt;30,"Проверить: старше 30 дней",IF(COUNTIFS(#REF!,G432,#REF!,"Готово")=0,"Проверить источник","Готово"))))))))))</f>
        <v/>
      </c>
    </row>
    <row r="433" spans="1:21" ht="25.5" customHeight="1">
      <c r="A433" s="21"/>
      <c r="B433" s="22"/>
      <c r="C433" s="21"/>
      <c r="D433" s="23"/>
      <c r="E433" s="22"/>
      <c r="F433" s="22"/>
      <c r="G433" s="23"/>
      <c r="H433" s="24"/>
      <c r="I433" s="24"/>
      <c r="J433" s="23"/>
      <c r="K433" s="23"/>
      <c r="L433" s="23"/>
      <c r="M433" s="23"/>
      <c r="N433" s="23"/>
      <c r="O433" s="23"/>
      <c r="P433" s="23"/>
      <c r="Q433" s="25"/>
      <c r="R433" s="23"/>
      <c r="S433" s="23"/>
      <c r="T433" s="23"/>
      <c r="U433" s="20" t="str">
        <f ca="1">IF(COUNTA(A433:T433)=0,"",IF(OR(A433="",B433="",C433="",E433="",G433="",H433="",J433="",K433="",L433="",M433=""),"Ошибка: заполните обязательные поля",IF(AND(LEFT(H433,7)&lt;&gt;"http://",LEFT(H433,8)&lt;&gt;"https://"),"Ошибка: некорректная ссылка",IF(COUNTIF($H$6:$H$1005,H433)&gt;1,"Ошибка: дубликат URL",IF(E433&gt;TODAY(),"Ошибка: дата публикации в будущем",IF(S433="Да","Ошибка: подтверждённый дубль",IF(S433="","Проверить: отметьте дубль",IF(S433="Нужно проверить","Проверить возможный дубль",IF(TODAY()-E433&gt;30,"Проверить: старше 30 дней",IF(COUNTIFS(#REF!,G433,#REF!,"Готово")=0,"Проверить источник","Готово"))))))))))</f>
        <v/>
      </c>
    </row>
    <row r="434" spans="1:21" ht="25.5" customHeight="1">
      <c r="A434" s="21"/>
      <c r="B434" s="22"/>
      <c r="C434" s="21"/>
      <c r="D434" s="23"/>
      <c r="E434" s="22"/>
      <c r="F434" s="22"/>
      <c r="G434" s="23"/>
      <c r="H434" s="24"/>
      <c r="I434" s="24"/>
      <c r="J434" s="23"/>
      <c r="K434" s="23"/>
      <c r="L434" s="23"/>
      <c r="M434" s="23"/>
      <c r="N434" s="23"/>
      <c r="O434" s="23"/>
      <c r="P434" s="23"/>
      <c r="Q434" s="25"/>
      <c r="R434" s="23"/>
      <c r="S434" s="23"/>
      <c r="T434" s="23"/>
      <c r="U434" s="20" t="str">
        <f ca="1">IF(COUNTA(A434:T434)=0,"",IF(OR(A434="",B434="",C434="",E434="",G434="",H434="",J434="",K434="",L434="",M434=""),"Ошибка: заполните обязательные поля",IF(AND(LEFT(H434,7)&lt;&gt;"http://",LEFT(H434,8)&lt;&gt;"https://"),"Ошибка: некорректная ссылка",IF(COUNTIF($H$6:$H$1005,H434)&gt;1,"Ошибка: дубликат URL",IF(E434&gt;TODAY(),"Ошибка: дата публикации в будущем",IF(S434="Да","Ошибка: подтверждённый дубль",IF(S434="","Проверить: отметьте дубль",IF(S434="Нужно проверить","Проверить возможный дубль",IF(TODAY()-E434&gt;30,"Проверить: старше 30 дней",IF(COUNTIFS(#REF!,G434,#REF!,"Готово")=0,"Проверить источник","Готово"))))))))))</f>
        <v/>
      </c>
    </row>
    <row r="435" spans="1:21" ht="25.5" customHeight="1">
      <c r="A435" s="21"/>
      <c r="B435" s="22"/>
      <c r="C435" s="21"/>
      <c r="D435" s="23"/>
      <c r="E435" s="22"/>
      <c r="F435" s="22"/>
      <c r="G435" s="23"/>
      <c r="H435" s="24"/>
      <c r="I435" s="24"/>
      <c r="J435" s="23"/>
      <c r="K435" s="23"/>
      <c r="L435" s="23"/>
      <c r="M435" s="23"/>
      <c r="N435" s="23"/>
      <c r="O435" s="23"/>
      <c r="P435" s="23"/>
      <c r="Q435" s="25"/>
      <c r="R435" s="23"/>
      <c r="S435" s="23"/>
      <c r="T435" s="23"/>
      <c r="U435" s="20" t="str">
        <f ca="1">IF(COUNTA(A435:T435)=0,"",IF(OR(A435="",B435="",C435="",E435="",G435="",H435="",J435="",K435="",L435="",M435=""),"Ошибка: заполните обязательные поля",IF(AND(LEFT(H435,7)&lt;&gt;"http://",LEFT(H435,8)&lt;&gt;"https://"),"Ошибка: некорректная ссылка",IF(COUNTIF($H$6:$H$1005,H435)&gt;1,"Ошибка: дубликат URL",IF(E435&gt;TODAY(),"Ошибка: дата публикации в будущем",IF(S435="Да","Ошибка: подтверждённый дубль",IF(S435="","Проверить: отметьте дубль",IF(S435="Нужно проверить","Проверить возможный дубль",IF(TODAY()-E435&gt;30,"Проверить: старше 30 дней",IF(COUNTIFS(#REF!,G435,#REF!,"Готово")=0,"Проверить источник","Готово"))))))))))</f>
        <v/>
      </c>
    </row>
    <row r="436" spans="1:21" ht="25.5" customHeight="1">
      <c r="A436" s="21"/>
      <c r="B436" s="22"/>
      <c r="C436" s="21"/>
      <c r="D436" s="23"/>
      <c r="E436" s="22"/>
      <c r="F436" s="22"/>
      <c r="G436" s="23"/>
      <c r="H436" s="24"/>
      <c r="I436" s="24"/>
      <c r="J436" s="23"/>
      <c r="K436" s="23"/>
      <c r="L436" s="23"/>
      <c r="M436" s="23"/>
      <c r="N436" s="23"/>
      <c r="O436" s="23"/>
      <c r="P436" s="23"/>
      <c r="Q436" s="25"/>
      <c r="R436" s="23"/>
      <c r="S436" s="23"/>
      <c r="T436" s="23"/>
      <c r="U436" s="20" t="str">
        <f ca="1">IF(COUNTA(A436:T436)=0,"",IF(OR(A436="",B436="",C436="",E436="",G436="",H436="",J436="",K436="",L436="",M436=""),"Ошибка: заполните обязательные поля",IF(AND(LEFT(H436,7)&lt;&gt;"http://",LEFT(H436,8)&lt;&gt;"https://"),"Ошибка: некорректная ссылка",IF(COUNTIF($H$6:$H$1005,H436)&gt;1,"Ошибка: дубликат URL",IF(E436&gt;TODAY(),"Ошибка: дата публикации в будущем",IF(S436="Да","Ошибка: подтверждённый дубль",IF(S436="","Проверить: отметьте дубль",IF(S436="Нужно проверить","Проверить возможный дубль",IF(TODAY()-E436&gt;30,"Проверить: старше 30 дней",IF(COUNTIFS(#REF!,G436,#REF!,"Готово")=0,"Проверить источник","Готово"))))))))))</f>
        <v/>
      </c>
    </row>
    <row r="437" spans="1:21" ht="25.5" customHeight="1">
      <c r="A437" s="21"/>
      <c r="B437" s="22"/>
      <c r="C437" s="21"/>
      <c r="D437" s="23"/>
      <c r="E437" s="22"/>
      <c r="F437" s="22"/>
      <c r="G437" s="23"/>
      <c r="H437" s="24"/>
      <c r="I437" s="24"/>
      <c r="J437" s="23"/>
      <c r="K437" s="23"/>
      <c r="L437" s="23"/>
      <c r="M437" s="23"/>
      <c r="N437" s="23"/>
      <c r="O437" s="23"/>
      <c r="P437" s="23"/>
      <c r="Q437" s="25"/>
      <c r="R437" s="23"/>
      <c r="S437" s="23"/>
      <c r="T437" s="23"/>
      <c r="U437" s="20" t="str">
        <f ca="1">IF(COUNTA(A437:T437)=0,"",IF(OR(A437="",B437="",C437="",E437="",G437="",H437="",J437="",K437="",L437="",M437=""),"Ошибка: заполните обязательные поля",IF(AND(LEFT(H437,7)&lt;&gt;"http://",LEFT(H437,8)&lt;&gt;"https://"),"Ошибка: некорректная ссылка",IF(COUNTIF($H$6:$H$1005,H437)&gt;1,"Ошибка: дубликат URL",IF(E437&gt;TODAY(),"Ошибка: дата публикации в будущем",IF(S437="Да","Ошибка: подтверждённый дубль",IF(S437="","Проверить: отметьте дубль",IF(S437="Нужно проверить","Проверить возможный дубль",IF(TODAY()-E437&gt;30,"Проверить: старше 30 дней",IF(COUNTIFS(#REF!,G437,#REF!,"Готово")=0,"Проверить источник","Готово"))))))))))</f>
        <v/>
      </c>
    </row>
    <row r="438" spans="1:21" ht="25.5" customHeight="1">
      <c r="A438" s="21"/>
      <c r="B438" s="22"/>
      <c r="C438" s="21"/>
      <c r="D438" s="23"/>
      <c r="E438" s="22"/>
      <c r="F438" s="22"/>
      <c r="G438" s="23"/>
      <c r="H438" s="24"/>
      <c r="I438" s="24"/>
      <c r="J438" s="23"/>
      <c r="K438" s="23"/>
      <c r="L438" s="23"/>
      <c r="M438" s="23"/>
      <c r="N438" s="23"/>
      <c r="O438" s="23"/>
      <c r="P438" s="23"/>
      <c r="Q438" s="25"/>
      <c r="R438" s="23"/>
      <c r="S438" s="23"/>
      <c r="T438" s="23"/>
      <c r="U438" s="20" t="str">
        <f ca="1">IF(COUNTA(A438:T438)=0,"",IF(OR(A438="",B438="",C438="",E438="",G438="",H438="",J438="",K438="",L438="",M438=""),"Ошибка: заполните обязательные поля",IF(AND(LEFT(H438,7)&lt;&gt;"http://",LEFT(H438,8)&lt;&gt;"https://"),"Ошибка: некорректная ссылка",IF(COUNTIF($H$6:$H$1005,H438)&gt;1,"Ошибка: дубликат URL",IF(E438&gt;TODAY(),"Ошибка: дата публикации в будущем",IF(S438="Да","Ошибка: подтверждённый дубль",IF(S438="","Проверить: отметьте дубль",IF(S438="Нужно проверить","Проверить возможный дубль",IF(TODAY()-E438&gt;30,"Проверить: старше 30 дней",IF(COUNTIFS(#REF!,G438,#REF!,"Готово")=0,"Проверить источник","Готово"))))))))))</f>
        <v/>
      </c>
    </row>
    <row r="439" spans="1:21" ht="25.5" customHeight="1">
      <c r="A439" s="21"/>
      <c r="B439" s="22"/>
      <c r="C439" s="21"/>
      <c r="D439" s="23"/>
      <c r="E439" s="22"/>
      <c r="F439" s="22"/>
      <c r="G439" s="23"/>
      <c r="H439" s="24"/>
      <c r="I439" s="24"/>
      <c r="J439" s="23"/>
      <c r="K439" s="23"/>
      <c r="L439" s="23"/>
      <c r="M439" s="23"/>
      <c r="N439" s="23"/>
      <c r="O439" s="23"/>
      <c r="P439" s="23"/>
      <c r="Q439" s="25"/>
      <c r="R439" s="23"/>
      <c r="S439" s="23"/>
      <c r="T439" s="23"/>
      <c r="U439" s="20" t="str">
        <f ca="1">IF(COUNTA(A439:T439)=0,"",IF(OR(A439="",B439="",C439="",E439="",G439="",H439="",J439="",K439="",L439="",M439=""),"Ошибка: заполните обязательные поля",IF(AND(LEFT(H439,7)&lt;&gt;"http://",LEFT(H439,8)&lt;&gt;"https://"),"Ошибка: некорректная ссылка",IF(COUNTIF($H$6:$H$1005,H439)&gt;1,"Ошибка: дубликат URL",IF(E439&gt;TODAY(),"Ошибка: дата публикации в будущем",IF(S439="Да","Ошибка: подтверждённый дубль",IF(S439="","Проверить: отметьте дубль",IF(S439="Нужно проверить","Проверить возможный дубль",IF(TODAY()-E439&gt;30,"Проверить: старше 30 дней",IF(COUNTIFS(#REF!,G439,#REF!,"Готово")=0,"Проверить источник","Готово"))))))))))</f>
        <v/>
      </c>
    </row>
    <row r="440" spans="1:21" ht="25.5" customHeight="1">
      <c r="A440" s="21"/>
      <c r="B440" s="22"/>
      <c r="C440" s="21"/>
      <c r="D440" s="23"/>
      <c r="E440" s="22"/>
      <c r="F440" s="22"/>
      <c r="G440" s="23"/>
      <c r="H440" s="24"/>
      <c r="I440" s="24"/>
      <c r="J440" s="23"/>
      <c r="K440" s="23"/>
      <c r="L440" s="23"/>
      <c r="M440" s="23"/>
      <c r="N440" s="23"/>
      <c r="O440" s="23"/>
      <c r="P440" s="23"/>
      <c r="Q440" s="25"/>
      <c r="R440" s="23"/>
      <c r="S440" s="23"/>
      <c r="T440" s="23"/>
      <c r="U440" s="20" t="str">
        <f ca="1">IF(COUNTA(A440:T440)=0,"",IF(OR(A440="",B440="",C440="",E440="",G440="",H440="",J440="",K440="",L440="",M440=""),"Ошибка: заполните обязательные поля",IF(AND(LEFT(H440,7)&lt;&gt;"http://",LEFT(H440,8)&lt;&gt;"https://"),"Ошибка: некорректная ссылка",IF(COUNTIF($H$6:$H$1005,H440)&gt;1,"Ошибка: дубликат URL",IF(E440&gt;TODAY(),"Ошибка: дата публикации в будущем",IF(S440="Да","Ошибка: подтверждённый дубль",IF(S440="","Проверить: отметьте дубль",IF(S440="Нужно проверить","Проверить возможный дубль",IF(TODAY()-E440&gt;30,"Проверить: старше 30 дней",IF(COUNTIFS(#REF!,G440,#REF!,"Готово")=0,"Проверить источник","Готово"))))))))))</f>
        <v/>
      </c>
    </row>
    <row r="441" spans="1:21" ht="25.5" customHeight="1">
      <c r="A441" s="21"/>
      <c r="B441" s="22"/>
      <c r="C441" s="21"/>
      <c r="D441" s="23"/>
      <c r="E441" s="22"/>
      <c r="F441" s="22"/>
      <c r="G441" s="23"/>
      <c r="H441" s="24"/>
      <c r="I441" s="24"/>
      <c r="J441" s="23"/>
      <c r="K441" s="23"/>
      <c r="L441" s="23"/>
      <c r="M441" s="23"/>
      <c r="N441" s="23"/>
      <c r="O441" s="23"/>
      <c r="P441" s="23"/>
      <c r="Q441" s="25"/>
      <c r="R441" s="23"/>
      <c r="S441" s="23"/>
      <c r="T441" s="23"/>
      <c r="U441" s="20" t="str">
        <f ca="1">IF(COUNTA(A441:T441)=0,"",IF(OR(A441="",B441="",C441="",E441="",G441="",H441="",J441="",K441="",L441="",M441=""),"Ошибка: заполните обязательные поля",IF(AND(LEFT(H441,7)&lt;&gt;"http://",LEFT(H441,8)&lt;&gt;"https://"),"Ошибка: некорректная ссылка",IF(COUNTIF($H$6:$H$1005,H441)&gt;1,"Ошибка: дубликат URL",IF(E441&gt;TODAY(),"Ошибка: дата публикации в будущем",IF(S441="Да","Ошибка: подтверждённый дубль",IF(S441="","Проверить: отметьте дубль",IF(S441="Нужно проверить","Проверить возможный дубль",IF(TODAY()-E441&gt;30,"Проверить: старше 30 дней",IF(COUNTIFS(#REF!,G441,#REF!,"Готово")=0,"Проверить источник","Готово"))))))))))</f>
        <v/>
      </c>
    </row>
    <row r="442" spans="1:21" ht="25.5" customHeight="1">
      <c r="A442" s="21"/>
      <c r="B442" s="22"/>
      <c r="C442" s="21"/>
      <c r="D442" s="23"/>
      <c r="E442" s="22"/>
      <c r="F442" s="22"/>
      <c r="G442" s="23"/>
      <c r="H442" s="24"/>
      <c r="I442" s="24"/>
      <c r="J442" s="23"/>
      <c r="K442" s="23"/>
      <c r="L442" s="23"/>
      <c r="M442" s="23"/>
      <c r="N442" s="23"/>
      <c r="O442" s="23"/>
      <c r="P442" s="23"/>
      <c r="Q442" s="25"/>
      <c r="R442" s="23"/>
      <c r="S442" s="23"/>
      <c r="T442" s="23"/>
      <c r="U442" s="20" t="str">
        <f ca="1">IF(COUNTA(A442:T442)=0,"",IF(OR(A442="",B442="",C442="",E442="",G442="",H442="",J442="",K442="",L442="",M442=""),"Ошибка: заполните обязательные поля",IF(AND(LEFT(H442,7)&lt;&gt;"http://",LEFT(H442,8)&lt;&gt;"https://"),"Ошибка: некорректная ссылка",IF(COUNTIF($H$6:$H$1005,H442)&gt;1,"Ошибка: дубликат URL",IF(E442&gt;TODAY(),"Ошибка: дата публикации в будущем",IF(S442="Да","Ошибка: подтверждённый дубль",IF(S442="","Проверить: отметьте дубль",IF(S442="Нужно проверить","Проверить возможный дубль",IF(TODAY()-E442&gt;30,"Проверить: старше 30 дней",IF(COUNTIFS(#REF!,G442,#REF!,"Готово")=0,"Проверить источник","Готово"))))))))))</f>
        <v/>
      </c>
    </row>
    <row r="443" spans="1:21" ht="25.5" customHeight="1">
      <c r="A443" s="21"/>
      <c r="B443" s="22"/>
      <c r="C443" s="21"/>
      <c r="D443" s="23"/>
      <c r="E443" s="22"/>
      <c r="F443" s="22"/>
      <c r="G443" s="23"/>
      <c r="H443" s="24"/>
      <c r="I443" s="24"/>
      <c r="J443" s="23"/>
      <c r="K443" s="23"/>
      <c r="L443" s="23"/>
      <c r="M443" s="23"/>
      <c r="N443" s="23"/>
      <c r="O443" s="23"/>
      <c r="P443" s="23"/>
      <c r="Q443" s="25"/>
      <c r="R443" s="23"/>
      <c r="S443" s="23"/>
      <c r="T443" s="23"/>
      <c r="U443" s="20" t="str">
        <f ca="1">IF(COUNTA(A443:T443)=0,"",IF(OR(A443="",B443="",C443="",E443="",G443="",H443="",J443="",K443="",L443="",M443=""),"Ошибка: заполните обязательные поля",IF(AND(LEFT(H443,7)&lt;&gt;"http://",LEFT(H443,8)&lt;&gt;"https://"),"Ошибка: некорректная ссылка",IF(COUNTIF($H$6:$H$1005,H443)&gt;1,"Ошибка: дубликат URL",IF(E443&gt;TODAY(),"Ошибка: дата публикации в будущем",IF(S443="Да","Ошибка: подтверждённый дубль",IF(S443="","Проверить: отметьте дубль",IF(S443="Нужно проверить","Проверить возможный дубль",IF(TODAY()-E443&gt;30,"Проверить: старше 30 дней",IF(COUNTIFS(#REF!,G443,#REF!,"Готово")=0,"Проверить источник","Готово"))))))))))</f>
        <v/>
      </c>
    </row>
    <row r="444" spans="1:21" ht="25.5" customHeight="1">
      <c r="A444" s="21"/>
      <c r="B444" s="22"/>
      <c r="C444" s="21"/>
      <c r="D444" s="23"/>
      <c r="E444" s="22"/>
      <c r="F444" s="22"/>
      <c r="G444" s="23"/>
      <c r="H444" s="24"/>
      <c r="I444" s="24"/>
      <c r="J444" s="23"/>
      <c r="K444" s="23"/>
      <c r="L444" s="23"/>
      <c r="M444" s="23"/>
      <c r="N444" s="23"/>
      <c r="O444" s="23"/>
      <c r="P444" s="23"/>
      <c r="Q444" s="25"/>
      <c r="R444" s="23"/>
      <c r="S444" s="23"/>
      <c r="T444" s="23"/>
      <c r="U444" s="20" t="str">
        <f ca="1">IF(COUNTA(A444:T444)=0,"",IF(OR(A444="",B444="",C444="",E444="",G444="",H444="",J444="",K444="",L444="",M444=""),"Ошибка: заполните обязательные поля",IF(AND(LEFT(H444,7)&lt;&gt;"http://",LEFT(H444,8)&lt;&gt;"https://"),"Ошибка: некорректная ссылка",IF(COUNTIF($H$6:$H$1005,H444)&gt;1,"Ошибка: дубликат URL",IF(E444&gt;TODAY(),"Ошибка: дата публикации в будущем",IF(S444="Да","Ошибка: подтверждённый дубль",IF(S444="","Проверить: отметьте дубль",IF(S444="Нужно проверить","Проверить возможный дубль",IF(TODAY()-E444&gt;30,"Проверить: старше 30 дней",IF(COUNTIFS(#REF!,G444,#REF!,"Готово")=0,"Проверить источник","Готово"))))))))))</f>
        <v/>
      </c>
    </row>
    <row r="445" spans="1:21" ht="25.5" customHeight="1">
      <c r="A445" s="21"/>
      <c r="B445" s="22"/>
      <c r="C445" s="21"/>
      <c r="D445" s="23"/>
      <c r="E445" s="22"/>
      <c r="F445" s="22"/>
      <c r="G445" s="23"/>
      <c r="H445" s="24"/>
      <c r="I445" s="24"/>
      <c r="J445" s="23"/>
      <c r="K445" s="23"/>
      <c r="L445" s="23"/>
      <c r="M445" s="23"/>
      <c r="N445" s="23"/>
      <c r="O445" s="23"/>
      <c r="P445" s="23"/>
      <c r="Q445" s="25"/>
      <c r="R445" s="23"/>
      <c r="S445" s="23"/>
      <c r="T445" s="23"/>
      <c r="U445" s="20" t="str">
        <f ca="1">IF(COUNTA(A445:T445)=0,"",IF(OR(A445="",B445="",C445="",E445="",G445="",H445="",J445="",K445="",L445="",M445=""),"Ошибка: заполните обязательные поля",IF(AND(LEFT(H445,7)&lt;&gt;"http://",LEFT(H445,8)&lt;&gt;"https://"),"Ошибка: некорректная ссылка",IF(COUNTIF($H$6:$H$1005,H445)&gt;1,"Ошибка: дубликат URL",IF(E445&gt;TODAY(),"Ошибка: дата публикации в будущем",IF(S445="Да","Ошибка: подтверждённый дубль",IF(S445="","Проверить: отметьте дубль",IF(S445="Нужно проверить","Проверить возможный дубль",IF(TODAY()-E445&gt;30,"Проверить: старше 30 дней",IF(COUNTIFS(#REF!,G445,#REF!,"Готово")=0,"Проверить источник","Готово"))))))))))</f>
        <v/>
      </c>
    </row>
    <row r="446" spans="1:21" ht="25.5" customHeight="1">
      <c r="A446" s="21"/>
      <c r="B446" s="22"/>
      <c r="C446" s="21"/>
      <c r="D446" s="23"/>
      <c r="E446" s="22"/>
      <c r="F446" s="22"/>
      <c r="G446" s="23"/>
      <c r="H446" s="24"/>
      <c r="I446" s="24"/>
      <c r="J446" s="23"/>
      <c r="K446" s="23"/>
      <c r="L446" s="23"/>
      <c r="M446" s="23"/>
      <c r="N446" s="23"/>
      <c r="O446" s="23"/>
      <c r="P446" s="23"/>
      <c r="Q446" s="25"/>
      <c r="R446" s="23"/>
      <c r="S446" s="23"/>
      <c r="T446" s="23"/>
      <c r="U446" s="20" t="str">
        <f ca="1">IF(COUNTA(A446:T446)=0,"",IF(OR(A446="",B446="",C446="",E446="",G446="",H446="",J446="",K446="",L446="",M446=""),"Ошибка: заполните обязательные поля",IF(AND(LEFT(H446,7)&lt;&gt;"http://",LEFT(H446,8)&lt;&gt;"https://"),"Ошибка: некорректная ссылка",IF(COUNTIF($H$6:$H$1005,H446)&gt;1,"Ошибка: дубликат URL",IF(E446&gt;TODAY(),"Ошибка: дата публикации в будущем",IF(S446="Да","Ошибка: подтверждённый дубль",IF(S446="","Проверить: отметьте дубль",IF(S446="Нужно проверить","Проверить возможный дубль",IF(TODAY()-E446&gt;30,"Проверить: старше 30 дней",IF(COUNTIFS(#REF!,G446,#REF!,"Готово")=0,"Проверить источник","Готово"))))))))))</f>
        <v/>
      </c>
    </row>
    <row r="447" spans="1:21" ht="25.5" customHeight="1">
      <c r="A447" s="21"/>
      <c r="B447" s="22"/>
      <c r="C447" s="21"/>
      <c r="D447" s="23"/>
      <c r="E447" s="22"/>
      <c r="F447" s="22"/>
      <c r="G447" s="23"/>
      <c r="H447" s="24"/>
      <c r="I447" s="24"/>
      <c r="J447" s="23"/>
      <c r="K447" s="23"/>
      <c r="L447" s="23"/>
      <c r="M447" s="23"/>
      <c r="N447" s="23"/>
      <c r="O447" s="23"/>
      <c r="P447" s="23"/>
      <c r="Q447" s="25"/>
      <c r="R447" s="23"/>
      <c r="S447" s="23"/>
      <c r="T447" s="23"/>
      <c r="U447" s="20" t="str">
        <f ca="1">IF(COUNTA(A447:T447)=0,"",IF(OR(A447="",B447="",C447="",E447="",G447="",H447="",J447="",K447="",L447="",M447=""),"Ошибка: заполните обязательные поля",IF(AND(LEFT(H447,7)&lt;&gt;"http://",LEFT(H447,8)&lt;&gt;"https://"),"Ошибка: некорректная ссылка",IF(COUNTIF($H$6:$H$1005,H447)&gt;1,"Ошибка: дубликат URL",IF(E447&gt;TODAY(),"Ошибка: дата публикации в будущем",IF(S447="Да","Ошибка: подтверждённый дубль",IF(S447="","Проверить: отметьте дубль",IF(S447="Нужно проверить","Проверить возможный дубль",IF(TODAY()-E447&gt;30,"Проверить: старше 30 дней",IF(COUNTIFS(#REF!,G447,#REF!,"Готово")=0,"Проверить источник","Готово"))))))))))</f>
        <v/>
      </c>
    </row>
    <row r="448" spans="1:21" ht="25.5" customHeight="1">
      <c r="A448" s="21"/>
      <c r="B448" s="22"/>
      <c r="C448" s="21"/>
      <c r="D448" s="23"/>
      <c r="E448" s="22"/>
      <c r="F448" s="22"/>
      <c r="G448" s="23"/>
      <c r="H448" s="24"/>
      <c r="I448" s="24"/>
      <c r="J448" s="23"/>
      <c r="K448" s="23"/>
      <c r="L448" s="23"/>
      <c r="M448" s="23"/>
      <c r="N448" s="23"/>
      <c r="O448" s="23"/>
      <c r="P448" s="23"/>
      <c r="Q448" s="25"/>
      <c r="R448" s="23"/>
      <c r="S448" s="23"/>
      <c r="T448" s="23"/>
      <c r="U448" s="20" t="str">
        <f ca="1">IF(COUNTA(A448:T448)=0,"",IF(OR(A448="",B448="",C448="",E448="",G448="",H448="",J448="",K448="",L448="",M448=""),"Ошибка: заполните обязательные поля",IF(AND(LEFT(H448,7)&lt;&gt;"http://",LEFT(H448,8)&lt;&gt;"https://"),"Ошибка: некорректная ссылка",IF(COUNTIF($H$6:$H$1005,H448)&gt;1,"Ошибка: дубликат URL",IF(E448&gt;TODAY(),"Ошибка: дата публикации в будущем",IF(S448="Да","Ошибка: подтверждённый дубль",IF(S448="","Проверить: отметьте дубль",IF(S448="Нужно проверить","Проверить возможный дубль",IF(TODAY()-E448&gt;30,"Проверить: старше 30 дней",IF(COUNTIFS(#REF!,G448,#REF!,"Готово")=0,"Проверить источник","Готово"))))))))))</f>
        <v/>
      </c>
    </row>
    <row r="449" spans="1:21" ht="25.5" customHeight="1">
      <c r="A449" s="21"/>
      <c r="B449" s="22"/>
      <c r="C449" s="21"/>
      <c r="D449" s="23"/>
      <c r="E449" s="22"/>
      <c r="F449" s="22"/>
      <c r="G449" s="23"/>
      <c r="H449" s="24"/>
      <c r="I449" s="24"/>
      <c r="J449" s="23"/>
      <c r="K449" s="23"/>
      <c r="L449" s="23"/>
      <c r="M449" s="23"/>
      <c r="N449" s="23"/>
      <c r="O449" s="23"/>
      <c r="P449" s="23"/>
      <c r="Q449" s="25"/>
      <c r="R449" s="23"/>
      <c r="S449" s="23"/>
      <c r="T449" s="23"/>
      <c r="U449" s="20" t="str">
        <f ca="1">IF(COUNTA(A449:T449)=0,"",IF(OR(A449="",B449="",C449="",E449="",G449="",H449="",J449="",K449="",L449="",M449=""),"Ошибка: заполните обязательные поля",IF(AND(LEFT(H449,7)&lt;&gt;"http://",LEFT(H449,8)&lt;&gt;"https://"),"Ошибка: некорректная ссылка",IF(COUNTIF($H$6:$H$1005,H449)&gt;1,"Ошибка: дубликат URL",IF(E449&gt;TODAY(),"Ошибка: дата публикации в будущем",IF(S449="Да","Ошибка: подтверждённый дубль",IF(S449="","Проверить: отметьте дубль",IF(S449="Нужно проверить","Проверить возможный дубль",IF(TODAY()-E449&gt;30,"Проверить: старше 30 дней",IF(COUNTIFS(#REF!,G449,#REF!,"Готово")=0,"Проверить источник","Готово"))))))))))</f>
        <v/>
      </c>
    </row>
    <row r="450" spans="1:21" ht="25.5" customHeight="1">
      <c r="A450" s="21"/>
      <c r="B450" s="22"/>
      <c r="C450" s="21"/>
      <c r="D450" s="23"/>
      <c r="E450" s="22"/>
      <c r="F450" s="22"/>
      <c r="G450" s="23"/>
      <c r="H450" s="24"/>
      <c r="I450" s="24"/>
      <c r="J450" s="23"/>
      <c r="K450" s="23"/>
      <c r="L450" s="23"/>
      <c r="M450" s="23"/>
      <c r="N450" s="23"/>
      <c r="O450" s="23"/>
      <c r="P450" s="23"/>
      <c r="Q450" s="25"/>
      <c r="R450" s="23"/>
      <c r="S450" s="23"/>
      <c r="T450" s="23"/>
      <c r="U450" s="20" t="str">
        <f ca="1">IF(COUNTA(A450:T450)=0,"",IF(OR(A450="",B450="",C450="",E450="",G450="",H450="",J450="",K450="",L450="",M450=""),"Ошибка: заполните обязательные поля",IF(AND(LEFT(H450,7)&lt;&gt;"http://",LEFT(H450,8)&lt;&gt;"https://"),"Ошибка: некорректная ссылка",IF(COUNTIF($H$6:$H$1005,H450)&gt;1,"Ошибка: дубликат URL",IF(E450&gt;TODAY(),"Ошибка: дата публикации в будущем",IF(S450="Да","Ошибка: подтверждённый дубль",IF(S450="","Проверить: отметьте дубль",IF(S450="Нужно проверить","Проверить возможный дубль",IF(TODAY()-E450&gt;30,"Проверить: старше 30 дней",IF(COUNTIFS(#REF!,G450,#REF!,"Готово")=0,"Проверить источник","Готово"))))))))))</f>
        <v/>
      </c>
    </row>
    <row r="451" spans="1:21" ht="25.5" customHeight="1">
      <c r="A451" s="21"/>
      <c r="B451" s="22"/>
      <c r="C451" s="21"/>
      <c r="D451" s="23"/>
      <c r="E451" s="22"/>
      <c r="F451" s="22"/>
      <c r="G451" s="23"/>
      <c r="H451" s="24"/>
      <c r="I451" s="24"/>
      <c r="J451" s="23"/>
      <c r="K451" s="23"/>
      <c r="L451" s="23"/>
      <c r="M451" s="23"/>
      <c r="N451" s="23"/>
      <c r="O451" s="23"/>
      <c r="P451" s="23"/>
      <c r="Q451" s="25"/>
      <c r="R451" s="23"/>
      <c r="S451" s="23"/>
      <c r="T451" s="23"/>
      <c r="U451" s="20" t="str">
        <f ca="1">IF(COUNTA(A451:T451)=0,"",IF(OR(A451="",B451="",C451="",E451="",G451="",H451="",J451="",K451="",L451="",M451=""),"Ошибка: заполните обязательные поля",IF(AND(LEFT(H451,7)&lt;&gt;"http://",LEFT(H451,8)&lt;&gt;"https://"),"Ошибка: некорректная ссылка",IF(COUNTIF($H$6:$H$1005,H451)&gt;1,"Ошибка: дубликат URL",IF(E451&gt;TODAY(),"Ошибка: дата публикации в будущем",IF(S451="Да","Ошибка: подтверждённый дубль",IF(S451="","Проверить: отметьте дубль",IF(S451="Нужно проверить","Проверить возможный дубль",IF(TODAY()-E451&gt;30,"Проверить: старше 30 дней",IF(COUNTIFS(#REF!,G451,#REF!,"Готово")=0,"Проверить источник","Готово"))))))))))</f>
        <v/>
      </c>
    </row>
    <row r="452" spans="1:21" ht="25.5" customHeight="1">
      <c r="A452" s="21"/>
      <c r="B452" s="22"/>
      <c r="C452" s="21"/>
      <c r="D452" s="23"/>
      <c r="E452" s="22"/>
      <c r="F452" s="22"/>
      <c r="G452" s="23"/>
      <c r="H452" s="24"/>
      <c r="I452" s="24"/>
      <c r="J452" s="23"/>
      <c r="K452" s="23"/>
      <c r="L452" s="23"/>
      <c r="M452" s="23"/>
      <c r="N452" s="23"/>
      <c r="O452" s="23"/>
      <c r="P452" s="23"/>
      <c r="Q452" s="25"/>
      <c r="R452" s="23"/>
      <c r="S452" s="23"/>
      <c r="T452" s="23"/>
      <c r="U452" s="20" t="str">
        <f ca="1">IF(COUNTA(A452:T452)=0,"",IF(OR(A452="",B452="",C452="",E452="",G452="",H452="",J452="",K452="",L452="",M452=""),"Ошибка: заполните обязательные поля",IF(AND(LEFT(H452,7)&lt;&gt;"http://",LEFT(H452,8)&lt;&gt;"https://"),"Ошибка: некорректная ссылка",IF(COUNTIF($H$6:$H$1005,H452)&gt;1,"Ошибка: дубликат URL",IF(E452&gt;TODAY(),"Ошибка: дата публикации в будущем",IF(S452="Да","Ошибка: подтверждённый дубль",IF(S452="","Проверить: отметьте дубль",IF(S452="Нужно проверить","Проверить возможный дубль",IF(TODAY()-E452&gt;30,"Проверить: старше 30 дней",IF(COUNTIFS(#REF!,G452,#REF!,"Готово")=0,"Проверить источник","Готово"))))))))))</f>
        <v/>
      </c>
    </row>
    <row r="453" spans="1:21" ht="25.5" customHeight="1">
      <c r="A453" s="21"/>
      <c r="B453" s="22"/>
      <c r="C453" s="21"/>
      <c r="D453" s="23"/>
      <c r="E453" s="22"/>
      <c r="F453" s="22"/>
      <c r="G453" s="23"/>
      <c r="H453" s="24"/>
      <c r="I453" s="24"/>
      <c r="J453" s="23"/>
      <c r="K453" s="23"/>
      <c r="L453" s="23"/>
      <c r="M453" s="23"/>
      <c r="N453" s="23"/>
      <c r="O453" s="23"/>
      <c r="P453" s="23"/>
      <c r="Q453" s="25"/>
      <c r="R453" s="23"/>
      <c r="S453" s="23"/>
      <c r="T453" s="23"/>
      <c r="U453" s="20" t="str">
        <f ca="1">IF(COUNTA(A453:T453)=0,"",IF(OR(A453="",B453="",C453="",E453="",G453="",H453="",J453="",K453="",L453="",M453=""),"Ошибка: заполните обязательные поля",IF(AND(LEFT(H453,7)&lt;&gt;"http://",LEFT(H453,8)&lt;&gt;"https://"),"Ошибка: некорректная ссылка",IF(COUNTIF($H$6:$H$1005,H453)&gt;1,"Ошибка: дубликат URL",IF(E453&gt;TODAY(),"Ошибка: дата публикации в будущем",IF(S453="Да","Ошибка: подтверждённый дубль",IF(S453="","Проверить: отметьте дубль",IF(S453="Нужно проверить","Проверить возможный дубль",IF(TODAY()-E453&gt;30,"Проверить: старше 30 дней",IF(COUNTIFS(#REF!,G453,#REF!,"Готово")=0,"Проверить источник","Готово"))))))))))</f>
        <v/>
      </c>
    </row>
    <row r="454" spans="1:21" ht="25.5" customHeight="1">
      <c r="A454" s="21"/>
      <c r="B454" s="22"/>
      <c r="C454" s="21"/>
      <c r="D454" s="23"/>
      <c r="E454" s="22"/>
      <c r="F454" s="22"/>
      <c r="G454" s="23"/>
      <c r="H454" s="24"/>
      <c r="I454" s="24"/>
      <c r="J454" s="23"/>
      <c r="K454" s="23"/>
      <c r="L454" s="23"/>
      <c r="M454" s="23"/>
      <c r="N454" s="23"/>
      <c r="O454" s="23"/>
      <c r="P454" s="23"/>
      <c r="Q454" s="25"/>
      <c r="R454" s="23"/>
      <c r="S454" s="23"/>
      <c r="T454" s="23"/>
      <c r="U454" s="20" t="str">
        <f ca="1">IF(COUNTA(A454:T454)=0,"",IF(OR(A454="",B454="",C454="",E454="",G454="",H454="",J454="",K454="",L454="",M454=""),"Ошибка: заполните обязательные поля",IF(AND(LEFT(H454,7)&lt;&gt;"http://",LEFT(H454,8)&lt;&gt;"https://"),"Ошибка: некорректная ссылка",IF(COUNTIF($H$6:$H$1005,H454)&gt;1,"Ошибка: дубликат URL",IF(E454&gt;TODAY(),"Ошибка: дата публикации в будущем",IF(S454="Да","Ошибка: подтверждённый дубль",IF(S454="","Проверить: отметьте дубль",IF(S454="Нужно проверить","Проверить возможный дубль",IF(TODAY()-E454&gt;30,"Проверить: старше 30 дней",IF(COUNTIFS(#REF!,G454,#REF!,"Готово")=0,"Проверить источник","Готово"))))))))))</f>
        <v/>
      </c>
    </row>
    <row r="455" spans="1:21" ht="25.5" customHeight="1">
      <c r="A455" s="21"/>
      <c r="B455" s="22"/>
      <c r="C455" s="21"/>
      <c r="D455" s="23"/>
      <c r="E455" s="22"/>
      <c r="F455" s="22"/>
      <c r="G455" s="23"/>
      <c r="H455" s="24"/>
      <c r="I455" s="24"/>
      <c r="J455" s="23"/>
      <c r="K455" s="23"/>
      <c r="L455" s="23"/>
      <c r="M455" s="23"/>
      <c r="N455" s="23"/>
      <c r="O455" s="23"/>
      <c r="P455" s="23"/>
      <c r="Q455" s="25"/>
      <c r="R455" s="23"/>
      <c r="S455" s="23"/>
      <c r="T455" s="23"/>
      <c r="U455" s="20" t="str">
        <f ca="1">IF(COUNTA(A455:T455)=0,"",IF(OR(A455="",B455="",C455="",E455="",G455="",H455="",J455="",K455="",L455="",M455=""),"Ошибка: заполните обязательные поля",IF(AND(LEFT(H455,7)&lt;&gt;"http://",LEFT(H455,8)&lt;&gt;"https://"),"Ошибка: некорректная ссылка",IF(COUNTIF($H$6:$H$1005,H455)&gt;1,"Ошибка: дубликат URL",IF(E455&gt;TODAY(),"Ошибка: дата публикации в будущем",IF(S455="Да","Ошибка: подтверждённый дубль",IF(S455="","Проверить: отметьте дубль",IF(S455="Нужно проверить","Проверить возможный дубль",IF(TODAY()-E455&gt;30,"Проверить: старше 30 дней",IF(COUNTIFS(#REF!,G455,#REF!,"Готово")=0,"Проверить источник","Готово"))))))))))</f>
        <v/>
      </c>
    </row>
    <row r="456" spans="1:21" ht="25.5" customHeight="1">
      <c r="A456" s="21"/>
      <c r="B456" s="22"/>
      <c r="C456" s="21"/>
      <c r="D456" s="23"/>
      <c r="E456" s="22"/>
      <c r="F456" s="22"/>
      <c r="G456" s="23"/>
      <c r="H456" s="24"/>
      <c r="I456" s="24"/>
      <c r="J456" s="23"/>
      <c r="K456" s="23"/>
      <c r="L456" s="23"/>
      <c r="M456" s="23"/>
      <c r="N456" s="23"/>
      <c r="O456" s="23"/>
      <c r="P456" s="23"/>
      <c r="Q456" s="25"/>
      <c r="R456" s="23"/>
      <c r="S456" s="23"/>
      <c r="T456" s="23"/>
      <c r="U456" s="20" t="str">
        <f ca="1">IF(COUNTA(A456:T456)=0,"",IF(OR(A456="",B456="",C456="",E456="",G456="",H456="",J456="",K456="",L456="",M456=""),"Ошибка: заполните обязательные поля",IF(AND(LEFT(H456,7)&lt;&gt;"http://",LEFT(H456,8)&lt;&gt;"https://"),"Ошибка: некорректная ссылка",IF(COUNTIF($H$6:$H$1005,H456)&gt;1,"Ошибка: дубликат URL",IF(E456&gt;TODAY(),"Ошибка: дата публикации в будущем",IF(S456="Да","Ошибка: подтверждённый дубль",IF(S456="","Проверить: отметьте дубль",IF(S456="Нужно проверить","Проверить возможный дубль",IF(TODAY()-E456&gt;30,"Проверить: старше 30 дней",IF(COUNTIFS(#REF!,G456,#REF!,"Готово")=0,"Проверить источник","Готово"))))))))))</f>
        <v/>
      </c>
    </row>
    <row r="457" spans="1:21" ht="25.5" customHeight="1">
      <c r="A457" s="21"/>
      <c r="B457" s="22"/>
      <c r="C457" s="21"/>
      <c r="D457" s="23"/>
      <c r="E457" s="22"/>
      <c r="F457" s="22"/>
      <c r="G457" s="23"/>
      <c r="H457" s="24"/>
      <c r="I457" s="24"/>
      <c r="J457" s="23"/>
      <c r="K457" s="23"/>
      <c r="L457" s="23"/>
      <c r="M457" s="23"/>
      <c r="N457" s="23"/>
      <c r="O457" s="23"/>
      <c r="P457" s="23"/>
      <c r="Q457" s="25"/>
      <c r="R457" s="23"/>
      <c r="S457" s="23"/>
      <c r="T457" s="23"/>
      <c r="U457" s="20" t="str">
        <f ca="1">IF(COUNTA(A457:T457)=0,"",IF(OR(A457="",B457="",C457="",E457="",G457="",H457="",J457="",K457="",L457="",M457=""),"Ошибка: заполните обязательные поля",IF(AND(LEFT(H457,7)&lt;&gt;"http://",LEFT(H457,8)&lt;&gt;"https://"),"Ошибка: некорректная ссылка",IF(COUNTIF($H$6:$H$1005,H457)&gt;1,"Ошибка: дубликат URL",IF(E457&gt;TODAY(),"Ошибка: дата публикации в будущем",IF(S457="Да","Ошибка: подтверждённый дубль",IF(S457="","Проверить: отметьте дубль",IF(S457="Нужно проверить","Проверить возможный дубль",IF(TODAY()-E457&gt;30,"Проверить: старше 30 дней",IF(COUNTIFS(#REF!,G457,#REF!,"Готово")=0,"Проверить источник","Готово"))))))))))</f>
        <v/>
      </c>
    </row>
    <row r="458" spans="1:21" ht="25.5" customHeight="1">
      <c r="A458" s="21"/>
      <c r="B458" s="22"/>
      <c r="C458" s="21"/>
      <c r="D458" s="23"/>
      <c r="E458" s="22"/>
      <c r="F458" s="22"/>
      <c r="G458" s="23"/>
      <c r="H458" s="24"/>
      <c r="I458" s="24"/>
      <c r="J458" s="23"/>
      <c r="K458" s="23"/>
      <c r="L458" s="23"/>
      <c r="M458" s="23"/>
      <c r="N458" s="23"/>
      <c r="O458" s="23"/>
      <c r="P458" s="23"/>
      <c r="Q458" s="25"/>
      <c r="R458" s="23"/>
      <c r="S458" s="23"/>
      <c r="T458" s="23"/>
      <c r="U458" s="20" t="str">
        <f ca="1">IF(COUNTA(A458:T458)=0,"",IF(OR(A458="",B458="",C458="",E458="",G458="",H458="",J458="",K458="",L458="",M458=""),"Ошибка: заполните обязательные поля",IF(AND(LEFT(H458,7)&lt;&gt;"http://",LEFT(H458,8)&lt;&gt;"https://"),"Ошибка: некорректная ссылка",IF(COUNTIF($H$6:$H$1005,H458)&gt;1,"Ошибка: дубликат URL",IF(E458&gt;TODAY(),"Ошибка: дата публикации в будущем",IF(S458="Да","Ошибка: подтверждённый дубль",IF(S458="","Проверить: отметьте дубль",IF(S458="Нужно проверить","Проверить возможный дубль",IF(TODAY()-E458&gt;30,"Проверить: старше 30 дней",IF(COUNTIFS(#REF!,G458,#REF!,"Готово")=0,"Проверить источник","Готово"))))))))))</f>
        <v/>
      </c>
    </row>
    <row r="459" spans="1:21" ht="25.5" customHeight="1">
      <c r="A459" s="21"/>
      <c r="B459" s="22"/>
      <c r="C459" s="21"/>
      <c r="D459" s="23"/>
      <c r="E459" s="22"/>
      <c r="F459" s="22"/>
      <c r="G459" s="23"/>
      <c r="H459" s="24"/>
      <c r="I459" s="24"/>
      <c r="J459" s="23"/>
      <c r="K459" s="23"/>
      <c r="L459" s="23"/>
      <c r="M459" s="23"/>
      <c r="N459" s="23"/>
      <c r="O459" s="23"/>
      <c r="P459" s="23"/>
      <c r="Q459" s="25"/>
      <c r="R459" s="23"/>
      <c r="S459" s="23"/>
      <c r="T459" s="23"/>
      <c r="U459" s="20" t="str">
        <f ca="1">IF(COUNTA(A459:T459)=0,"",IF(OR(A459="",B459="",C459="",E459="",G459="",H459="",J459="",K459="",L459="",M459=""),"Ошибка: заполните обязательные поля",IF(AND(LEFT(H459,7)&lt;&gt;"http://",LEFT(H459,8)&lt;&gt;"https://"),"Ошибка: некорректная ссылка",IF(COUNTIF($H$6:$H$1005,H459)&gt;1,"Ошибка: дубликат URL",IF(E459&gt;TODAY(),"Ошибка: дата публикации в будущем",IF(S459="Да","Ошибка: подтверждённый дубль",IF(S459="","Проверить: отметьте дубль",IF(S459="Нужно проверить","Проверить возможный дубль",IF(TODAY()-E459&gt;30,"Проверить: старше 30 дней",IF(COUNTIFS(#REF!,G459,#REF!,"Готово")=0,"Проверить источник","Готово"))))))))))</f>
        <v/>
      </c>
    </row>
    <row r="460" spans="1:21" ht="25.5" customHeight="1">
      <c r="A460" s="21"/>
      <c r="B460" s="22"/>
      <c r="C460" s="21"/>
      <c r="D460" s="23"/>
      <c r="E460" s="22"/>
      <c r="F460" s="22"/>
      <c r="G460" s="23"/>
      <c r="H460" s="24"/>
      <c r="I460" s="24"/>
      <c r="J460" s="23"/>
      <c r="K460" s="23"/>
      <c r="L460" s="23"/>
      <c r="M460" s="23"/>
      <c r="N460" s="23"/>
      <c r="O460" s="23"/>
      <c r="P460" s="23"/>
      <c r="Q460" s="25"/>
      <c r="R460" s="23"/>
      <c r="S460" s="23"/>
      <c r="T460" s="23"/>
      <c r="U460" s="20" t="str">
        <f ca="1">IF(COUNTA(A460:T460)=0,"",IF(OR(A460="",B460="",C460="",E460="",G460="",H460="",J460="",K460="",L460="",M460=""),"Ошибка: заполните обязательные поля",IF(AND(LEFT(H460,7)&lt;&gt;"http://",LEFT(H460,8)&lt;&gt;"https://"),"Ошибка: некорректная ссылка",IF(COUNTIF($H$6:$H$1005,H460)&gt;1,"Ошибка: дубликат URL",IF(E460&gt;TODAY(),"Ошибка: дата публикации в будущем",IF(S460="Да","Ошибка: подтверждённый дубль",IF(S460="","Проверить: отметьте дубль",IF(S460="Нужно проверить","Проверить возможный дубль",IF(TODAY()-E460&gt;30,"Проверить: старше 30 дней",IF(COUNTIFS(#REF!,G460,#REF!,"Готово")=0,"Проверить источник","Готово"))))))))))</f>
        <v/>
      </c>
    </row>
    <row r="461" spans="1:21" ht="25.5" customHeight="1">
      <c r="A461" s="21"/>
      <c r="B461" s="22"/>
      <c r="C461" s="21"/>
      <c r="D461" s="23"/>
      <c r="E461" s="22"/>
      <c r="F461" s="22"/>
      <c r="G461" s="23"/>
      <c r="H461" s="24"/>
      <c r="I461" s="24"/>
      <c r="J461" s="23"/>
      <c r="K461" s="23"/>
      <c r="L461" s="23"/>
      <c r="M461" s="23"/>
      <c r="N461" s="23"/>
      <c r="O461" s="23"/>
      <c r="P461" s="23"/>
      <c r="Q461" s="25"/>
      <c r="R461" s="23"/>
      <c r="S461" s="23"/>
      <c r="T461" s="23"/>
      <c r="U461" s="20" t="str">
        <f ca="1">IF(COUNTA(A461:T461)=0,"",IF(OR(A461="",B461="",C461="",E461="",G461="",H461="",J461="",K461="",L461="",M461=""),"Ошибка: заполните обязательные поля",IF(AND(LEFT(H461,7)&lt;&gt;"http://",LEFT(H461,8)&lt;&gt;"https://"),"Ошибка: некорректная ссылка",IF(COUNTIF($H$6:$H$1005,H461)&gt;1,"Ошибка: дубликат URL",IF(E461&gt;TODAY(),"Ошибка: дата публикации в будущем",IF(S461="Да","Ошибка: подтверждённый дубль",IF(S461="","Проверить: отметьте дубль",IF(S461="Нужно проверить","Проверить возможный дубль",IF(TODAY()-E461&gt;30,"Проверить: старше 30 дней",IF(COUNTIFS(#REF!,G461,#REF!,"Готово")=0,"Проверить источник","Готово"))))))))))</f>
        <v/>
      </c>
    </row>
    <row r="462" spans="1:21" ht="25.5" customHeight="1">
      <c r="A462" s="21"/>
      <c r="B462" s="22"/>
      <c r="C462" s="21"/>
      <c r="D462" s="23"/>
      <c r="E462" s="22"/>
      <c r="F462" s="22"/>
      <c r="G462" s="23"/>
      <c r="H462" s="24"/>
      <c r="I462" s="24"/>
      <c r="J462" s="23"/>
      <c r="K462" s="23"/>
      <c r="L462" s="23"/>
      <c r="M462" s="23"/>
      <c r="N462" s="23"/>
      <c r="O462" s="23"/>
      <c r="P462" s="23"/>
      <c r="Q462" s="25"/>
      <c r="R462" s="23"/>
      <c r="S462" s="23"/>
      <c r="T462" s="23"/>
      <c r="U462" s="20" t="str">
        <f ca="1">IF(COUNTA(A462:T462)=0,"",IF(OR(A462="",B462="",C462="",E462="",G462="",H462="",J462="",K462="",L462="",M462=""),"Ошибка: заполните обязательные поля",IF(AND(LEFT(H462,7)&lt;&gt;"http://",LEFT(H462,8)&lt;&gt;"https://"),"Ошибка: некорректная ссылка",IF(COUNTIF($H$6:$H$1005,H462)&gt;1,"Ошибка: дубликат URL",IF(E462&gt;TODAY(),"Ошибка: дата публикации в будущем",IF(S462="Да","Ошибка: подтверждённый дубль",IF(S462="","Проверить: отметьте дубль",IF(S462="Нужно проверить","Проверить возможный дубль",IF(TODAY()-E462&gt;30,"Проверить: старше 30 дней",IF(COUNTIFS(#REF!,G462,#REF!,"Готово")=0,"Проверить источник","Готово"))))))))))</f>
        <v/>
      </c>
    </row>
    <row r="463" spans="1:21" ht="25.5" customHeight="1">
      <c r="A463" s="21"/>
      <c r="B463" s="22"/>
      <c r="C463" s="21"/>
      <c r="D463" s="23"/>
      <c r="E463" s="22"/>
      <c r="F463" s="22"/>
      <c r="G463" s="23"/>
      <c r="H463" s="24"/>
      <c r="I463" s="24"/>
      <c r="J463" s="23"/>
      <c r="K463" s="23"/>
      <c r="L463" s="23"/>
      <c r="M463" s="23"/>
      <c r="N463" s="23"/>
      <c r="O463" s="23"/>
      <c r="P463" s="23"/>
      <c r="Q463" s="25"/>
      <c r="R463" s="23"/>
      <c r="S463" s="23"/>
      <c r="T463" s="23"/>
      <c r="U463" s="20" t="str">
        <f ca="1">IF(COUNTA(A463:T463)=0,"",IF(OR(A463="",B463="",C463="",E463="",G463="",H463="",J463="",K463="",L463="",M463=""),"Ошибка: заполните обязательные поля",IF(AND(LEFT(H463,7)&lt;&gt;"http://",LEFT(H463,8)&lt;&gt;"https://"),"Ошибка: некорректная ссылка",IF(COUNTIF($H$6:$H$1005,H463)&gt;1,"Ошибка: дубликат URL",IF(E463&gt;TODAY(),"Ошибка: дата публикации в будущем",IF(S463="Да","Ошибка: подтверждённый дубль",IF(S463="","Проверить: отметьте дубль",IF(S463="Нужно проверить","Проверить возможный дубль",IF(TODAY()-E463&gt;30,"Проверить: старше 30 дней",IF(COUNTIFS(#REF!,G463,#REF!,"Готово")=0,"Проверить источник","Готово"))))))))))</f>
        <v/>
      </c>
    </row>
    <row r="464" spans="1:21" ht="25.5" customHeight="1">
      <c r="A464" s="21"/>
      <c r="B464" s="22"/>
      <c r="C464" s="21"/>
      <c r="D464" s="23"/>
      <c r="E464" s="22"/>
      <c r="F464" s="22"/>
      <c r="G464" s="23"/>
      <c r="H464" s="24"/>
      <c r="I464" s="24"/>
      <c r="J464" s="23"/>
      <c r="K464" s="23"/>
      <c r="L464" s="23"/>
      <c r="M464" s="23"/>
      <c r="N464" s="23"/>
      <c r="O464" s="23"/>
      <c r="P464" s="23"/>
      <c r="Q464" s="25"/>
      <c r="R464" s="23"/>
      <c r="S464" s="23"/>
      <c r="T464" s="23"/>
      <c r="U464" s="20" t="str">
        <f ca="1">IF(COUNTA(A464:T464)=0,"",IF(OR(A464="",B464="",C464="",E464="",G464="",H464="",J464="",K464="",L464="",M464=""),"Ошибка: заполните обязательные поля",IF(AND(LEFT(H464,7)&lt;&gt;"http://",LEFT(H464,8)&lt;&gt;"https://"),"Ошибка: некорректная ссылка",IF(COUNTIF($H$6:$H$1005,H464)&gt;1,"Ошибка: дубликат URL",IF(E464&gt;TODAY(),"Ошибка: дата публикации в будущем",IF(S464="Да","Ошибка: подтверждённый дубль",IF(S464="","Проверить: отметьте дубль",IF(S464="Нужно проверить","Проверить возможный дубль",IF(TODAY()-E464&gt;30,"Проверить: старше 30 дней",IF(COUNTIFS(#REF!,G464,#REF!,"Готово")=0,"Проверить источник","Готово"))))))))))</f>
        <v/>
      </c>
    </row>
    <row r="465" spans="1:21" ht="25.5" customHeight="1">
      <c r="A465" s="21"/>
      <c r="B465" s="22"/>
      <c r="C465" s="21"/>
      <c r="D465" s="23"/>
      <c r="E465" s="22"/>
      <c r="F465" s="22"/>
      <c r="G465" s="23"/>
      <c r="H465" s="24"/>
      <c r="I465" s="24"/>
      <c r="J465" s="23"/>
      <c r="K465" s="23"/>
      <c r="L465" s="23"/>
      <c r="M465" s="23"/>
      <c r="N465" s="23"/>
      <c r="O465" s="23"/>
      <c r="P465" s="23"/>
      <c r="Q465" s="25"/>
      <c r="R465" s="23"/>
      <c r="S465" s="23"/>
      <c r="T465" s="23"/>
      <c r="U465" s="20" t="str">
        <f ca="1">IF(COUNTA(A465:T465)=0,"",IF(OR(A465="",B465="",C465="",E465="",G465="",H465="",J465="",K465="",L465="",M465=""),"Ошибка: заполните обязательные поля",IF(AND(LEFT(H465,7)&lt;&gt;"http://",LEFT(H465,8)&lt;&gt;"https://"),"Ошибка: некорректная ссылка",IF(COUNTIF($H$6:$H$1005,H465)&gt;1,"Ошибка: дубликат URL",IF(E465&gt;TODAY(),"Ошибка: дата публикации в будущем",IF(S465="Да","Ошибка: подтверждённый дубль",IF(S465="","Проверить: отметьте дубль",IF(S465="Нужно проверить","Проверить возможный дубль",IF(TODAY()-E465&gt;30,"Проверить: старше 30 дней",IF(COUNTIFS(#REF!,G465,#REF!,"Готово")=0,"Проверить источник","Готово"))))))))))</f>
        <v/>
      </c>
    </row>
    <row r="466" spans="1:21" ht="25.5" customHeight="1">
      <c r="A466" s="21"/>
      <c r="B466" s="22"/>
      <c r="C466" s="21"/>
      <c r="D466" s="23"/>
      <c r="E466" s="22"/>
      <c r="F466" s="22"/>
      <c r="G466" s="23"/>
      <c r="H466" s="24"/>
      <c r="I466" s="24"/>
      <c r="J466" s="23"/>
      <c r="K466" s="23"/>
      <c r="L466" s="23"/>
      <c r="M466" s="23"/>
      <c r="N466" s="23"/>
      <c r="O466" s="23"/>
      <c r="P466" s="23"/>
      <c r="Q466" s="25"/>
      <c r="R466" s="23"/>
      <c r="S466" s="23"/>
      <c r="T466" s="23"/>
      <c r="U466" s="20" t="str">
        <f ca="1">IF(COUNTA(A466:T466)=0,"",IF(OR(A466="",B466="",C466="",E466="",G466="",H466="",J466="",K466="",L466="",M466=""),"Ошибка: заполните обязательные поля",IF(AND(LEFT(H466,7)&lt;&gt;"http://",LEFT(H466,8)&lt;&gt;"https://"),"Ошибка: некорректная ссылка",IF(COUNTIF($H$6:$H$1005,H466)&gt;1,"Ошибка: дубликат URL",IF(E466&gt;TODAY(),"Ошибка: дата публикации в будущем",IF(S466="Да","Ошибка: подтверждённый дубль",IF(S466="","Проверить: отметьте дубль",IF(S466="Нужно проверить","Проверить возможный дубль",IF(TODAY()-E466&gt;30,"Проверить: старше 30 дней",IF(COUNTIFS(#REF!,G466,#REF!,"Готово")=0,"Проверить источник","Готово"))))))))))</f>
        <v/>
      </c>
    </row>
    <row r="467" spans="1:21" ht="25.5" customHeight="1">
      <c r="A467" s="21"/>
      <c r="B467" s="22"/>
      <c r="C467" s="21"/>
      <c r="D467" s="23"/>
      <c r="E467" s="22"/>
      <c r="F467" s="22"/>
      <c r="G467" s="23"/>
      <c r="H467" s="24"/>
      <c r="I467" s="24"/>
      <c r="J467" s="23"/>
      <c r="K467" s="23"/>
      <c r="L467" s="23"/>
      <c r="M467" s="23"/>
      <c r="N467" s="23"/>
      <c r="O467" s="23"/>
      <c r="P467" s="23"/>
      <c r="Q467" s="25"/>
      <c r="R467" s="23"/>
      <c r="S467" s="23"/>
      <c r="T467" s="23"/>
      <c r="U467" s="20" t="str">
        <f ca="1">IF(COUNTA(A467:T467)=0,"",IF(OR(A467="",B467="",C467="",E467="",G467="",H467="",J467="",K467="",L467="",M467=""),"Ошибка: заполните обязательные поля",IF(AND(LEFT(H467,7)&lt;&gt;"http://",LEFT(H467,8)&lt;&gt;"https://"),"Ошибка: некорректная ссылка",IF(COUNTIF($H$6:$H$1005,H467)&gt;1,"Ошибка: дубликат URL",IF(E467&gt;TODAY(),"Ошибка: дата публикации в будущем",IF(S467="Да","Ошибка: подтверждённый дубль",IF(S467="","Проверить: отметьте дубль",IF(S467="Нужно проверить","Проверить возможный дубль",IF(TODAY()-E467&gt;30,"Проверить: старше 30 дней",IF(COUNTIFS(#REF!,G467,#REF!,"Готово")=0,"Проверить источник","Готово"))))))))))</f>
        <v/>
      </c>
    </row>
    <row r="468" spans="1:21" ht="25.5" customHeight="1">
      <c r="A468" s="21"/>
      <c r="B468" s="22"/>
      <c r="C468" s="21"/>
      <c r="D468" s="23"/>
      <c r="E468" s="22"/>
      <c r="F468" s="22"/>
      <c r="G468" s="23"/>
      <c r="H468" s="24"/>
      <c r="I468" s="24"/>
      <c r="J468" s="23"/>
      <c r="K468" s="23"/>
      <c r="L468" s="23"/>
      <c r="M468" s="23"/>
      <c r="N468" s="23"/>
      <c r="O468" s="23"/>
      <c r="P468" s="23"/>
      <c r="Q468" s="25"/>
      <c r="R468" s="23"/>
      <c r="S468" s="23"/>
      <c r="T468" s="23"/>
      <c r="U468" s="20" t="str">
        <f ca="1">IF(COUNTA(A468:T468)=0,"",IF(OR(A468="",B468="",C468="",E468="",G468="",H468="",J468="",K468="",L468="",M468=""),"Ошибка: заполните обязательные поля",IF(AND(LEFT(H468,7)&lt;&gt;"http://",LEFT(H468,8)&lt;&gt;"https://"),"Ошибка: некорректная ссылка",IF(COUNTIF($H$6:$H$1005,H468)&gt;1,"Ошибка: дубликат URL",IF(E468&gt;TODAY(),"Ошибка: дата публикации в будущем",IF(S468="Да","Ошибка: подтверждённый дубль",IF(S468="","Проверить: отметьте дубль",IF(S468="Нужно проверить","Проверить возможный дубль",IF(TODAY()-E468&gt;30,"Проверить: старше 30 дней",IF(COUNTIFS(#REF!,G468,#REF!,"Готово")=0,"Проверить источник","Готово"))))))))))</f>
        <v/>
      </c>
    </row>
    <row r="469" spans="1:21" ht="25.5" customHeight="1">
      <c r="A469" s="21"/>
      <c r="B469" s="22"/>
      <c r="C469" s="21"/>
      <c r="D469" s="23"/>
      <c r="E469" s="22"/>
      <c r="F469" s="22"/>
      <c r="G469" s="23"/>
      <c r="H469" s="24"/>
      <c r="I469" s="24"/>
      <c r="J469" s="23"/>
      <c r="K469" s="23"/>
      <c r="L469" s="23"/>
      <c r="M469" s="23"/>
      <c r="N469" s="23"/>
      <c r="O469" s="23"/>
      <c r="P469" s="23"/>
      <c r="Q469" s="25"/>
      <c r="R469" s="23"/>
      <c r="S469" s="23"/>
      <c r="T469" s="23"/>
      <c r="U469" s="20" t="str">
        <f ca="1">IF(COUNTA(A469:T469)=0,"",IF(OR(A469="",B469="",C469="",E469="",G469="",H469="",J469="",K469="",L469="",M469=""),"Ошибка: заполните обязательные поля",IF(AND(LEFT(H469,7)&lt;&gt;"http://",LEFT(H469,8)&lt;&gt;"https://"),"Ошибка: некорректная ссылка",IF(COUNTIF($H$6:$H$1005,H469)&gt;1,"Ошибка: дубликат URL",IF(E469&gt;TODAY(),"Ошибка: дата публикации в будущем",IF(S469="Да","Ошибка: подтверждённый дубль",IF(S469="","Проверить: отметьте дубль",IF(S469="Нужно проверить","Проверить возможный дубль",IF(TODAY()-E469&gt;30,"Проверить: старше 30 дней",IF(COUNTIFS(#REF!,G469,#REF!,"Готово")=0,"Проверить источник","Готово"))))))))))</f>
        <v/>
      </c>
    </row>
    <row r="470" spans="1:21" ht="25.5" customHeight="1">
      <c r="A470" s="21"/>
      <c r="B470" s="22"/>
      <c r="C470" s="21"/>
      <c r="D470" s="23"/>
      <c r="E470" s="22"/>
      <c r="F470" s="22"/>
      <c r="G470" s="23"/>
      <c r="H470" s="24"/>
      <c r="I470" s="24"/>
      <c r="J470" s="23"/>
      <c r="K470" s="23"/>
      <c r="L470" s="23"/>
      <c r="M470" s="23"/>
      <c r="N470" s="23"/>
      <c r="O470" s="23"/>
      <c r="P470" s="23"/>
      <c r="Q470" s="25"/>
      <c r="R470" s="23"/>
      <c r="S470" s="23"/>
      <c r="T470" s="23"/>
      <c r="U470" s="20" t="str">
        <f ca="1">IF(COUNTA(A470:T470)=0,"",IF(OR(A470="",B470="",C470="",E470="",G470="",H470="",J470="",K470="",L470="",M470=""),"Ошибка: заполните обязательные поля",IF(AND(LEFT(H470,7)&lt;&gt;"http://",LEFT(H470,8)&lt;&gt;"https://"),"Ошибка: некорректная ссылка",IF(COUNTIF($H$6:$H$1005,H470)&gt;1,"Ошибка: дубликат URL",IF(E470&gt;TODAY(),"Ошибка: дата публикации в будущем",IF(S470="Да","Ошибка: подтверждённый дубль",IF(S470="","Проверить: отметьте дубль",IF(S470="Нужно проверить","Проверить возможный дубль",IF(TODAY()-E470&gt;30,"Проверить: старше 30 дней",IF(COUNTIFS(#REF!,G470,#REF!,"Готово")=0,"Проверить источник","Готово"))))))))))</f>
        <v/>
      </c>
    </row>
    <row r="471" spans="1:21" ht="25.5" customHeight="1">
      <c r="A471" s="21"/>
      <c r="B471" s="22"/>
      <c r="C471" s="21"/>
      <c r="D471" s="23"/>
      <c r="E471" s="22"/>
      <c r="F471" s="22"/>
      <c r="G471" s="23"/>
      <c r="H471" s="24"/>
      <c r="I471" s="24"/>
      <c r="J471" s="23"/>
      <c r="K471" s="23"/>
      <c r="L471" s="23"/>
      <c r="M471" s="23"/>
      <c r="N471" s="23"/>
      <c r="O471" s="23"/>
      <c r="P471" s="23"/>
      <c r="Q471" s="25"/>
      <c r="R471" s="23"/>
      <c r="S471" s="23"/>
      <c r="T471" s="23"/>
      <c r="U471" s="20" t="str">
        <f ca="1">IF(COUNTA(A471:T471)=0,"",IF(OR(A471="",B471="",C471="",E471="",G471="",H471="",J471="",K471="",L471="",M471=""),"Ошибка: заполните обязательные поля",IF(AND(LEFT(H471,7)&lt;&gt;"http://",LEFT(H471,8)&lt;&gt;"https://"),"Ошибка: некорректная ссылка",IF(COUNTIF($H$6:$H$1005,H471)&gt;1,"Ошибка: дубликат URL",IF(E471&gt;TODAY(),"Ошибка: дата публикации в будущем",IF(S471="Да","Ошибка: подтверждённый дубль",IF(S471="","Проверить: отметьте дубль",IF(S471="Нужно проверить","Проверить возможный дубль",IF(TODAY()-E471&gt;30,"Проверить: старше 30 дней",IF(COUNTIFS(#REF!,G471,#REF!,"Готово")=0,"Проверить источник","Готово"))))))))))</f>
        <v/>
      </c>
    </row>
    <row r="472" spans="1:21" ht="25.5" customHeight="1">
      <c r="A472" s="21"/>
      <c r="B472" s="22"/>
      <c r="C472" s="21"/>
      <c r="D472" s="23"/>
      <c r="E472" s="22"/>
      <c r="F472" s="22"/>
      <c r="G472" s="23"/>
      <c r="H472" s="24"/>
      <c r="I472" s="24"/>
      <c r="J472" s="23"/>
      <c r="K472" s="23"/>
      <c r="L472" s="23"/>
      <c r="M472" s="23"/>
      <c r="N472" s="23"/>
      <c r="O472" s="23"/>
      <c r="P472" s="23"/>
      <c r="Q472" s="25"/>
      <c r="R472" s="23"/>
      <c r="S472" s="23"/>
      <c r="T472" s="23"/>
      <c r="U472" s="20" t="str">
        <f ca="1">IF(COUNTA(A472:T472)=0,"",IF(OR(A472="",B472="",C472="",E472="",G472="",H472="",J472="",K472="",L472="",M472=""),"Ошибка: заполните обязательные поля",IF(AND(LEFT(H472,7)&lt;&gt;"http://",LEFT(H472,8)&lt;&gt;"https://"),"Ошибка: некорректная ссылка",IF(COUNTIF($H$6:$H$1005,H472)&gt;1,"Ошибка: дубликат URL",IF(E472&gt;TODAY(),"Ошибка: дата публикации в будущем",IF(S472="Да","Ошибка: подтверждённый дубль",IF(S472="","Проверить: отметьте дубль",IF(S472="Нужно проверить","Проверить возможный дубль",IF(TODAY()-E472&gt;30,"Проверить: старше 30 дней",IF(COUNTIFS(#REF!,G472,#REF!,"Готово")=0,"Проверить источник","Готово"))))))))))</f>
        <v/>
      </c>
    </row>
    <row r="473" spans="1:21" ht="25.5" customHeight="1">
      <c r="A473" s="21"/>
      <c r="B473" s="22"/>
      <c r="C473" s="21"/>
      <c r="D473" s="23"/>
      <c r="E473" s="22"/>
      <c r="F473" s="22"/>
      <c r="G473" s="23"/>
      <c r="H473" s="24"/>
      <c r="I473" s="24"/>
      <c r="J473" s="23"/>
      <c r="K473" s="23"/>
      <c r="L473" s="23"/>
      <c r="M473" s="23"/>
      <c r="N473" s="23"/>
      <c r="O473" s="23"/>
      <c r="P473" s="23"/>
      <c r="Q473" s="25"/>
      <c r="R473" s="23"/>
      <c r="S473" s="23"/>
      <c r="T473" s="23"/>
      <c r="U473" s="20" t="str">
        <f ca="1">IF(COUNTA(A473:T473)=0,"",IF(OR(A473="",B473="",C473="",E473="",G473="",H473="",J473="",K473="",L473="",M473=""),"Ошибка: заполните обязательные поля",IF(AND(LEFT(H473,7)&lt;&gt;"http://",LEFT(H473,8)&lt;&gt;"https://"),"Ошибка: некорректная ссылка",IF(COUNTIF($H$6:$H$1005,H473)&gt;1,"Ошибка: дубликат URL",IF(E473&gt;TODAY(),"Ошибка: дата публикации в будущем",IF(S473="Да","Ошибка: подтверждённый дубль",IF(S473="","Проверить: отметьте дубль",IF(S473="Нужно проверить","Проверить возможный дубль",IF(TODAY()-E473&gt;30,"Проверить: старше 30 дней",IF(COUNTIFS(#REF!,G473,#REF!,"Готово")=0,"Проверить источник","Готово"))))))))))</f>
        <v/>
      </c>
    </row>
    <row r="474" spans="1:21" ht="25.5" customHeight="1">
      <c r="A474" s="21"/>
      <c r="B474" s="22"/>
      <c r="C474" s="21"/>
      <c r="D474" s="23"/>
      <c r="E474" s="22"/>
      <c r="F474" s="22"/>
      <c r="G474" s="23"/>
      <c r="H474" s="24"/>
      <c r="I474" s="24"/>
      <c r="J474" s="23"/>
      <c r="K474" s="23"/>
      <c r="L474" s="23"/>
      <c r="M474" s="23"/>
      <c r="N474" s="23"/>
      <c r="O474" s="23"/>
      <c r="P474" s="23"/>
      <c r="Q474" s="25"/>
      <c r="R474" s="23"/>
      <c r="S474" s="23"/>
      <c r="T474" s="23"/>
      <c r="U474" s="20" t="str">
        <f ca="1">IF(COUNTA(A474:T474)=0,"",IF(OR(A474="",B474="",C474="",E474="",G474="",H474="",J474="",K474="",L474="",M474=""),"Ошибка: заполните обязательные поля",IF(AND(LEFT(H474,7)&lt;&gt;"http://",LEFT(H474,8)&lt;&gt;"https://"),"Ошибка: некорректная ссылка",IF(COUNTIF($H$6:$H$1005,H474)&gt;1,"Ошибка: дубликат URL",IF(E474&gt;TODAY(),"Ошибка: дата публикации в будущем",IF(S474="Да","Ошибка: подтверждённый дубль",IF(S474="","Проверить: отметьте дубль",IF(S474="Нужно проверить","Проверить возможный дубль",IF(TODAY()-E474&gt;30,"Проверить: старше 30 дней",IF(COUNTIFS(#REF!,G474,#REF!,"Готово")=0,"Проверить источник","Готово"))))))))))</f>
        <v/>
      </c>
    </row>
    <row r="475" spans="1:21" ht="25.5" customHeight="1">
      <c r="A475" s="21"/>
      <c r="B475" s="22"/>
      <c r="C475" s="21"/>
      <c r="D475" s="23"/>
      <c r="E475" s="22"/>
      <c r="F475" s="22"/>
      <c r="G475" s="23"/>
      <c r="H475" s="24"/>
      <c r="I475" s="24"/>
      <c r="J475" s="23"/>
      <c r="K475" s="23"/>
      <c r="L475" s="23"/>
      <c r="M475" s="23"/>
      <c r="N475" s="23"/>
      <c r="O475" s="23"/>
      <c r="P475" s="23"/>
      <c r="Q475" s="25"/>
      <c r="R475" s="23"/>
      <c r="S475" s="23"/>
      <c r="T475" s="23"/>
      <c r="U475" s="20" t="str">
        <f ca="1">IF(COUNTA(A475:T475)=0,"",IF(OR(A475="",B475="",C475="",E475="",G475="",H475="",J475="",K475="",L475="",M475=""),"Ошибка: заполните обязательные поля",IF(AND(LEFT(H475,7)&lt;&gt;"http://",LEFT(H475,8)&lt;&gt;"https://"),"Ошибка: некорректная ссылка",IF(COUNTIF($H$6:$H$1005,H475)&gt;1,"Ошибка: дубликат URL",IF(E475&gt;TODAY(),"Ошибка: дата публикации в будущем",IF(S475="Да","Ошибка: подтверждённый дубль",IF(S475="","Проверить: отметьте дубль",IF(S475="Нужно проверить","Проверить возможный дубль",IF(TODAY()-E475&gt;30,"Проверить: старше 30 дней",IF(COUNTIFS(#REF!,G475,#REF!,"Готово")=0,"Проверить источник","Готово"))))))))))</f>
        <v/>
      </c>
    </row>
    <row r="476" spans="1:21" ht="25.5" customHeight="1">
      <c r="A476" s="21"/>
      <c r="B476" s="22"/>
      <c r="C476" s="21"/>
      <c r="D476" s="23"/>
      <c r="E476" s="22"/>
      <c r="F476" s="22"/>
      <c r="G476" s="23"/>
      <c r="H476" s="24"/>
      <c r="I476" s="24"/>
      <c r="J476" s="23"/>
      <c r="K476" s="23"/>
      <c r="L476" s="23"/>
      <c r="M476" s="23"/>
      <c r="N476" s="23"/>
      <c r="O476" s="23"/>
      <c r="P476" s="23"/>
      <c r="Q476" s="25"/>
      <c r="R476" s="23"/>
      <c r="S476" s="23"/>
      <c r="T476" s="23"/>
      <c r="U476" s="20" t="str">
        <f ca="1">IF(COUNTA(A476:T476)=0,"",IF(OR(A476="",B476="",C476="",E476="",G476="",H476="",J476="",K476="",L476="",M476=""),"Ошибка: заполните обязательные поля",IF(AND(LEFT(H476,7)&lt;&gt;"http://",LEFT(H476,8)&lt;&gt;"https://"),"Ошибка: некорректная ссылка",IF(COUNTIF($H$6:$H$1005,H476)&gt;1,"Ошибка: дубликат URL",IF(E476&gt;TODAY(),"Ошибка: дата публикации в будущем",IF(S476="Да","Ошибка: подтверждённый дубль",IF(S476="","Проверить: отметьте дубль",IF(S476="Нужно проверить","Проверить возможный дубль",IF(TODAY()-E476&gt;30,"Проверить: старше 30 дней",IF(COUNTIFS(#REF!,G476,#REF!,"Готово")=0,"Проверить источник","Готово"))))))))))</f>
        <v/>
      </c>
    </row>
    <row r="477" spans="1:21" ht="25.5" customHeight="1">
      <c r="A477" s="21"/>
      <c r="B477" s="22"/>
      <c r="C477" s="21"/>
      <c r="D477" s="23"/>
      <c r="E477" s="22"/>
      <c r="F477" s="22"/>
      <c r="G477" s="23"/>
      <c r="H477" s="24"/>
      <c r="I477" s="24"/>
      <c r="J477" s="23"/>
      <c r="K477" s="23"/>
      <c r="L477" s="23"/>
      <c r="M477" s="23"/>
      <c r="N477" s="23"/>
      <c r="O477" s="23"/>
      <c r="P477" s="23"/>
      <c r="Q477" s="25"/>
      <c r="R477" s="23"/>
      <c r="S477" s="23"/>
      <c r="T477" s="23"/>
      <c r="U477" s="20" t="str">
        <f ca="1">IF(COUNTA(A477:T477)=0,"",IF(OR(A477="",B477="",C477="",E477="",G477="",H477="",J477="",K477="",L477="",M477=""),"Ошибка: заполните обязательные поля",IF(AND(LEFT(H477,7)&lt;&gt;"http://",LEFT(H477,8)&lt;&gt;"https://"),"Ошибка: некорректная ссылка",IF(COUNTIF($H$6:$H$1005,H477)&gt;1,"Ошибка: дубликат URL",IF(E477&gt;TODAY(),"Ошибка: дата публикации в будущем",IF(S477="Да","Ошибка: подтверждённый дубль",IF(S477="","Проверить: отметьте дубль",IF(S477="Нужно проверить","Проверить возможный дубль",IF(TODAY()-E477&gt;30,"Проверить: старше 30 дней",IF(COUNTIFS(#REF!,G477,#REF!,"Готово")=0,"Проверить источник","Готово"))))))))))</f>
        <v/>
      </c>
    </row>
    <row r="478" spans="1:21" ht="25.5" customHeight="1">
      <c r="A478" s="21"/>
      <c r="B478" s="22"/>
      <c r="C478" s="21"/>
      <c r="D478" s="23"/>
      <c r="E478" s="22"/>
      <c r="F478" s="22"/>
      <c r="G478" s="23"/>
      <c r="H478" s="24"/>
      <c r="I478" s="24"/>
      <c r="J478" s="23"/>
      <c r="K478" s="23"/>
      <c r="L478" s="23"/>
      <c r="M478" s="23"/>
      <c r="N478" s="23"/>
      <c r="O478" s="23"/>
      <c r="P478" s="23"/>
      <c r="Q478" s="25"/>
      <c r="R478" s="23"/>
      <c r="S478" s="23"/>
      <c r="T478" s="23"/>
      <c r="U478" s="20" t="str">
        <f ca="1">IF(COUNTA(A478:T478)=0,"",IF(OR(A478="",B478="",C478="",E478="",G478="",H478="",J478="",K478="",L478="",M478=""),"Ошибка: заполните обязательные поля",IF(AND(LEFT(H478,7)&lt;&gt;"http://",LEFT(H478,8)&lt;&gt;"https://"),"Ошибка: некорректная ссылка",IF(COUNTIF($H$6:$H$1005,H478)&gt;1,"Ошибка: дубликат URL",IF(E478&gt;TODAY(),"Ошибка: дата публикации в будущем",IF(S478="Да","Ошибка: подтверждённый дубль",IF(S478="","Проверить: отметьте дубль",IF(S478="Нужно проверить","Проверить возможный дубль",IF(TODAY()-E478&gt;30,"Проверить: старше 30 дней",IF(COUNTIFS(#REF!,G478,#REF!,"Готово")=0,"Проверить источник","Готово"))))))))))</f>
        <v/>
      </c>
    </row>
    <row r="479" spans="1:21" ht="25.5" customHeight="1">
      <c r="A479" s="21"/>
      <c r="B479" s="22"/>
      <c r="C479" s="21"/>
      <c r="D479" s="23"/>
      <c r="E479" s="22"/>
      <c r="F479" s="22"/>
      <c r="G479" s="23"/>
      <c r="H479" s="24"/>
      <c r="I479" s="24"/>
      <c r="J479" s="23"/>
      <c r="K479" s="23"/>
      <c r="L479" s="23"/>
      <c r="M479" s="23"/>
      <c r="N479" s="23"/>
      <c r="O479" s="23"/>
      <c r="P479" s="23"/>
      <c r="Q479" s="25"/>
      <c r="R479" s="23"/>
      <c r="S479" s="23"/>
      <c r="T479" s="23"/>
      <c r="U479" s="20" t="str">
        <f ca="1">IF(COUNTA(A479:T479)=0,"",IF(OR(A479="",B479="",C479="",E479="",G479="",H479="",J479="",K479="",L479="",M479=""),"Ошибка: заполните обязательные поля",IF(AND(LEFT(H479,7)&lt;&gt;"http://",LEFT(H479,8)&lt;&gt;"https://"),"Ошибка: некорректная ссылка",IF(COUNTIF($H$6:$H$1005,H479)&gt;1,"Ошибка: дубликат URL",IF(E479&gt;TODAY(),"Ошибка: дата публикации в будущем",IF(S479="Да","Ошибка: подтверждённый дубль",IF(S479="","Проверить: отметьте дубль",IF(S479="Нужно проверить","Проверить возможный дубль",IF(TODAY()-E479&gt;30,"Проверить: старше 30 дней",IF(COUNTIFS(#REF!,G479,#REF!,"Готово")=0,"Проверить источник","Готово"))))))))))</f>
        <v/>
      </c>
    </row>
    <row r="480" spans="1:21" ht="25.5" customHeight="1">
      <c r="A480" s="21"/>
      <c r="B480" s="22"/>
      <c r="C480" s="21"/>
      <c r="D480" s="23"/>
      <c r="E480" s="22"/>
      <c r="F480" s="22"/>
      <c r="G480" s="23"/>
      <c r="H480" s="24"/>
      <c r="I480" s="24"/>
      <c r="J480" s="23"/>
      <c r="K480" s="23"/>
      <c r="L480" s="23"/>
      <c r="M480" s="23"/>
      <c r="N480" s="23"/>
      <c r="O480" s="23"/>
      <c r="P480" s="23"/>
      <c r="Q480" s="25"/>
      <c r="R480" s="23"/>
      <c r="S480" s="23"/>
      <c r="T480" s="23"/>
      <c r="U480" s="20" t="str">
        <f ca="1">IF(COUNTA(A480:T480)=0,"",IF(OR(A480="",B480="",C480="",E480="",G480="",H480="",J480="",K480="",L480="",M480=""),"Ошибка: заполните обязательные поля",IF(AND(LEFT(H480,7)&lt;&gt;"http://",LEFT(H480,8)&lt;&gt;"https://"),"Ошибка: некорректная ссылка",IF(COUNTIF($H$6:$H$1005,H480)&gt;1,"Ошибка: дубликат URL",IF(E480&gt;TODAY(),"Ошибка: дата публикации в будущем",IF(S480="Да","Ошибка: подтверждённый дубль",IF(S480="","Проверить: отметьте дубль",IF(S480="Нужно проверить","Проверить возможный дубль",IF(TODAY()-E480&gt;30,"Проверить: старше 30 дней",IF(COUNTIFS(#REF!,G480,#REF!,"Готово")=0,"Проверить источник","Готово"))))))))))</f>
        <v/>
      </c>
    </row>
    <row r="481" spans="1:21" ht="25.5" customHeight="1">
      <c r="A481" s="21"/>
      <c r="B481" s="22"/>
      <c r="C481" s="21"/>
      <c r="D481" s="23"/>
      <c r="E481" s="22"/>
      <c r="F481" s="22"/>
      <c r="G481" s="23"/>
      <c r="H481" s="24"/>
      <c r="I481" s="24"/>
      <c r="J481" s="23"/>
      <c r="K481" s="23"/>
      <c r="L481" s="23"/>
      <c r="M481" s="23"/>
      <c r="N481" s="23"/>
      <c r="O481" s="23"/>
      <c r="P481" s="23"/>
      <c r="Q481" s="25"/>
      <c r="R481" s="23"/>
      <c r="S481" s="23"/>
      <c r="T481" s="23"/>
      <c r="U481" s="20" t="str">
        <f ca="1">IF(COUNTA(A481:T481)=0,"",IF(OR(A481="",B481="",C481="",E481="",G481="",H481="",J481="",K481="",L481="",M481=""),"Ошибка: заполните обязательные поля",IF(AND(LEFT(H481,7)&lt;&gt;"http://",LEFT(H481,8)&lt;&gt;"https://"),"Ошибка: некорректная ссылка",IF(COUNTIF($H$6:$H$1005,H481)&gt;1,"Ошибка: дубликат URL",IF(E481&gt;TODAY(),"Ошибка: дата публикации в будущем",IF(S481="Да","Ошибка: подтверждённый дубль",IF(S481="","Проверить: отметьте дубль",IF(S481="Нужно проверить","Проверить возможный дубль",IF(TODAY()-E481&gt;30,"Проверить: старше 30 дней",IF(COUNTIFS(#REF!,G481,#REF!,"Готово")=0,"Проверить источник","Готово"))))))))))</f>
        <v/>
      </c>
    </row>
    <row r="482" spans="1:21" ht="25.5" customHeight="1">
      <c r="A482" s="21"/>
      <c r="B482" s="22"/>
      <c r="C482" s="21"/>
      <c r="D482" s="23"/>
      <c r="E482" s="22"/>
      <c r="F482" s="22"/>
      <c r="G482" s="23"/>
      <c r="H482" s="24"/>
      <c r="I482" s="24"/>
      <c r="J482" s="23"/>
      <c r="K482" s="23"/>
      <c r="L482" s="23"/>
      <c r="M482" s="23"/>
      <c r="N482" s="23"/>
      <c r="O482" s="23"/>
      <c r="P482" s="23"/>
      <c r="Q482" s="25"/>
      <c r="R482" s="23"/>
      <c r="S482" s="23"/>
      <c r="T482" s="23"/>
      <c r="U482" s="20" t="str">
        <f ca="1">IF(COUNTA(A482:T482)=0,"",IF(OR(A482="",B482="",C482="",E482="",G482="",H482="",J482="",K482="",L482="",M482=""),"Ошибка: заполните обязательные поля",IF(AND(LEFT(H482,7)&lt;&gt;"http://",LEFT(H482,8)&lt;&gt;"https://"),"Ошибка: некорректная ссылка",IF(COUNTIF($H$6:$H$1005,H482)&gt;1,"Ошибка: дубликат URL",IF(E482&gt;TODAY(),"Ошибка: дата публикации в будущем",IF(S482="Да","Ошибка: подтверждённый дубль",IF(S482="","Проверить: отметьте дубль",IF(S482="Нужно проверить","Проверить возможный дубль",IF(TODAY()-E482&gt;30,"Проверить: старше 30 дней",IF(COUNTIFS(#REF!,G482,#REF!,"Готово")=0,"Проверить источник","Готово"))))))))))</f>
        <v/>
      </c>
    </row>
    <row r="483" spans="1:21" ht="25.5" customHeight="1">
      <c r="A483" s="21"/>
      <c r="B483" s="22"/>
      <c r="C483" s="21"/>
      <c r="D483" s="23"/>
      <c r="E483" s="22"/>
      <c r="F483" s="22"/>
      <c r="G483" s="23"/>
      <c r="H483" s="24"/>
      <c r="I483" s="24"/>
      <c r="J483" s="23"/>
      <c r="K483" s="23"/>
      <c r="L483" s="23"/>
      <c r="M483" s="23"/>
      <c r="N483" s="23"/>
      <c r="O483" s="23"/>
      <c r="P483" s="23"/>
      <c r="Q483" s="25"/>
      <c r="R483" s="23"/>
      <c r="S483" s="23"/>
      <c r="T483" s="23"/>
      <c r="U483" s="20" t="str">
        <f ca="1">IF(COUNTA(A483:T483)=0,"",IF(OR(A483="",B483="",C483="",E483="",G483="",H483="",J483="",K483="",L483="",M483=""),"Ошибка: заполните обязательные поля",IF(AND(LEFT(H483,7)&lt;&gt;"http://",LEFT(H483,8)&lt;&gt;"https://"),"Ошибка: некорректная ссылка",IF(COUNTIF($H$6:$H$1005,H483)&gt;1,"Ошибка: дубликат URL",IF(E483&gt;TODAY(),"Ошибка: дата публикации в будущем",IF(S483="Да","Ошибка: подтверждённый дубль",IF(S483="","Проверить: отметьте дубль",IF(S483="Нужно проверить","Проверить возможный дубль",IF(TODAY()-E483&gt;30,"Проверить: старше 30 дней",IF(COUNTIFS(#REF!,G483,#REF!,"Готово")=0,"Проверить источник","Готово"))))))))))</f>
        <v/>
      </c>
    </row>
    <row r="484" spans="1:21" ht="25.5" customHeight="1">
      <c r="A484" s="21"/>
      <c r="B484" s="22"/>
      <c r="C484" s="21"/>
      <c r="D484" s="23"/>
      <c r="E484" s="22"/>
      <c r="F484" s="22"/>
      <c r="G484" s="23"/>
      <c r="H484" s="24"/>
      <c r="I484" s="24"/>
      <c r="J484" s="23"/>
      <c r="K484" s="23"/>
      <c r="L484" s="23"/>
      <c r="M484" s="23"/>
      <c r="N484" s="23"/>
      <c r="O484" s="23"/>
      <c r="P484" s="23"/>
      <c r="Q484" s="25"/>
      <c r="R484" s="23"/>
      <c r="S484" s="23"/>
      <c r="T484" s="23"/>
      <c r="U484" s="20" t="str">
        <f ca="1">IF(COUNTA(A484:T484)=0,"",IF(OR(A484="",B484="",C484="",E484="",G484="",H484="",J484="",K484="",L484="",M484=""),"Ошибка: заполните обязательные поля",IF(AND(LEFT(H484,7)&lt;&gt;"http://",LEFT(H484,8)&lt;&gt;"https://"),"Ошибка: некорректная ссылка",IF(COUNTIF($H$6:$H$1005,H484)&gt;1,"Ошибка: дубликат URL",IF(E484&gt;TODAY(),"Ошибка: дата публикации в будущем",IF(S484="Да","Ошибка: подтверждённый дубль",IF(S484="","Проверить: отметьте дубль",IF(S484="Нужно проверить","Проверить возможный дубль",IF(TODAY()-E484&gt;30,"Проверить: старше 30 дней",IF(COUNTIFS(#REF!,G484,#REF!,"Готово")=0,"Проверить источник","Готово"))))))))))</f>
        <v/>
      </c>
    </row>
    <row r="485" spans="1:21" ht="25.5" customHeight="1">
      <c r="A485" s="21"/>
      <c r="B485" s="22"/>
      <c r="C485" s="21"/>
      <c r="D485" s="23"/>
      <c r="E485" s="22"/>
      <c r="F485" s="22"/>
      <c r="G485" s="23"/>
      <c r="H485" s="24"/>
      <c r="I485" s="24"/>
      <c r="J485" s="23"/>
      <c r="K485" s="23"/>
      <c r="L485" s="23"/>
      <c r="M485" s="23"/>
      <c r="N485" s="23"/>
      <c r="O485" s="23"/>
      <c r="P485" s="23"/>
      <c r="Q485" s="25"/>
      <c r="R485" s="23"/>
      <c r="S485" s="23"/>
      <c r="T485" s="23"/>
      <c r="U485" s="20" t="str">
        <f ca="1">IF(COUNTA(A485:T485)=0,"",IF(OR(A485="",B485="",C485="",E485="",G485="",H485="",J485="",K485="",L485="",M485=""),"Ошибка: заполните обязательные поля",IF(AND(LEFT(H485,7)&lt;&gt;"http://",LEFT(H485,8)&lt;&gt;"https://"),"Ошибка: некорректная ссылка",IF(COUNTIF($H$6:$H$1005,H485)&gt;1,"Ошибка: дубликат URL",IF(E485&gt;TODAY(),"Ошибка: дата публикации в будущем",IF(S485="Да","Ошибка: подтверждённый дубль",IF(S485="","Проверить: отметьте дубль",IF(S485="Нужно проверить","Проверить возможный дубль",IF(TODAY()-E485&gt;30,"Проверить: старше 30 дней",IF(COUNTIFS(#REF!,G485,#REF!,"Готово")=0,"Проверить источник","Готово"))))))))))</f>
        <v/>
      </c>
    </row>
    <row r="486" spans="1:21" ht="25.5" customHeight="1">
      <c r="A486" s="21"/>
      <c r="B486" s="22"/>
      <c r="C486" s="21"/>
      <c r="D486" s="23"/>
      <c r="E486" s="22"/>
      <c r="F486" s="22"/>
      <c r="G486" s="23"/>
      <c r="H486" s="24"/>
      <c r="I486" s="24"/>
      <c r="J486" s="23"/>
      <c r="K486" s="23"/>
      <c r="L486" s="23"/>
      <c r="M486" s="23"/>
      <c r="N486" s="23"/>
      <c r="O486" s="23"/>
      <c r="P486" s="23"/>
      <c r="Q486" s="25"/>
      <c r="R486" s="23"/>
      <c r="S486" s="23"/>
      <c r="T486" s="23"/>
      <c r="U486" s="20" t="str">
        <f ca="1">IF(COUNTA(A486:T486)=0,"",IF(OR(A486="",B486="",C486="",E486="",G486="",H486="",J486="",K486="",L486="",M486=""),"Ошибка: заполните обязательные поля",IF(AND(LEFT(H486,7)&lt;&gt;"http://",LEFT(H486,8)&lt;&gt;"https://"),"Ошибка: некорректная ссылка",IF(COUNTIF($H$6:$H$1005,H486)&gt;1,"Ошибка: дубликат URL",IF(E486&gt;TODAY(),"Ошибка: дата публикации в будущем",IF(S486="Да","Ошибка: подтверждённый дубль",IF(S486="","Проверить: отметьте дубль",IF(S486="Нужно проверить","Проверить возможный дубль",IF(TODAY()-E486&gt;30,"Проверить: старше 30 дней",IF(COUNTIFS(#REF!,G486,#REF!,"Готово")=0,"Проверить источник","Готово"))))))))))</f>
        <v/>
      </c>
    </row>
    <row r="487" spans="1:21" ht="25.5" customHeight="1">
      <c r="A487" s="21"/>
      <c r="B487" s="22"/>
      <c r="C487" s="21"/>
      <c r="D487" s="23"/>
      <c r="E487" s="22"/>
      <c r="F487" s="22"/>
      <c r="G487" s="23"/>
      <c r="H487" s="24"/>
      <c r="I487" s="24"/>
      <c r="J487" s="23"/>
      <c r="K487" s="23"/>
      <c r="L487" s="23"/>
      <c r="M487" s="23"/>
      <c r="N487" s="23"/>
      <c r="O487" s="23"/>
      <c r="P487" s="23"/>
      <c r="Q487" s="25"/>
      <c r="R487" s="23"/>
      <c r="S487" s="23"/>
      <c r="T487" s="23"/>
      <c r="U487" s="20" t="str">
        <f ca="1">IF(COUNTA(A487:T487)=0,"",IF(OR(A487="",B487="",C487="",E487="",G487="",H487="",J487="",K487="",L487="",M487=""),"Ошибка: заполните обязательные поля",IF(AND(LEFT(H487,7)&lt;&gt;"http://",LEFT(H487,8)&lt;&gt;"https://"),"Ошибка: некорректная ссылка",IF(COUNTIF($H$6:$H$1005,H487)&gt;1,"Ошибка: дубликат URL",IF(E487&gt;TODAY(),"Ошибка: дата публикации в будущем",IF(S487="Да","Ошибка: подтверждённый дубль",IF(S487="","Проверить: отметьте дубль",IF(S487="Нужно проверить","Проверить возможный дубль",IF(TODAY()-E487&gt;30,"Проверить: старше 30 дней",IF(COUNTIFS(#REF!,G487,#REF!,"Готово")=0,"Проверить источник","Готово"))))))))))</f>
        <v/>
      </c>
    </row>
    <row r="488" spans="1:21" ht="25.5" customHeight="1">
      <c r="A488" s="21"/>
      <c r="B488" s="22"/>
      <c r="C488" s="21"/>
      <c r="D488" s="23"/>
      <c r="E488" s="22"/>
      <c r="F488" s="22"/>
      <c r="G488" s="23"/>
      <c r="H488" s="24"/>
      <c r="I488" s="24"/>
      <c r="J488" s="23"/>
      <c r="K488" s="23"/>
      <c r="L488" s="23"/>
      <c r="M488" s="23"/>
      <c r="N488" s="23"/>
      <c r="O488" s="23"/>
      <c r="P488" s="23"/>
      <c r="Q488" s="25"/>
      <c r="R488" s="23"/>
      <c r="S488" s="23"/>
      <c r="T488" s="23"/>
      <c r="U488" s="20" t="str">
        <f ca="1">IF(COUNTA(A488:T488)=0,"",IF(OR(A488="",B488="",C488="",E488="",G488="",H488="",J488="",K488="",L488="",M488=""),"Ошибка: заполните обязательные поля",IF(AND(LEFT(H488,7)&lt;&gt;"http://",LEFT(H488,8)&lt;&gt;"https://"),"Ошибка: некорректная ссылка",IF(COUNTIF($H$6:$H$1005,H488)&gt;1,"Ошибка: дубликат URL",IF(E488&gt;TODAY(),"Ошибка: дата публикации в будущем",IF(S488="Да","Ошибка: подтверждённый дубль",IF(S488="","Проверить: отметьте дубль",IF(S488="Нужно проверить","Проверить возможный дубль",IF(TODAY()-E488&gt;30,"Проверить: старше 30 дней",IF(COUNTIFS(#REF!,G488,#REF!,"Готово")=0,"Проверить источник","Готово"))))))))))</f>
        <v/>
      </c>
    </row>
    <row r="489" spans="1:21" ht="25.5" customHeight="1">
      <c r="A489" s="21"/>
      <c r="B489" s="22"/>
      <c r="C489" s="21"/>
      <c r="D489" s="23"/>
      <c r="E489" s="22"/>
      <c r="F489" s="22"/>
      <c r="G489" s="23"/>
      <c r="H489" s="24"/>
      <c r="I489" s="24"/>
      <c r="J489" s="23"/>
      <c r="K489" s="23"/>
      <c r="L489" s="23"/>
      <c r="M489" s="23"/>
      <c r="N489" s="23"/>
      <c r="O489" s="23"/>
      <c r="P489" s="23"/>
      <c r="Q489" s="25"/>
      <c r="R489" s="23"/>
      <c r="S489" s="23"/>
      <c r="T489" s="23"/>
      <c r="U489" s="20" t="str">
        <f ca="1">IF(COUNTA(A489:T489)=0,"",IF(OR(A489="",B489="",C489="",E489="",G489="",H489="",J489="",K489="",L489="",M489=""),"Ошибка: заполните обязательные поля",IF(AND(LEFT(H489,7)&lt;&gt;"http://",LEFT(H489,8)&lt;&gt;"https://"),"Ошибка: некорректная ссылка",IF(COUNTIF($H$6:$H$1005,H489)&gt;1,"Ошибка: дубликат URL",IF(E489&gt;TODAY(),"Ошибка: дата публикации в будущем",IF(S489="Да","Ошибка: подтверждённый дубль",IF(S489="","Проверить: отметьте дубль",IF(S489="Нужно проверить","Проверить возможный дубль",IF(TODAY()-E489&gt;30,"Проверить: старше 30 дней",IF(COUNTIFS(#REF!,G489,#REF!,"Готово")=0,"Проверить источник","Готово"))))))))))</f>
        <v/>
      </c>
    </row>
    <row r="490" spans="1:21" ht="25.5" customHeight="1">
      <c r="A490" s="21"/>
      <c r="B490" s="22"/>
      <c r="C490" s="21"/>
      <c r="D490" s="23"/>
      <c r="E490" s="22"/>
      <c r="F490" s="22"/>
      <c r="G490" s="23"/>
      <c r="H490" s="24"/>
      <c r="I490" s="24"/>
      <c r="J490" s="23"/>
      <c r="K490" s="23"/>
      <c r="L490" s="23"/>
      <c r="M490" s="23"/>
      <c r="N490" s="23"/>
      <c r="O490" s="23"/>
      <c r="P490" s="23"/>
      <c r="Q490" s="25"/>
      <c r="R490" s="23"/>
      <c r="S490" s="23"/>
      <c r="T490" s="23"/>
      <c r="U490" s="20" t="str">
        <f ca="1">IF(COUNTA(A490:T490)=0,"",IF(OR(A490="",B490="",C490="",E490="",G490="",H490="",J490="",K490="",L490="",M490=""),"Ошибка: заполните обязательные поля",IF(AND(LEFT(H490,7)&lt;&gt;"http://",LEFT(H490,8)&lt;&gt;"https://"),"Ошибка: некорректная ссылка",IF(COUNTIF($H$6:$H$1005,H490)&gt;1,"Ошибка: дубликат URL",IF(E490&gt;TODAY(),"Ошибка: дата публикации в будущем",IF(S490="Да","Ошибка: подтверждённый дубль",IF(S490="","Проверить: отметьте дубль",IF(S490="Нужно проверить","Проверить возможный дубль",IF(TODAY()-E490&gt;30,"Проверить: старше 30 дней",IF(COUNTIFS(#REF!,G490,#REF!,"Готово")=0,"Проверить источник","Готово"))))))))))</f>
        <v/>
      </c>
    </row>
    <row r="491" spans="1:21" ht="25.5" customHeight="1">
      <c r="A491" s="21"/>
      <c r="B491" s="22"/>
      <c r="C491" s="21"/>
      <c r="D491" s="23"/>
      <c r="E491" s="22"/>
      <c r="F491" s="22"/>
      <c r="G491" s="23"/>
      <c r="H491" s="24"/>
      <c r="I491" s="24"/>
      <c r="J491" s="23"/>
      <c r="K491" s="23"/>
      <c r="L491" s="23"/>
      <c r="M491" s="23"/>
      <c r="N491" s="23"/>
      <c r="O491" s="23"/>
      <c r="P491" s="23"/>
      <c r="Q491" s="25"/>
      <c r="R491" s="23"/>
      <c r="S491" s="23"/>
      <c r="T491" s="23"/>
      <c r="U491" s="20" t="str">
        <f ca="1">IF(COUNTA(A491:T491)=0,"",IF(OR(A491="",B491="",C491="",E491="",G491="",H491="",J491="",K491="",L491="",M491=""),"Ошибка: заполните обязательные поля",IF(AND(LEFT(H491,7)&lt;&gt;"http://",LEFT(H491,8)&lt;&gt;"https://"),"Ошибка: некорректная ссылка",IF(COUNTIF($H$6:$H$1005,H491)&gt;1,"Ошибка: дубликат URL",IF(E491&gt;TODAY(),"Ошибка: дата публикации в будущем",IF(S491="Да","Ошибка: подтверждённый дубль",IF(S491="","Проверить: отметьте дубль",IF(S491="Нужно проверить","Проверить возможный дубль",IF(TODAY()-E491&gt;30,"Проверить: старше 30 дней",IF(COUNTIFS(#REF!,G491,#REF!,"Готово")=0,"Проверить источник","Готово"))))))))))</f>
        <v/>
      </c>
    </row>
    <row r="492" spans="1:21" ht="25.5" customHeight="1">
      <c r="A492" s="21"/>
      <c r="B492" s="22"/>
      <c r="C492" s="21"/>
      <c r="D492" s="23"/>
      <c r="E492" s="22"/>
      <c r="F492" s="22"/>
      <c r="G492" s="23"/>
      <c r="H492" s="24"/>
      <c r="I492" s="24"/>
      <c r="J492" s="23"/>
      <c r="K492" s="23"/>
      <c r="L492" s="23"/>
      <c r="M492" s="23"/>
      <c r="N492" s="23"/>
      <c r="O492" s="23"/>
      <c r="P492" s="23"/>
      <c r="Q492" s="25"/>
      <c r="R492" s="23"/>
      <c r="S492" s="23"/>
      <c r="T492" s="23"/>
      <c r="U492" s="20" t="str">
        <f ca="1">IF(COUNTA(A492:T492)=0,"",IF(OR(A492="",B492="",C492="",E492="",G492="",H492="",J492="",K492="",L492="",M492=""),"Ошибка: заполните обязательные поля",IF(AND(LEFT(H492,7)&lt;&gt;"http://",LEFT(H492,8)&lt;&gt;"https://"),"Ошибка: некорректная ссылка",IF(COUNTIF($H$6:$H$1005,H492)&gt;1,"Ошибка: дубликат URL",IF(E492&gt;TODAY(),"Ошибка: дата публикации в будущем",IF(S492="Да","Ошибка: подтверждённый дубль",IF(S492="","Проверить: отметьте дубль",IF(S492="Нужно проверить","Проверить возможный дубль",IF(TODAY()-E492&gt;30,"Проверить: старше 30 дней",IF(COUNTIFS(#REF!,G492,#REF!,"Готово")=0,"Проверить источник","Готово"))))))))))</f>
        <v/>
      </c>
    </row>
    <row r="493" spans="1:21" ht="25.5" customHeight="1">
      <c r="A493" s="21"/>
      <c r="B493" s="22"/>
      <c r="C493" s="21"/>
      <c r="D493" s="23"/>
      <c r="E493" s="22"/>
      <c r="F493" s="22"/>
      <c r="G493" s="23"/>
      <c r="H493" s="24"/>
      <c r="I493" s="24"/>
      <c r="J493" s="23"/>
      <c r="K493" s="23"/>
      <c r="L493" s="23"/>
      <c r="M493" s="23"/>
      <c r="N493" s="23"/>
      <c r="O493" s="23"/>
      <c r="P493" s="23"/>
      <c r="Q493" s="25"/>
      <c r="R493" s="23"/>
      <c r="S493" s="23"/>
      <c r="T493" s="23"/>
      <c r="U493" s="20" t="str">
        <f ca="1">IF(COUNTA(A493:T493)=0,"",IF(OR(A493="",B493="",C493="",E493="",G493="",H493="",J493="",K493="",L493="",M493=""),"Ошибка: заполните обязательные поля",IF(AND(LEFT(H493,7)&lt;&gt;"http://",LEFT(H493,8)&lt;&gt;"https://"),"Ошибка: некорректная ссылка",IF(COUNTIF($H$6:$H$1005,H493)&gt;1,"Ошибка: дубликат URL",IF(E493&gt;TODAY(),"Ошибка: дата публикации в будущем",IF(S493="Да","Ошибка: подтверждённый дубль",IF(S493="","Проверить: отметьте дубль",IF(S493="Нужно проверить","Проверить возможный дубль",IF(TODAY()-E493&gt;30,"Проверить: старше 30 дней",IF(COUNTIFS(#REF!,G493,#REF!,"Готово")=0,"Проверить источник","Готово"))))))))))</f>
        <v/>
      </c>
    </row>
    <row r="494" spans="1:21" ht="25.5" customHeight="1">
      <c r="A494" s="21"/>
      <c r="B494" s="22"/>
      <c r="C494" s="21"/>
      <c r="D494" s="23"/>
      <c r="E494" s="22"/>
      <c r="F494" s="22"/>
      <c r="G494" s="23"/>
      <c r="H494" s="24"/>
      <c r="I494" s="24"/>
      <c r="J494" s="23"/>
      <c r="K494" s="23"/>
      <c r="L494" s="23"/>
      <c r="M494" s="23"/>
      <c r="N494" s="23"/>
      <c r="O494" s="23"/>
      <c r="P494" s="23"/>
      <c r="Q494" s="25"/>
      <c r="R494" s="23"/>
      <c r="S494" s="23"/>
      <c r="T494" s="23"/>
      <c r="U494" s="20" t="str">
        <f ca="1">IF(COUNTA(A494:T494)=0,"",IF(OR(A494="",B494="",C494="",E494="",G494="",H494="",J494="",K494="",L494="",M494=""),"Ошибка: заполните обязательные поля",IF(AND(LEFT(H494,7)&lt;&gt;"http://",LEFT(H494,8)&lt;&gt;"https://"),"Ошибка: некорректная ссылка",IF(COUNTIF($H$6:$H$1005,H494)&gt;1,"Ошибка: дубликат URL",IF(E494&gt;TODAY(),"Ошибка: дата публикации в будущем",IF(S494="Да","Ошибка: подтверждённый дубль",IF(S494="","Проверить: отметьте дубль",IF(S494="Нужно проверить","Проверить возможный дубль",IF(TODAY()-E494&gt;30,"Проверить: старше 30 дней",IF(COUNTIFS(#REF!,G494,#REF!,"Готово")=0,"Проверить источник","Готово"))))))))))</f>
        <v/>
      </c>
    </row>
    <row r="495" spans="1:21" ht="25.5" customHeight="1">
      <c r="A495" s="21"/>
      <c r="B495" s="22"/>
      <c r="C495" s="21"/>
      <c r="D495" s="23"/>
      <c r="E495" s="22"/>
      <c r="F495" s="22"/>
      <c r="G495" s="23"/>
      <c r="H495" s="24"/>
      <c r="I495" s="24"/>
      <c r="J495" s="23"/>
      <c r="K495" s="23"/>
      <c r="L495" s="23"/>
      <c r="M495" s="23"/>
      <c r="N495" s="23"/>
      <c r="O495" s="23"/>
      <c r="P495" s="23"/>
      <c r="Q495" s="25"/>
      <c r="R495" s="23"/>
      <c r="S495" s="23"/>
      <c r="T495" s="23"/>
      <c r="U495" s="20" t="str">
        <f ca="1">IF(COUNTA(A495:T495)=0,"",IF(OR(A495="",B495="",C495="",E495="",G495="",H495="",J495="",K495="",L495="",M495=""),"Ошибка: заполните обязательные поля",IF(AND(LEFT(H495,7)&lt;&gt;"http://",LEFT(H495,8)&lt;&gt;"https://"),"Ошибка: некорректная ссылка",IF(COUNTIF($H$6:$H$1005,H495)&gt;1,"Ошибка: дубликат URL",IF(E495&gt;TODAY(),"Ошибка: дата публикации в будущем",IF(S495="Да","Ошибка: подтверждённый дубль",IF(S495="","Проверить: отметьте дубль",IF(S495="Нужно проверить","Проверить возможный дубль",IF(TODAY()-E495&gt;30,"Проверить: старше 30 дней",IF(COUNTIFS(#REF!,G495,#REF!,"Готово")=0,"Проверить источник","Готово"))))))))))</f>
        <v/>
      </c>
    </row>
    <row r="496" spans="1:21" ht="25.5" customHeight="1">
      <c r="A496" s="21"/>
      <c r="B496" s="22"/>
      <c r="C496" s="21"/>
      <c r="D496" s="23"/>
      <c r="E496" s="22"/>
      <c r="F496" s="22"/>
      <c r="G496" s="23"/>
      <c r="H496" s="24"/>
      <c r="I496" s="24"/>
      <c r="J496" s="23"/>
      <c r="K496" s="23"/>
      <c r="L496" s="23"/>
      <c r="M496" s="23"/>
      <c r="N496" s="23"/>
      <c r="O496" s="23"/>
      <c r="P496" s="23"/>
      <c r="Q496" s="25"/>
      <c r="R496" s="23"/>
      <c r="S496" s="23"/>
      <c r="T496" s="23"/>
      <c r="U496" s="20" t="str">
        <f ca="1">IF(COUNTA(A496:T496)=0,"",IF(OR(A496="",B496="",C496="",E496="",G496="",H496="",J496="",K496="",L496="",M496=""),"Ошибка: заполните обязательные поля",IF(AND(LEFT(H496,7)&lt;&gt;"http://",LEFT(H496,8)&lt;&gt;"https://"),"Ошибка: некорректная ссылка",IF(COUNTIF($H$6:$H$1005,H496)&gt;1,"Ошибка: дубликат URL",IF(E496&gt;TODAY(),"Ошибка: дата публикации в будущем",IF(S496="Да","Ошибка: подтверждённый дубль",IF(S496="","Проверить: отметьте дубль",IF(S496="Нужно проверить","Проверить возможный дубль",IF(TODAY()-E496&gt;30,"Проверить: старше 30 дней",IF(COUNTIFS(#REF!,G496,#REF!,"Готово")=0,"Проверить источник","Готово"))))))))))</f>
        <v/>
      </c>
    </row>
    <row r="497" spans="1:21" ht="25.5" customHeight="1">
      <c r="A497" s="21"/>
      <c r="B497" s="22"/>
      <c r="C497" s="21"/>
      <c r="D497" s="23"/>
      <c r="E497" s="22"/>
      <c r="F497" s="22"/>
      <c r="G497" s="23"/>
      <c r="H497" s="24"/>
      <c r="I497" s="24"/>
      <c r="J497" s="23"/>
      <c r="K497" s="23"/>
      <c r="L497" s="23"/>
      <c r="M497" s="23"/>
      <c r="N497" s="23"/>
      <c r="O497" s="23"/>
      <c r="P497" s="23"/>
      <c r="Q497" s="25"/>
      <c r="R497" s="23"/>
      <c r="S497" s="23"/>
      <c r="T497" s="23"/>
      <c r="U497" s="20" t="str">
        <f ca="1">IF(COUNTA(A497:T497)=0,"",IF(OR(A497="",B497="",C497="",E497="",G497="",H497="",J497="",K497="",L497="",M497=""),"Ошибка: заполните обязательные поля",IF(AND(LEFT(H497,7)&lt;&gt;"http://",LEFT(H497,8)&lt;&gt;"https://"),"Ошибка: некорректная ссылка",IF(COUNTIF($H$6:$H$1005,H497)&gt;1,"Ошибка: дубликат URL",IF(E497&gt;TODAY(),"Ошибка: дата публикации в будущем",IF(S497="Да","Ошибка: подтверждённый дубль",IF(S497="","Проверить: отметьте дубль",IF(S497="Нужно проверить","Проверить возможный дубль",IF(TODAY()-E497&gt;30,"Проверить: старше 30 дней",IF(COUNTIFS(#REF!,G497,#REF!,"Готово")=0,"Проверить источник","Готово"))))))))))</f>
        <v/>
      </c>
    </row>
    <row r="498" spans="1:21" ht="25.5" customHeight="1">
      <c r="A498" s="21"/>
      <c r="B498" s="22"/>
      <c r="C498" s="21"/>
      <c r="D498" s="23"/>
      <c r="E498" s="22"/>
      <c r="F498" s="22"/>
      <c r="G498" s="23"/>
      <c r="H498" s="24"/>
      <c r="I498" s="24"/>
      <c r="J498" s="23"/>
      <c r="K498" s="23"/>
      <c r="L498" s="23"/>
      <c r="M498" s="23"/>
      <c r="N498" s="23"/>
      <c r="O498" s="23"/>
      <c r="P498" s="23"/>
      <c r="Q498" s="25"/>
      <c r="R498" s="23"/>
      <c r="S498" s="23"/>
      <c r="T498" s="23"/>
      <c r="U498" s="20" t="str">
        <f ca="1">IF(COUNTA(A498:T498)=0,"",IF(OR(A498="",B498="",C498="",E498="",G498="",H498="",J498="",K498="",L498="",M498=""),"Ошибка: заполните обязательные поля",IF(AND(LEFT(H498,7)&lt;&gt;"http://",LEFT(H498,8)&lt;&gt;"https://"),"Ошибка: некорректная ссылка",IF(COUNTIF($H$6:$H$1005,H498)&gt;1,"Ошибка: дубликат URL",IF(E498&gt;TODAY(),"Ошибка: дата публикации в будущем",IF(S498="Да","Ошибка: подтверждённый дубль",IF(S498="","Проверить: отметьте дубль",IF(S498="Нужно проверить","Проверить возможный дубль",IF(TODAY()-E498&gt;30,"Проверить: старше 30 дней",IF(COUNTIFS(#REF!,G498,#REF!,"Готово")=0,"Проверить источник","Готово"))))))))))</f>
        <v/>
      </c>
    </row>
    <row r="499" spans="1:21" ht="25.5" customHeight="1">
      <c r="A499" s="21"/>
      <c r="B499" s="22"/>
      <c r="C499" s="21"/>
      <c r="D499" s="23"/>
      <c r="E499" s="22"/>
      <c r="F499" s="22"/>
      <c r="G499" s="23"/>
      <c r="H499" s="24"/>
      <c r="I499" s="24"/>
      <c r="J499" s="23"/>
      <c r="K499" s="23"/>
      <c r="L499" s="23"/>
      <c r="M499" s="23"/>
      <c r="N499" s="23"/>
      <c r="O499" s="23"/>
      <c r="P499" s="23"/>
      <c r="Q499" s="25"/>
      <c r="R499" s="23"/>
      <c r="S499" s="23"/>
      <c r="T499" s="23"/>
      <c r="U499" s="20" t="str">
        <f ca="1">IF(COUNTA(A499:T499)=0,"",IF(OR(A499="",B499="",C499="",E499="",G499="",H499="",J499="",K499="",L499="",M499=""),"Ошибка: заполните обязательные поля",IF(AND(LEFT(H499,7)&lt;&gt;"http://",LEFT(H499,8)&lt;&gt;"https://"),"Ошибка: некорректная ссылка",IF(COUNTIF($H$6:$H$1005,H499)&gt;1,"Ошибка: дубликат URL",IF(E499&gt;TODAY(),"Ошибка: дата публикации в будущем",IF(S499="Да","Ошибка: подтверждённый дубль",IF(S499="","Проверить: отметьте дубль",IF(S499="Нужно проверить","Проверить возможный дубль",IF(TODAY()-E499&gt;30,"Проверить: старше 30 дней",IF(COUNTIFS(#REF!,G499,#REF!,"Готово")=0,"Проверить источник","Готово"))))))))))</f>
        <v/>
      </c>
    </row>
    <row r="500" spans="1:21" ht="25.5" customHeight="1">
      <c r="A500" s="21"/>
      <c r="B500" s="22"/>
      <c r="C500" s="21"/>
      <c r="D500" s="23"/>
      <c r="E500" s="22"/>
      <c r="F500" s="22"/>
      <c r="G500" s="23"/>
      <c r="H500" s="24"/>
      <c r="I500" s="24"/>
      <c r="J500" s="23"/>
      <c r="K500" s="23"/>
      <c r="L500" s="23"/>
      <c r="M500" s="23"/>
      <c r="N500" s="23"/>
      <c r="O500" s="23"/>
      <c r="P500" s="23"/>
      <c r="Q500" s="25"/>
      <c r="R500" s="23"/>
      <c r="S500" s="23"/>
      <c r="T500" s="23"/>
      <c r="U500" s="20" t="str">
        <f ca="1">IF(COUNTA(A500:T500)=0,"",IF(OR(A500="",B500="",C500="",E500="",G500="",H500="",J500="",K500="",L500="",M500=""),"Ошибка: заполните обязательные поля",IF(AND(LEFT(H500,7)&lt;&gt;"http://",LEFT(H500,8)&lt;&gt;"https://"),"Ошибка: некорректная ссылка",IF(COUNTIF($H$6:$H$1005,H500)&gt;1,"Ошибка: дубликат URL",IF(E500&gt;TODAY(),"Ошибка: дата публикации в будущем",IF(S500="Да","Ошибка: подтверждённый дубль",IF(S500="","Проверить: отметьте дубль",IF(S500="Нужно проверить","Проверить возможный дубль",IF(TODAY()-E500&gt;30,"Проверить: старше 30 дней",IF(COUNTIFS(#REF!,G500,#REF!,"Готово")=0,"Проверить источник","Готово"))))))))))</f>
        <v/>
      </c>
    </row>
    <row r="501" spans="1:21" ht="25.5" customHeight="1">
      <c r="A501" s="21"/>
      <c r="B501" s="22"/>
      <c r="C501" s="21"/>
      <c r="D501" s="23"/>
      <c r="E501" s="22"/>
      <c r="F501" s="22"/>
      <c r="G501" s="23"/>
      <c r="H501" s="24"/>
      <c r="I501" s="24"/>
      <c r="J501" s="23"/>
      <c r="K501" s="23"/>
      <c r="L501" s="23"/>
      <c r="M501" s="23"/>
      <c r="N501" s="23"/>
      <c r="O501" s="23"/>
      <c r="P501" s="23"/>
      <c r="Q501" s="25"/>
      <c r="R501" s="23"/>
      <c r="S501" s="23"/>
      <c r="T501" s="23"/>
      <c r="U501" s="20" t="str">
        <f ca="1">IF(COUNTA(A501:T501)=0,"",IF(OR(A501="",B501="",C501="",E501="",G501="",H501="",J501="",K501="",L501="",M501=""),"Ошибка: заполните обязательные поля",IF(AND(LEFT(H501,7)&lt;&gt;"http://",LEFT(H501,8)&lt;&gt;"https://"),"Ошибка: некорректная ссылка",IF(COUNTIF($H$6:$H$1005,H501)&gt;1,"Ошибка: дубликат URL",IF(E501&gt;TODAY(),"Ошибка: дата публикации в будущем",IF(S501="Да","Ошибка: подтверждённый дубль",IF(S501="","Проверить: отметьте дубль",IF(S501="Нужно проверить","Проверить возможный дубль",IF(TODAY()-E501&gt;30,"Проверить: старше 30 дней",IF(COUNTIFS(#REF!,G501,#REF!,"Готово")=0,"Проверить источник","Готово"))))))))))</f>
        <v/>
      </c>
    </row>
    <row r="502" spans="1:21" ht="25.5" customHeight="1">
      <c r="A502" s="21"/>
      <c r="B502" s="22"/>
      <c r="C502" s="21"/>
      <c r="D502" s="23"/>
      <c r="E502" s="22"/>
      <c r="F502" s="22"/>
      <c r="G502" s="23"/>
      <c r="H502" s="24"/>
      <c r="I502" s="24"/>
      <c r="J502" s="23"/>
      <c r="K502" s="23"/>
      <c r="L502" s="23"/>
      <c r="M502" s="23"/>
      <c r="N502" s="23"/>
      <c r="O502" s="23"/>
      <c r="P502" s="23"/>
      <c r="Q502" s="25"/>
      <c r="R502" s="23"/>
      <c r="S502" s="23"/>
      <c r="T502" s="23"/>
      <c r="U502" s="20" t="str">
        <f ca="1">IF(COUNTA(A502:T502)=0,"",IF(OR(A502="",B502="",C502="",E502="",G502="",H502="",J502="",K502="",L502="",M502=""),"Ошибка: заполните обязательные поля",IF(AND(LEFT(H502,7)&lt;&gt;"http://",LEFT(H502,8)&lt;&gt;"https://"),"Ошибка: некорректная ссылка",IF(COUNTIF($H$6:$H$1005,H502)&gt;1,"Ошибка: дубликат URL",IF(E502&gt;TODAY(),"Ошибка: дата публикации в будущем",IF(S502="Да","Ошибка: подтверждённый дубль",IF(S502="","Проверить: отметьте дубль",IF(S502="Нужно проверить","Проверить возможный дубль",IF(TODAY()-E502&gt;30,"Проверить: старше 30 дней",IF(COUNTIFS(#REF!,G502,#REF!,"Готово")=0,"Проверить источник","Готово"))))))))))</f>
        <v/>
      </c>
    </row>
    <row r="503" spans="1:21" ht="25.5" customHeight="1">
      <c r="A503" s="21"/>
      <c r="B503" s="22"/>
      <c r="C503" s="21"/>
      <c r="D503" s="23"/>
      <c r="E503" s="22"/>
      <c r="F503" s="22"/>
      <c r="G503" s="23"/>
      <c r="H503" s="24"/>
      <c r="I503" s="24"/>
      <c r="J503" s="23"/>
      <c r="K503" s="23"/>
      <c r="L503" s="23"/>
      <c r="M503" s="23"/>
      <c r="N503" s="23"/>
      <c r="O503" s="23"/>
      <c r="P503" s="23"/>
      <c r="Q503" s="25"/>
      <c r="R503" s="23"/>
      <c r="S503" s="23"/>
      <c r="T503" s="23"/>
      <c r="U503" s="20" t="str">
        <f ca="1">IF(COUNTA(A503:T503)=0,"",IF(OR(A503="",B503="",C503="",E503="",G503="",H503="",J503="",K503="",L503="",M503=""),"Ошибка: заполните обязательные поля",IF(AND(LEFT(H503,7)&lt;&gt;"http://",LEFT(H503,8)&lt;&gt;"https://"),"Ошибка: некорректная ссылка",IF(COUNTIF($H$6:$H$1005,H503)&gt;1,"Ошибка: дубликат URL",IF(E503&gt;TODAY(),"Ошибка: дата публикации в будущем",IF(S503="Да","Ошибка: подтверждённый дубль",IF(S503="","Проверить: отметьте дубль",IF(S503="Нужно проверить","Проверить возможный дубль",IF(TODAY()-E503&gt;30,"Проверить: старше 30 дней",IF(COUNTIFS(#REF!,G503,#REF!,"Готово")=0,"Проверить источник","Готово"))))))))))</f>
        <v/>
      </c>
    </row>
    <row r="504" spans="1:21" ht="25.5" customHeight="1">
      <c r="A504" s="21"/>
      <c r="B504" s="22"/>
      <c r="C504" s="21"/>
      <c r="D504" s="23"/>
      <c r="E504" s="22"/>
      <c r="F504" s="22"/>
      <c r="G504" s="23"/>
      <c r="H504" s="24"/>
      <c r="I504" s="24"/>
      <c r="J504" s="23"/>
      <c r="K504" s="23"/>
      <c r="L504" s="23"/>
      <c r="M504" s="23"/>
      <c r="N504" s="23"/>
      <c r="O504" s="23"/>
      <c r="P504" s="23"/>
      <c r="Q504" s="25"/>
      <c r="R504" s="23"/>
      <c r="S504" s="23"/>
      <c r="T504" s="23"/>
      <c r="U504" s="20" t="str">
        <f ca="1">IF(COUNTA(A504:T504)=0,"",IF(OR(A504="",B504="",C504="",E504="",G504="",H504="",J504="",K504="",L504="",M504=""),"Ошибка: заполните обязательные поля",IF(AND(LEFT(H504,7)&lt;&gt;"http://",LEFT(H504,8)&lt;&gt;"https://"),"Ошибка: некорректная ссылка",IF(COUNTIF($H$6:$H$1005,H504)&gt;1,"Ошибка: дубликат URL",IF(E504&gt;TODAY(),"Ошибка: дата публикации в будущем",IF(S504="Да","Ошибка: подтверждённый дубль",IF(S504="","Проверить: отметьте дубль",IF(S504="Нужно проверить","Проверить возможный дубль",IF(TODAY()-E504&gt;30,"Проверить: старше 30 дней",IF(COUNTIFS(#REF!,G504,#REF!,"Готово")=0,"Проверить источник","Готово"))))))))))</f>
        <v/>
      </c>
    </row>
    <row r="505" spans="1:21" ht="25.5" customHeight="1">
      <c r="A505" s="21"/>
      <c r="B505" s="22"/>
      <c r="C505" s="21"/>
      <c r="D505" s="23"/>
      <c r="E505" s="22"/>
      <c r="F505" s="22"/>
      <c r="G505" s="23"/>
      <c r="H505" s="24"/>
      <c r="I505" s="24"/>
      <c r="J505" s="23"/>
      <c r="K505" s="23"/>
      <c r="L505" s="23"/>
      <c r="M505" s="23"/>
      <c r="N505" s="23"/>
      <c r="O505" s="23"/>
      <c r="P505" s="23"/>
      <c r="Q505" s="25"/>
      <c r="R505" s="23"/>
      <c r="S505" s="23"/>
      <c r="T505" s="23"/>
      <c r="U505" s="20" t="str">
        <f ca="1">IF(COUNTA(A505:T505)=0,"",IF(OR(A505="",B505="",C505="",E505="",G505="",H505="",J505="",K505="",L505="",M505=""),"Ошибка: заполните обязательные поля",IF(AND(LEFT(H505,7)&lt;&gt;"http://",LEFT(H505,8)&lt;&gt;"https://"),"Ошибка: некорректная ссылка",IF(COUNTIF($H$6:$H$1005,H505)&gt;1,"Ошибка: дубликат URL",IF(E505&gt;TODAY(),"Ошибка: дата публикации в будущем",IF(S505="Да","Ошибка: подтверждённый дубль",IF(S505="","Проверить: отметьте дубль",IF(S505="Нужно проверить","Проверить возможный дубль",IF(TODAY()-E505&gt;30,"Проверить: старше 30 дней",IF(COUNTIFS(#REF!,G505,#REF!,"Готово")=0,"Проверить источник","Готово"))))))))))</f>
        <v/>
      </c>
    </row>
    <row r="506" spans="1:21" ht="25.5" customHeight="1">
      <c r="A506" s="21"/>
      <c r="B506" s="22"/>
      <c r="C506" s="21"/>
      <c r="D506" s="23"/>
      <c r="E506" s="22"/>
      <c r="F506" s="22"/>
      <c r="G506" s="23"/>
      <c r="H506" s="24"/>
      <c r="I506" s="24"/>
      <c r="J506" s="23"/>
      <c r="K506" s="23"/>
      <c r="L506" s="23"/>
      <c r="M506" s="23"/>
      <c r="N506" s="23"/>
      <c r="O506" s="23"/>
      <c r="P506" s="23"/>
      <c r="Q506" s="25"/>
      <c r="R506" s="23"/>
      <c r="S506" s="23"/>
      <c r="T506" s="23"/>
      <c r="U506" s="20" t="str">
        <f ca="1">IF(COUNTA(A506:T506)=0,"",IF(OR(A506="",B506="",C506="",E506="",G506="",H506="",J506="",K506="",L506="",M506=""),"Ошибка: заполните обязательные поля",IF(AND(LEFT(H506,7)&lt;&gt;"http://",LEFT(H506,8)&lt;&gt;"https://"),"Ошибка: некорректная ссылка",IF(COUNTIF($H$6:$H$1005,H506)&gt;1,"Ошибка: дубликат URL",IF(E506&gt;TODAY(),"Ошибка: дата публикации в будущем",IF(S506="Да","Ошибка: подтверждённый дубль",IF(S506="","Проверить: отметьте дубль",IF(S506="Нужно проверить","Проверить возможный дубль",IF(TODAY()-E506&gt;30,"Проверить: старше 30 дней",IF(COUNTIFS(#REF!,G506,#REF!,"Готово")=0,"Проверить источник","Готово"))))))))))</f>
        <v/>
      </c>
    </row>
    <row r="507" spans="1:21" ht="25.5" customHeight="1">
      <c r="A507" s="21"/>
      <c r="B507" s="22"/>
      <c r="C507" s="21"/>
      <c r="D507" s="23"/>
      <c r="E507" s="22"/>
      <c r="F507" s="22"/>
      <c r="G507" s="23"/>
      <c r="H507" s="24"/>
      <c r="I507" s="24"/>
      <c r="J507" s="23"/>
      <c r="K507" s="23"/>
      <c r="L507" s="23"/>
      <c r="M507" s="23"/>
      <c r="N507" s="23"/>
      <c r="O507" s="23"/>
      <c r="P507" s="23"/>
      <c r="Q507" s="25"/>
      <c r="R507" s="23"/>
      <c r="S507" s="23"/>
      <c r="T507" s="23"/>
      <c r="U507" s="20" t="str">
        <f ca="1">IF(COUNTA(A507:T507)=0,"",IF(OR(A507="",B507="",C507="",E507="",G507="",H507="",J507="",K507="",L507="",M507=""),"Ошибка: заполните обязательные поля",IF(AND(LEFT(H507,7)&lt;&gt;"http://",LEFT(H507,8)&lt;&gt;"https://"),"Ошибка: некорректная ссылка",IF(COUNTIF($H$6:$H$1005,H507)&gt;1,"Ошибка: дубликат URL",IF(E507&gt;TODAY(),"Ошибка: дата публикации в будущем",IF(S507="Да","Ошибка: подтверждённый дубль",IF(S507="","Проверить: отметьте дубль",IF(S507="Нужно проверить","Проверить возможный дубль",IF(TODAY()-E507&gt;30,"Проверить: старше 30 дней",IF(COUNTIFS(#REF!,G507,#REF!,"Готово")=0,"Проверить источник","Готово"))))))))))</f>
        <v/>
      </c>
    </row>
    <row r="508" spans="1:21" ht="25.5" customHeight="1">
      <c r="A508" s="21"/>
      <c r="B508" s="22"/>
      <c r="C508" s="21"/>
      <c r="D508" s="23"/>
      <c r="E508" s="22"/>
      <c r="F508" s="22"/>
      <c r="G508" s="23"/>
      <c r="H508" s="24"/>
      <c r="I508" s="24"/>
      <c r="J508" s="23"/>
      <c r="K508" s="23"/>
      <c r="L508" s="23"/>
      <c r="M508" s="23"/>
      <c r="N508" s="23"/>
      <c r="O508" s="23"/>
      <c r="P508" s="23"/>
      <c r="Q508" s="25"/>
      <c r="R508" s="23"/>
      <c r="S508" s="23"/>
      <c r="T508" s="23"/>
      <c r="U508" s="20" t="str">
        <f ca="1">IF(COUNTA(A508:T508)=0,"",IF(OR(A508="",B508="",C508="",E508="",G508="",H508="",J508="",K508="",L508="",M508=""),"Ошибка: заполните обязательные поля",IF(AND(LEFT(H508,7)&lt;&gt;"http://",LEFT(H508,8)&lt;&gt;"https://"),"Ошибка: некорректная ссылка",IF(COUNTIF($H$6:$H$1005,H508)&gt;1,"Ошибка: дубликат URL",IF(E508&gt;TODAY(),"Ошибка: дата публикации в будущем",IF(S508="Да","Ошибка: подтверждённый дубль",IF(S508="","Проверить: отметьте дубль",IF(S508="Нужно проверить","Проверить возможный дубль",IF(TODAY()-E508&gt;30,"Проверить: старше 30 дней",IF(COUNTIFS(#REF!,G508,#REF!,"Готово")=0,"Проверить источник","Готово"))))))))))</f>
        <v/>
      </c>
    </row>
    <row r="509" spans="1:21" ht="25.5" customHeight="1">
      <c r="A509" s="21"/>
      <c r="B509" s="22"/>
      <c r="C509" s="21"/>
      <c r="D509" s="23"/>
      <c r="E509" s="22"/>
      <c r="F509" s="22"/>
      <c r="G509" s="23"/>
      <c r="H509" s="24"/>
      <c r="I509" s="24"/>
      <c r="J509" s="23"/>
      <c r="K509" s="23"/>
      <c r="L509" s="23"/>
      <c r="M509" s="23"/>
      <c r="N509" s="23"/>
      <c r="O509" s="23"/>
      <c r="P509" s="23"/>
      <c r="Q509" s="25"/>
      <c r="R509" s="23"/>
      <c r="S509" s="23"/>
      <c r="T509" s="23"/>
      <c r="U509" s="20" t="str">
        <f ca="1">IF(COUNTA(A509:T509)=0,"",IF(OR(A509="",B509="",C509="",E509="",G509="",H509="",J509="",K509="",L509="",M509=""),"Ошибка: заполните обязательные поля",IF(AND(LEFT(H509,7)&lt;&gt;"http://",LEFT(H509,8)&lt;&gt;"https://"),"Ошибка: некорректная ссылка",IF(COUNTIF($H$6:$H$1005,H509)&gt;1,"Ошибка: дубликат URL",IF(E509&gt;TODAY(),"Ошибка: дата публикации в будущем",IF(S509="Да","Ошибка: подтверждённый дубль",IF(S509="","Проверить: отметьте дубль",IF(S509="Нужно проверить","Проверить возможный дубль",IF(TODAY()-E509&gt;30,"Проверить: старше 30 дней",IF(COUNTIFS(#REF!,G509,#REF!,"Готово")=0,"Проверить источник","Готово"))))))))))</f>
        <v/>
      </c>
    </row>
    <row r="510" spans="1:21" ht="25.5" customHeight="1">
      <c r="A510" s="21"/>
      <c r="B510" s="22"/>
      <c r="C510" s="21"/>
      <c r="D510" s="23"/>
      <c r="E510" s="22"/>
      <c r="F510" s="22"/>
      <c r="G510" s="23"/>
      <c r="H510" s="24"/>
      <c r="I510" s="24"/>
      <c r="J510" s="23"/>
      <c r="K510" s="23"/>
      <c r="L510" s="23"/>
      <c r="M510" s="23"/>
      <c r="N510" s="23"/>
      <c r="O510" s="23"/>
      <c r="P510" s="23"/>
      <c r="Q510" s="25"/>
      <c r="R510" s="23"/>
      <c r="S510" s="23"/>
      <c r="T510" s="23"/>
      <c r="U510" s="20" t="str">
        <f ca="1">IF(COUNTA(A510:T510)=0,"",IF(OR(A510="",B510="",C510="",E510="",G510="",H510="",J510="",K510="",L510="",M510=""),"Ошибка: заполните обязательные поля",IF(AND(LEFT(H510,7)&lt;&gt;"http://",LEFT(H510,8)&lt;&gt;"https://"),"Ошибка: некорректная ссылка",IF(COUNTIF($H$6:$H$1005,H510)&gt;1,"Ошибка: дубликат URL",IF(E510&gt;TODAY(),"Ошибка: дата публикации в будущем",IF(S510="Да","Ошибка: подтверждённый дубль",IF(S510="","Проверить: отметьте дубль",IF(S510="Нужно проверить","Проверить возможный дубль",IF(TODAY()-E510&gt;30,"Проверить: старше 30 дней",IF(COUNTIFS(#REF!,G510,#REF!,"Готово")=0,"Проверить источник","Готово"))))))))))</f>
        <v/>
      </c>
    </row>
    <row r="511" spans="1:21" ht="25.5" customHeight="1">
      <c r="A511" s="21"/>
      <c r="B511" s="22"/>
      <c r="C511" s="21"/>
      <c r="D511" s="23"/>
      <c r="E511" s="22"/>
      <c r="F511" s="22"/>
      <c r="G511" s="23"/>
      <c r="H511" s="24"/>
      <c r="I511" s="24"/>
      <c r="J511" s="23"/>
      <c r="K511" s="23"/>
      <c r="L511" s="23"/>
      <c r="M511" s="23"/>
      <c r="N511" s="23"/>
      <c r="O511" s="23"/>
      <c r="P511" s="23"/>
      <c r="Q511" s="25"/>
      <c r="R511" s="23"/>
      <c r="S511" s="23"/>
      <c r="T511" s="23"/>
      <c r="U511" s="20" t="str">
        <f ca="1">IF(COUNTA(A511:T511)=0,"",IF(OR(A511="",B511="",C511="",E511="",G511="",H511="",J511="",K511="",L511="",M511=""),"Ошибка: заполните обязательные поля",IF(AND(LEFT(H511,7)&lt;&gt;"http://",LEFT(H511,8)&lt;&gt;"https://"),"Ошибка: некорректная ссылка",IF(COUNTIF($H$6:$H$1005,H511)&gt;1,"Ошибка: дубликат URL",IF(E511&gt;TODAY(),"Ошибка: дата публикации в будущем",IF(S511="Да","Ошибка: подтверждённый дубль",IF(S511="","Проверить: отметьте дубль",IF(S511="Нужно проверить","Проверить возможный дубль",IF(TODAY()-E511&gt;30,"Проверить: старше 30 дней",IF(COUNTIFS(#REF!,G511,#REF!,"Готово")=0,"Проверить источник","Готово"))))))))))</f>
        <v/>
      </c>
    </row>
    <row r="512" spans="1:21" ht="25.5" customHeight="1">
      <c r="A512" s="21"/>
      <c r="B512" s="22"/>
      <c r="C512" s="21"/>
      <c r="D512" s="23"/>
      <c r="E512" s="22"/>
      <c r="F512" s="22"/>
      <c r="G512" s="23"/>
      <c r="H512" s="24"/>
      <c r="I512" s="24"/>
      <c r="J512" s="23"/>
      <c r="K512" s="23"/>
      <c r="L512" s="23"/>
      <c r="M512" s="23"/>
      <c r="N512" s="23"/>
      <c r="O512" s="23"/>
      <c r="P512" s="23"/>
      <c r="Q512" s="25"/>
      <c r="R512" s="23"/>
      <c r="S512" s="23"/>
      <c r="T512" s="23"/>
      <c r="U512" s="20" t="str">
        <f ca="1">IF(COUNTA(A512:T512)=0,"",IF(OR(A512="",B512="",C512="",E512="",G512="",H512="",J512="",K512="",L512="",M512=""),"Ошибка: заполните обязательные поля",IF(AND(LEFT(H512,7)&lt;&gt;"http://",LEFT(H512,8)&lt;&gt;"https://"),"Ошибка: некорректная ссылка",IF(COUNTIF($H$6:$H$1005,H512)&gt;1,"Ошибка: дубликат URL",IF(E512&gt;TODAY(),"Ошибка: дата публикации в будущем",IF(S512="Да","Ошибка: подтверждённый дубль",IF(S512="","Проверить: отметьте дубль",IF(S512="Нужно проверить","Проверить возможный дубль",IF(TODAY()-E512&gt;30,"Проверить: старше 30 дней",IF(COUNTIFS(#REF!,G512,#REF!,"Готово")=0,"Проверить источник","Готово"))))))))))</f>
        <v/>
      </c>
    </row>
    <row r="513" spans="1:21" ht="25.5" customHeight="1">
      <c r="A513" s="21"/>
      <c r="B513" s="22"/>
      <c r="C513" s="21"/>
      <c r="D513" s="23"/>
      <c r="E513" s="22"/>
      <c r="F513" s="22"/>
      <c r="G513" s="23"/>
      <c r="H513" s="24"/>
      <c r="I513" s="24"/>
      <c r="J513" s="23"/>
      <c r="K513" s="23"/>
      <c r="L513" s="23"/>
      <c r="M513" s="23"/>
      <c r="N513" s="23"/>
      <c r="O513" s="23"/>
      <c r="P513" s="23"/>
      <c r="Q513" s="25"/>
      <c r="R513" s="23"/>
      <c r="S513" s="23"/>
      <c r="T513" s="23"/>
      <c r="U513" s="20" t="str">
        <f ca="1">IF(COUNTA(A513:T513)=0,"",IF(OR(A513="",B513="",C513="",E513="",G513="",H513="",J513="",K513="",L513="",M513=""),"Ошибка: заполните обязательные поля",IF(AND(LEFT(H513,7)&lt;&gt;"http://",LEFT(H513,8)&lt;&gt;"https://"),"Ошибка: некорректная ссылка",IF(COUNTIF($H$6:$H$1005,H513)&gt;1,"Ошибка: дубликат URL",IF(E513&gt;TODAY(),"Ошибка: дата публикации в будущем",IF(S513="Да","Ошибка: подтверждённый дубль",IF(S513="","Проверить: отметьте дубль",IF(S513="Нужно проверить","Проверить возможный дубль",IF(TODAY()-E513&gt;30,"Проверить: старше 30 дней",IF(COUNTIFS(#REF!,G513,#REF!,"Готово")=0,"Проверить источник","Готово"))))))))))</f>
        <v/>
      </c>
    </row>
    <row r="514" spans="1:21" ht="25.5" customHeight="1">
      <c r="A514" s="21"/>
      <c r="B514" s="22"/>
      <c r="C514" s="21"/>
      <c r="D514" s="23"/>
      <c r="E514" s="22"/>
      <c r="F514" s="22"/>
      <c r="G514" s="23"/>
      <c r="H514" s="24"/>
      <c r="I514" s="24"/>
      <c r="J514" s="23"/>
      <c r="K514" s="23"/>
      <c r="L514" s="23"/>
      <c r="M514" s="23"/>
      <c r="N514" s="23"/>
      <c r="O514" s="23"/>
      <c r="P514" s="23"/>
      <c r="Q514" s="25"/>
      <c r="R514" s="23"/>
      <c r="S514" s="23"/>
      <c r="T514" s="23"/>
      <c r="U514" s="20" t="str">
        <f ca="1">IF(COUNTA(A514:T514)=0,"",IF(OR(A514="",B514="",C514="",E514="",G514="",H514="",J514="",K514="",L514="",M514=""),"Ошибка: заполните обязательные поля",IF(AND(LEFT(H514,7)&lt;&gt;"http://",LEFT(H514,8)&lt;&gt;"https://"),"Ошибка: некорректная ссылка",IF(COUNTIF($H$6:$H$1005,H514)&gt;1,"Ошибка: дубликат URL",IF(E514&gt;TODAY(),"Ошибка: дата публикации в будущем",IF(S514="Да","Ошибка: подтверждённый дубль",IF(S514="","Проверить: отметьте дубль",IF(S514="Нужно проверить","Проверить возможный дубль",IF(TODAY()-E514&gt;30,"Проверить: старше 30 дней",IF(COUNTIFS(#REF!,G514,#REF!,"Готово")=0,"Проверить источник","Готово"))))))))))</f>
        <v/>
      </c>
    </row>
    <row r="515" spans="1:21" ht="25.5" customHeight="1">
      <c r="A515" s="21"/>
      <c r="B515" s="22"/>
      <c r="C515" s="21"/>
      <c r="D515" s="23"/>
      <c r="E515" s="22"/>
      <c r="F515" s="22"/>
      <c r="G515" s="23"/>
      <c r="H515" s="24"/>
      <c r="I515" s="24"/>
      <c r="J515" s="23"/>
      <c r="K515" s="23"/>
      <c r="L515" s="23"/>
      <c r="M515" s="23"/>
      <c r="N515" s="23"/>
      <c r="O515" s="23"/>
      <c r="P515" s="23"/>
      <c r="Q515" s="25"/>
      <c r="R515" s="23"/>
      <c r="S515" s="23"/>
      <c r="T515" s="23"/>
      <c r="U515" s="20" t="str">
        <f ca="1">IF(COUNTA(A515:T515)=0,"",IF(OR(A515="",B515="",C515="",E515="",G515="",H515="",J515="",K515="",L515="",M515=""),"Ошибка: заполните обязательные поля",IF(AND(LEFT(H515,7)&lt;&gt;"http://",LEFT(H515,8)&lt;&gt;"https://"),"Ошибка: некорректная ссылка",IF(COUNTIF($H$6:$H$1005,H515)&gt;1,"Ошибка: дубликат URL",IF(E515&gt;TODAY(),"Ошибка: дата публикации в будущем",IF(S515="Да","Ошибка: подтверждённый дубль",IF(S515="","Проверить: отметьте дубль",IF(S515="Нужно проверить","Проверить возможный дубль",IF(TODAY()-E515&gt;30,"Проверить: старше 30 дней",IF(COUNTIFS(#REF!,G515,#REF!,"Готово")=0,"Проверить источник","Готово"))))))))))</f>
        <v/>
      </c>
    </row>
    <row r="516" spans="1:21" ht="25.5" customHeight="1">
      <c r="A516" s="21"/>
      <c r="B516" s="22"/>
      <c r="C516" s="21"/>
      <c r="D516" s="23"/>
      <c r="E516" s="22"/>
      <c r="F516" s="22"/>
      <c r="G516" s="23"/>
      <c r="H516" s="24"/>
      <c r="I516" s="24"/>
      <c r="J516" s="23"/>
      <c r="K516" s="23"/>
      <c r="L516" s="23"/>
      <c r="M516" s="23"/>
      <c r="N516" s="23"/>
      <c r="O516" s="23"/>
      <c r="P516" s="23"/>
      <c r="Q516" s="25"/>
      <c r="R516" s="23"/>
      <c r="S516" s="23"/>
      <c r="T516" s="23"/>
      <c r="U516" s="20" t="str">
        <f ca="1">IF(COUNTA(A516:T516)=0,"",IF(OR(A516="",B516="",C516="",E516="",G516="",H516="",J516="",K516="",L516="",M516=""),"Ошибка: заполните обязательные поля",IF(AND(LEFT(H516,7)&lt;&gt;"http://",LEFT(H516,8)&lt;&gt;"https://"),"Ошибка: некорректная ссылка",IF(COUNTIF($H$6:$H$1005,H516)&gt;1,"Ошибка: дубликат URL",IF(E516&gt;TODAY(),"Ошибка: дата публикации в будущем",IF(S516="Да","Ошибка: подтверждённый дубль",IF(S516="","Проверить: отметьте дубль",IF(S516="Нужно проверить","Проверить возможный дубль",IF(TODAY()-E516&gt;30,"Проверить: старше 30 дней",IF(COUNTIFS(#REF!,G516,#REF!,"Готово")=0,"Проверить источник","Готово"))))))))))</f>
        <v/>
      </c>
    </row>
    <row r="517" spans="1:21" ht="25.5" customHeight="1">
      <c r="A517" s="21"/>
      <c r="B517" s="22"/>
      <c r="C517" s="21"/>
      <c r="D517" s="23"/>
      <c r="E517" s="22"/>
      <c r="F517" s="22"/>
      <c r="G517" s="23"/>
      <c r="H517" s="24"/>
      <c r="I517" s="24"/>
      <c r="J517" s="23"/>
      <c r="K517" s="23"/>
      <c r="L517" s="23"/>
      <c r="M517" s="23"/>
      <c r="N517" s="23"/>
      <c r="O517" s="23"/>
      <c r="P517" s="23"/>
      <c r="Q517" s="25"/>
      <c r="R517" s="23"/>
      <c r="S517" s="23"/>
      <c r="T517" s="23"/>
      <c r="U517" s="20" t="str">
        <f ca="1">IF(COUNTA(A517:T517)=0,"",IF(OR(A517="",B517="",C517="",E517="",G517="",H517="",J517="",K517="",L517="",M517=""),"Ошибка: заполните обязательные поля",IF(AND(LEFT(H517,7)&lt;&gt;"http://",LEFT(H517,8)&lt;&gt;"https://"),"Ошибка: некорректная ссылка",IF(COUNTIF($H$6:$H$1005,H517)&gt;1,"Ошибка: дубликат URL",IF(E517&gt;TODAY(),"Ошибка: дата публикации в будущем",IF(S517="Да","Ошибка: подтверждённый дубль",IF(S517="","Проверить: отметьте дубль",IF(S517="Нужно проверить","Проверить возможный дубль",IF(TODAY()-E517&gt;30,"Проверить: старше 30 дней",IF(COUNTIFS(#REF!,G517,#REF!,"Готово")=0,"Проверить источник","Готово"))))))))))</f>
        <v/>
      </c>
    </row>
    <row r="518" spans="1:21" ht="25.5" customHeight="1">
      <c r="A518" s="21"/>
      <c r="B518" s="22"/>
      <c r="C518" s="21"/>
      <c r="D518" s="23"/>
      <c r="E518" s="22"/>
      <c r="F518" s="22"/>
      <c r="G518" s="23"/>
      <c r="H518" s="24"/>
      <c r="I518" s="24"/>
      <c r="J518" s="23"/>
      <c r="K518" s="23"/>
      <c r="L518" s="23"/>
      <c r="M518" s="23"/>
      <c r="N518" s="23"/>
      <c r="O518" s="23"/>
      <c r="P518" s="23"/>
      <c r="Q518" s="25"/>
      <c r="R518" s="23"/>
      <c r="S518" s="23"/>
      <c r="T518" s="23"/>
      <c r="U518" s="20" t="str">
        <f ca="1">IF(COUNTA(A518:T518)=0,"",IF(OR(A518="",B518="",C518="",E518="",G518="",H518="",J518="",K518="",L518="",M518=""),"Ошибка: заполните обязательные поля",IF(AND(LEFT(H518,7)&lt;&gt;"http://",LEFT(H518,8)&lt;&gt;"https://"),"Ошибка: некорректная ссылка",IF(COUNTIF($H$6:$H$1005,H518)&gt;1,"Ошибка: дубликат URL",IF(E518&gt;TODAY(),"Ошибка: дата публикации в будущем",IF(S518="Да","Ошибка: подтверждённый дубль",IF(S518="","Проверить: отметьте дубль",IF(S518="Нужно проверить","Проверить возможный дубль",IF(TODAY()-E518&gt;30,"Проверить: старше 30 дней",IF(COUNTIFS(#REF!,G518,#REF!,"Готово")=0,"Проверить источник","Готово"))))))))))</f>
        <v/>
      </c>
    </row>
    <row r="519" spans="1:21" ht="25.5" customHeight="1">
      <c r="A519" s="21"/>
      <c r="B519" s="22"/>
      <c r="C519" s="21"/>
      <c r="D519" s="23"/>
      <c r="E519" s="22"/>
      <c r="F519" s="22"/>
      <c r="G519" s="23"/>
      <c r="H519" s="24"/>
      <c r="I519" s="24"/>
      <c r="J519" s="23"/>
      <c r="K519" s="23"/>
      <c r="L519" s="23"/>
      <c r="M519" s="23"/>
      <c r="N519" s="23"/>
      <c r="O519" s="23"/>
      <c r="P519" s="23"/>
      <c r="Q519" s="25"/>
      <c r="R519" s="23"/>
      <c r="S519" s="23"/>
      <c r="T519" s="23"/>
      <c r="U519" s="20" t="str">
        <f ca="1">IF(COUNTA(A519:T519)=0,"",IF(OR(A519="",B519="",C519="",E519="",G519="",H519="",J519="",K519="",L519="",M519=""),"Ошибка: заполните обязательные поля",IF(AND(LEFT(H519,7)&lt;&gt;"http://",LEFT(H519,8)&lt;&gt;"https://"),"Ошибка: некорректная ссылка",IF(COUNTIF($H$6:$H$1005,H519)&gt;1,"Ошибка: дубликат URL",IF(E519&gt;TODAY(),"Ошибка: дата публикации в будущем",IF(S519="Да","Ошибка: подтверждённый дубль",IF(S519="","Проверить: отметьте дубль",IF(S519="Нужно проверить","Проверить возможный дубль",IF(TODAY()-E519&gt;30,"Проверить: старше 30 дней",IF(COUNTIFS(#REF!,G519,#REF!,"Готово")=0,"Проверить источник","Готово"))))))))))</f>
        <v/>
      </c>
    </row>
    <row r="520" spans="1:21" ht="25.5" customHeight="1">
      <c r="A520" s="21"/>
      <c r="B520" s="22"/>
      <c r="C520" s="21"/>
      <c r="D520" s="23"/>
      <c r="E520" s="22"/>
      <c r="F520" s="22"/>
      <c r="G520" s="23"/>
      <c r="H520" s="24"/>
      <c r="I520" s="24"/>
      <c r="J520" s="23"/>
      <c r="K520" s="23"/>
      <c r="L520" s="23"/>
      <c r="M520" s="23"/>
      <c r="N520" s="23"/>
      <c r="O520" s="23"/>
      <c r="P520" s="23"/>
      <c r="Q520" s="25"/>
      <c r="R520" s="23"/>
      <c r="S520" s="23"/>
      <c r="T520" s="23"/>
      <c r="U520" s="20" t="str">
        <f ca="1">IF(COUNTA(A520:T520)=0,"",IF(OR(A520="",B520="",C520="",E520="",G520="",H520="",J520="",K520="",L520="",M520=""),"Ошибка: заполните обязательные поля",IF(AND(LEFT(H520,7)&lt;&gt;"http://",LEFT(H520,8)&lt;&gt;"https://"),"Ошибка: некорректная ссылка",IF(COUNTIF($H$6:$H$1005,H520)&gt;1,"Ошибка: дубликат URL",IF(E520&gt;TODAY(),"Ошибка: дата публикации в будущем",IF(S520="Да","Ошибка: подтверждённый дубль",IF(S520="","Проверить: отметьте дубль",IF(S520="Нужно проверить","Проверить возможный дубль",IF(TODAY()-E520&gt;30,"Проверить: старше 30 дней",IF(COUNTIFS(#REF!,G520,#REF!,"Готово")=0,"Проверить источник","Готово"))))))))))</f>
        <v/>
      </c>
    </row>
    <row r="521" spans="1:21" ht="25.5" customHeight="1">
      <c r="A521" s="21"/>
      <c r="B521" s="22"/>
      <c r="C521" s="21"/>
      <c r="D521" s="23"/>
      <c r="E521" s="22"/>
      <c r="F521" s="22"/>
      <c r="G521" s="23"/>
      <c r="H521" s="24"/>
      <c r="I521" s="24"/>
      <c r="J521" s="23"/>
      <c r="K521" s="23"/>
      <c r="L521" s="23"/>
      <c r="M521" s="23"/>
      <c r="N521" s="23"/>
      <c r="O521" s="23"/>
      <c r="P521" s="23"/>
      <c r="Q521" s="25"/>
      <c r="R521" s="23"/>
      <c r="S521" s="23"/>
      <c r="T521" s="23"/>
      <c r="U521" s="20" t="str">
        <f ca="1">IF(COUNTA(A521:T521)=0,"",IF(OR(A521="",B521="",C521="",E521="",G521="",H521="",J521="",K521="",L521="",M521=""),"Ошибка: заполните обязательные поля",IF(AND(LEFT(H521,7)&lt;&gt;"http://",LEFT(H521,8)&lt;&gt;"https://"),"Ошибка: некорректная ссылка",IF(COUNTIF($H$6:$H$1005,H521)&gt;1,"Ошибка: дубликат URL",IF(E521&gt;TODAY(),"Ошибка: дата публикации в будущем",IF(S521="Да","Ошибка: подтверждённый дубль",IF(S521="","Проверить: отметьте дубль",IF(S521="Нужно проверить","Проверить возможный дубль",IF(TODAY()-E521&gt;30,"Проверить: старше 30 дней",IF(COUNTIFS(#REF!,G521,#REF!,"Готово")=0,"Проверить источник","Готово"))))))))))</f>
        <v/>
      </c>
    </row>
    <row r="522" spans="1:21" ht="25.5" customHeight="1">
      <c r="A522" s="21"/>
      <c r="B522" s="22"/>
      <c r="C522" s="21"/>
      <c r="D522" s="23"/>
      <c r="E522" s="22"/>
      <c r="F522" s="22"/>
      <c r="G522" s="23"/>
      <c r="H522" s="24"/>
      <c r="I522" s="24"/>
      <c r="J522" s="23"/>
      <c r="K522" s="23"/>
      <c r="L522" s="23"/>
      <c r="M522" s="23"/>
      <c r="N522" s="23"/>
      <c r="O522" s="23"/>
      <c r="P522" s="23"/>
      <c r="Q522" s="25"/>
      <c r="R522" s="23"/>
      <c r="S522" s="23"/>
      <c r="T522" s="23"/>
      <c r="U522" s="20" t="str">
        <f ca="1">IF(COUNTA(A522:T522)=0,"",IF(OR(A522="",B522="",C522="",E522="",G522="",H522="",J522="",K522="",L522="",M522=""),"Ошибка: заполните обязательные поля",IF(AND(LEFT(H522,7)&lt;&gt;"http://",LEFT(H522,8)&lt;&gt;"https://"),"Ошибка: некорректная ссылка",IF(COUNTIF($H$6:$H$1005,H522)&gt;1,"Ошибка: дубликат URL",IF(E522&gt;TODAY(),"Ошибка: дата публикации в будущем",IF(S522="Да","Ошибка: подтверждённый дубль",IF(S522="","Проверить: отметьте дубль",IF(S522="Нужно проверить","Проверить возможный дубль",IF(TODAY()-E522&gt;30,"Проверить: старше 30 дней",IF(COUNTIFS(#REF!,G522,#REF!,"Готово")=0,"Проверить источник","Готово"))))))))))</f>
        <v/>
      </c>
    </row>
    <row r="523" spans="1:21" ht="25.5" customHeight="1">
      <c r="A523" s="21"/>
      <c r="B523" s="22"/>
      <c r="C523" s="21"/>
      <c r="D523" s="23"/>
      <c r="E523" s="22"/>
      <c r="F523" s="22"/>
      <c r="G523" s="23"/>
      <c r="H523" s="24"/>
      <c r="I523" s="24"/>
      <c r="J523" s="23"/>
      <c r="K523" s="23"/>
      <c r="L523" s="23"/>
      <c r="M523" s="23"/>
      <c r="N523" s="23"/>
      <c r="O523" s="23"/>
      <c r="P523" s="23"/>
      <c r="Q523" s="25"/>
      <c r="R523" s="23"/>
      <c r="S523" s="23"/>
      <c r="T523" s="23"/>
      <c r="U523" s="20" t="str">
        <f ca="1">IF(COUNTA(A523:T523)=0,"",IF(OR(A523="",B523="",C523="",E523="",G523="",H523="",J523="",K523="",L523="",M523=""),"Ошибка: заполните обязательные поля",IF(AND(LEFT(H523,7)&lt;&gt;"http://",LEFT(H523,8)&lt;&gt;"https://"),"Ошибка: некорректная ссылка",IF(COUNTIF($H$6:$H$1005,H523)&gt;1,"Ошибка: дубликат URL",IF(E523&gt;TODAY(),"Ошибка: дата публикации в будущем",IF(S523="Да","Ошибка: подтверждённый дубль",IF(S523="","Проверить: отметьте дубль",IF(S523="Нужно проверить","Проверить возможный дубль",IF(TODAY()-E523&gt;30,"Проверить: старше 30 дней",IF(COUNTIFS(#REF!,G523,#REF!,"Готово")=0,"Проверить источник","Готово"))))))))))</f>
        <v/>
      </c>
    </row>
    <row r="524" spans="1:21" ht="25.5" customHeight="1">
      <c r="A524" s="21"/>
      <c r="B524" s="22"/>
      <c r="C524" s="21"/>
      <c r="D524" s="23"/>
      <c r="E524" s="22"/>
      <c r="F524" s="22"/>
      <c r="G524" s="23"/>
      <c r="H524" s="24"/>
      <c r="I524" s="24"/>
      <c r="J524" s="23"/>
      <c r="K524" s="23"/>
      <c r="L524" s="23"/>
      <c r="M524" s="23"/>
      <c r="N524" s="23"/>
      <c r="O524" s="23"/>
      <c r="P524" s="23"/>
      <c r="Q524" s="25"/>
      <c r="R524" s="23"/>
      <c r="S524" s="23"/>
      <c r="T524" s="23"/>
      <c r="U524" s="20" t="str">
        <f ca="1">IF(COUNTA(A524:T524)=0,"",IF(OR(A524="",B524="",C524="",E524="",G524="",H524="",J524="",K524="",L524="",M524=""),"Ошибка: заполните обязательные поля",IF(AND(LEFT(H524,7)&lt;&gt;"http://",LEFT(H524,8)&lt;&gt;"https://"),"Ошибка: некорректная ссылка",IF(COUNTIF($H$6:$H$1005,H524)&gt;1,"Ошибка: дубликат URL",IF(E524&gt;TODAY(),"Ошибка: дата публикации в будущем",IF(S524="Да","Ошибка: подтверждённый дубль",IF(S524="","Проверить: отметьте дубль",IF(S524="Нужно проверить","Проверить возможный дубль",IF(TODAY()-E524&gt;30,"Проверить: старше 30 дней",IF(COUNTIFS(#REF!,G524,#REF!,"Готово")=0,"Проверить источник","Готово"))))))))))</f>
        <v/>
      </c>
    </row>
    <row r="525" spans="1:21" ht="25.5" customHeight="1">
      <c r="A525" s="21"/>
      <c r="B525" s="22"/>
      <c r="C525" s="21"/>
      <c r="D525" s="23"/>
      <c r="E525" s="22"/>
      <c r="F525" s="22"/>
      <c r="G525" s="23"/>
      <c r="H525" s="24"/>
      <c r="I525" s="24"/>
      <c r="J525" s="23"/>
      <c r="K525" s="23"/>
      <c r="L525" s="23"/>
      <c r="M525" s="23"/>
      <c r="N525" s="23"/>
      <c r="O525" s="23"/>
      <c r="P525" s="23"/>
      <c r="Q525" s="25"/>
      <c r="R525" s="23"/>
      <c r="S525" s="23"/>
      <c r="T525" s="23"/>
      <c r="U525" s="20" t="str">
        <f ca="1">IF(COUNTA(A525:T525)=0,"",IF(OR(A525="",B525="",C525="",E525="",G525="",H525="",J525="",K525="",L525="",M525=""),"Ошибка: заполните обязательные поля",IF(AND(LEFT(H525,7)&lt;&gt;"http://",LEFT(H525,8)&lt;&gt;"https://"),"Ошибка: некорректная ссылка",IF(COUNTIF($H$6:$H$1005,H525)&gt;1,"Ошибка: дубликат URL",IF(E525&gt;TODAY(),"Ошибка: дата публикации в будущем",IF(S525="Да","Ошибка: подтверждённый дубль",IF(S525="","Проверить: отметьте дубль",IF(S525="Нужно проверить","Проверить возможный дубль",IF(TODAY()-E525&gt;30,"Проверить: старше 30 дней",IF(COUNTIFS(#REF!,G525,#REF!,"Готово")=0,"Проверить источник","Готово"))))))))))</f>
        <v/>
      </c>
    </row>
    <row r="526" spans="1:21" ht="25.5" customHeight="1">
      <c r="A526" s="21"/>
      <c r="B526" s="22"/>
      <c r="C526" s="21"/>
      <c r="D526" s="23"/>
      <c r="E526" s="22"/>
      <c r="F526" s="22"/>
      <c r="G526" s="23"/>
      <c r="H526" s="24"/>
      <c r="I526" s="24"/>
      <c r="J526" s="23"/>
      <c r="K526" s="23"/>
      <c r="L526" s="23"/>
      <c r="M526" s="23"/>
      <c r="N526" s="23"/>
      <c r="O526" s="23"/>
      <c r="P526" s="23"/>
      <c r="Q526" s="25"/>
      <c r="R526" s="23"/>
      <c r="S526" s="23"/>
      <c r="T526" s="23"/>
      <c r="U526" s="20" t="str">
        <f ca="1">IF(COUNTA(A526:T526)=0,"",IF(OR(A526="",B526="",C526="",E526="",G526="",H526="",J526="",K526="",L526="",M526=""),"Ошибка: заполните обязательные поля",IF(AND(LEFT(H526,7)&lt;&gt;"http://",LEFT(H526,8)&lt;&gt;"https://"),"Ошибка: некорректная ссылка",IF(COUNTIF($H$6:$H$1005,H526)&gt;1,"Ошибка: дубликат URL",IF(E526&gt;TODAY(),"Ошибка: дата публикации в будущем",IF(S526="Да","Ошибка: подтверждённый дубль",IF(S526="","Проверить: отметьте дубль",IF(S526="Нужно проверить","Проверить возможный дубль",IF(TODAY()-E526&gt;30,"Проверить: старше 30 дней",IF(COUNTIFS(#REF!,G526,#REF!,"Готово")=0,"Проверить источник","Готово"))))))))))</f>
        <v/>
      </c>
    </row>
    <row r="527" spans="1:21" ht="25.5" customHeight="1">
      <c r="A527" s="21"/>
      <c r="B527" s="22"/>
      <c r="C527" s="21"/>
      <c r="D527" s="23"/>
      <c r="E527" s="22"/>
      <c r="F527" s="22"/>
      <c r="G527" s="23"/>
      <c r="H527" s="24"/>
      <c r="I527" s="24"/>
      <c r="J527" s="23"/>
      <c r="K527" s="23"/>
      <c r="L527" s="23"/>
      <c r="M527" s="23"/>
      <c r="N527" s="23"/>
      <c r="O527" s="23"/>
      <c r="P527" s="23"/>
      <c r="Q527" s="25"/>
      <c r="R527" s="23"/>
      <c r="S527" s="23"/>
      <c r="T527" s="23"/>
      <c r="U527" s="20" t="str">
        <f ca="1">IF(COUNTA(A527:T527)=0,"",IF(OR(A527="",B527="",C527="",E527="",G527="",H527="",J527="",K527="",L527="",M527=""),"Ошибка: заполните обязательные поля",IF(AND(LEFT(H527,7)&lt;&gt;"http://",LEFT(H527,8)&lt;&gt;"https://"),"Ошибка: некорректная ссылка",IF(COUNTIF($H$6:$H$1005,H527)&gt;1,"Ошибка: дубликат URL",IF(E527&gt;TODAY(),"Ошибка: дата публикации в будущем",IF(S527="Да","Ошибка: подтверждённый дубль",IF(S527="","Проверить: отметьте дубль",IF(S527="Нужно проверить","Проверить возможный дубль",IF(TODAY()-E527&gt;30,"Проверить: старше 30 дней",IF(COUNTIFS(#REF!,G527,#REF!,"Готово")=0,"Проверить источник","Готово"))))))))))</f>
        <v/>
      </c>
    </row>
    <row r="528" spans="1:21" ht="25.5" customHeight="1">
      <c r="A528" s="21"/>
      <c r="B528" s="22"/>
      <c r="C528" s="21"/>
      <c r="D528" s="23"/>
      <c r="E528" s="22"/>
      <c r="F528" s="22"/>
      <c r="G528" s="23"/>
      <c r="H528" s="24"/>
      <c r="I528" s="24"/>
      <c r="J528" s="23"/>
      <c r="K528" s="23"/>
      <c r="L528" s="23"/>
      <c r="M528" s="23"/>
      <c r="N528" s="23"/>
      <c r="O528" s="23"/>
      <c r="P528" s="23"/>
      <c r="Q528" s="25"/>
      <c r="R528" s="23"/>
      <c r="S528" s="23"/>
      <c r="T528" s="23"/>
      <c r="U528" s="20" t="str">
        <f ca="1">IF(COUNTA(A528:T528)=0,"",IF(OR(A528="",B528="",C528="",E528="",G528="",H528="",J528="",K528="",L528="",M528=""),"Ошибка: заполните обязательные поля",IF(AND(LEFT(H528,7)&lt;&gt;"http://",LEFT(H528,8)&lt;&gt;"https://"),"Ошибка: некорректная ссылка",IF(COUNTIF($H$6:$H$1005,H528)&gt;1,"Ошибка: дубликат URL",IF(E528&gt;TODAY(),"Ошибка: дата публикации в будущем",IF(S528="Да","Ошибка: подтверждённый дубль",IF(S528="","Проверить: отметьте дубль",IF(S528="Нужно проверить","Проверить возможный дубль",IF(TODAY()-E528&gt;30,"Проверить: старше 30 дней",IF(COUNTIFS(#REF!,G528,#REF!,"Готово")=0,"Проверить источник","Готово"))))))))))</f>
        <v/>
      </c>
    </row>
    <row r="529" spans="1:21" ht="25.5" customHeight="1">
      <c r="A529" s="21"/>
      <c r="B529" s="22"/>
      <c r="C529" s="21"/>
      <c r="D529" s="23"/>
      <c r="E529" s="22"/>
      <c r="F529" s="22"/>
      <c r="G529" s="23"/>
      <c r="H529" s="24"/>
      <c r="I529" s="24"/>
      <c r="J529" s="23"/>
      <c r="K529" s="23"/>
      <c r="L529" s="23"/>
      <c r="M529" s="23"/>
      <c r="N529" s="23"/>
      <c r="O529" s="23"/>
      <c r="P529" s="23"/>
      <c r="Q529" s="25"/>
      <c r="R529" s="23"/>
      <c r="S529" s="23"/>
      <c r="T529" s="23"/>
      <c r="U529" s="20" t="str">
        <f ca="1">IF(COUNTA(A529:T529)=0,"",IF(OR(A529="",B529="",C529="",E529="",G529="",H529="",J529="",K529="",L529="",M529=""),"Ошибка: заполните обязательные поля",IF(AND(LEFT(H529,7)&lt;&gt;"http://",LEFT(H529,8)&lt;&gt;"https://"),"Ошибка: некорректная ссылка",IF(COUNTIF($H$6:$H$1005,H529)&gt;1,"Ошибка: дубликат URL",IF(E529&gt;TODAY(),"Ошибка: дата публикации в будущем",IF(S529="Да","Ошибка: подтверждённый дубль",IF(S529="","Проверить: отметьте дубль",IF(S529="Нужно проверить","Проверить возможный дубль",IF(TODAY()-E529&gt;30,"Проверить: старше 30 дней",IF(COUNTIFS(#REF!,G529,#REF!,"Готово")=0,"Проверить источник","Готово"))))))))))</f>
        <v/>
      </c>
    </row>
    <row r="530" spans="1:21" ht="25.5" customHeight="1">
      <c r="A530" s="21"/>
      <c r="B530" s="22"/>
      <c r="C530" s="21"/>
      <c r="D530" s="23"/>
      <c r="E530" s="22"/>
      <c r="F530" s="22"/>
      <c r="G530" s="23"/>
      <c r="H530" s="24"/>
      <c r="I530" s="24"/>
      <c r="J530" s="23"/>
      <c r="K530" s="23"/>
      <c r="L530" s="23"/>
      <c r="M530" s="23"/>
      <c r="N530" s="23"/>
      <c r="O530" s="23"/>
      <c r="P530" s="23"/>
      <c r="Q530" s="25"/>
      <c r="R530" s="23"/>
      <c r="S530" s="23"/>
      <c r="T530" s="23"/>
      <c r="U530" s="20" t="str">
        <f ca="1">IF(COUNTA(A530:T530)=0,"",IF(OR(A530="",B530="",C530="",E530="",G530="",H530="",J530="",K530="",L530="",M530=""),"Ошибка: заполните обязательные поля",IF(AND(LEFT(H530,7)&lt;&gt;"http://",LEFT(H530,8)&lt;&gt;"https://"),"Ошибка: некорректная ссылка",IF(COUNTIF($H$6:$H$1005,H530)&gt;1,"Ошибка: дубликат URL",IF(E530&gt;TODAY(),"Ошибка: дата публикации в будущем",IF(S530="Да","Ошибка: подтверждённый дубль",IF(S530="","Проверить: отметьте дубль",IF(S530="Нужно проверить","Проверить возможный дубль",IF(TODAY()-E530&gt;30,"Проверить: старше 30 дней",IF(COUNTIFS(#REF!,G530,#REF!,"Готово")=0,"Проверить источник","Готово"))))))))))</f>
        <v/>
      </c>
    </row>
    <row r="531" spans="1:21" ht="25.5" customHeight="1">
      <c r="A531" s="21"/>
      <c r="B531" s="22"/>
      <c r="C531" s="21"/>
      <c r="D531" s="23"/>
      <c r="E531" s="22"/>
      <c r="F531" s="22"/>
      <c r="G531" s="23"/>
      <c r="H531" s="24"/>
      <c r="I531" s="24"/>
      <c r="J531" s="23"/>
      <c r="K531" s="23"/>
      <c r="L531" s="23"/>
      <c r="M531" s="23"/>
      <c r="N531" s="23"/>
      <c r="O531" s="23"/>
      <c r="P531" s="23"/>
      <c r="Q531" s="25"/>
      <c r="R531" s="23"/>
      <c r="S531" s="23"/>
      <c r="T531" s="23"/>
      <c r="U531" s="20" t="str">
        <f ca="1">IF(COUNTA(A531:T531)=0,"",IF(OR(A531="",B531="",C531="",E531="",G531="",H531="",J531="",K531="",L531="",M531=""),"Ошибка: заполните обязательные поля",IF(AND(LEFT(H531,7)&lt;&gt;"http://",LEFT(H531,8)&lt;&gt;"https://"),"Ошибка: некорректная ссылка",IF(COUNTIF($H$6:$H$1005,H531)&gt;1,"Ошибка: дубликат URL",IF(E531&gt;TODAY(),"Ошибка: дата публикации в будущем",IF(S531="Да","Ошибка: подтверждённый дубль",IF(S531="","Проверить: отметьте дубль",IF(S531="Нужно проверить","Проверить возможный дубль",IF(TODAY()-E531&gt;30,"Проверить: старше 30 дней",IF(COUNTIFS(#REF!,G531,#REF!,"Готово")=0,"Проверить источник","Готово"))))))))))</f>
        <v/>
      </c>
    </row>
    <row r="532" spans="1:21" ht="25.5" customHeight="1">
      <c r="A532" s="21"/>
      <c r="B532" s="22"/>
      <c r="C532" s="21"/>
      <c r="D532" s="23"/>
      <c r="E532" s="22"/>
      <c r="F532" s="22"/>
      <c r="G532" s="23"/>
      <c r="H532" s="24"/>
      <c r="I532" s="24"/>
      <c r="J532" s="23"/>
      <c r="K532" s="23"/>
      <c r="L532" s="23"/>
      <c r="M532" s="23"/>
      <c r="N532" s="23"/>
      <c r="O532" s="23"/>
      <c r="P532" s="23"/>
      <c r="Q532" s="25"/>
      <c r="R532" s="23"/>
      <c r="S532" s="23"/>
      <c r="T532" s="23"/>
      <c r="U532" s="20" t="str">
        <f ca="1">IF(COUNTA(A532:T532)=0,"",IF(OR(A532="",B532="",C532="",E532="",G532="",H532="",J532="",K532="",L532="",M532=""),"Ошибка: заполните обязательные поля",IF(AND(LEFT(H532,7)&lt;&gt;"http://",LEFT(H532,8)&lt;&gt;"https://"),"Ошибка: некорректная ссылка",IF(COUNTIF($H$6:$H$1005,H532)&gt;1,"Ошибка: дубликат URL",IF(E532&gt;TODAY(),"Ошибка: дата публикации в будущем",IF(S532="Да","Ошибка: подтверждённый дубль",IF(S532="","Проверить: отметьте дубль",IF(S532="Нужно проверить","Проверить возможный дубль",IF(TODAY()-E532&gt;30,"Проверить: старше 30 дней",IF(COUNTIFS(#REF!,G532,#REF!,"Готово")=0,"Проверить источник","Готово"))))))))))</f>
        <v/>
      </c>
    </row>
    <row r="533" spans="1:21" ht="25.5" customHeight="1">
      <c r="A533" s="21"/>
      <c r="B533" s="22"/>
      <c r="C533" s="21"/>
      <c r="D533" s="23"/>
      <c r="E533" s="22"/>
      <c r="F533" s="22"/>
      <c r="G533" s="23"/>
      <c r="H533" s="24"/>
      <c r="I533" s="24"/>
      <c r="J533" s="23"/>
      <c r="K533" s="23"/>
      <c r="L533" s="23"/>
      <c r="M533" s="23"/>
      <c r="N533" s="23"/>
      <c r="O533" s="23"/>
      <c r="P533" s="23"/>
      <c r="Q533" s="25"/>
      <c r="R533" s="23"/>
      <c r="S533" s="23"/>
      <c r="T533" s="23"/>
      <c r="U533" s="20" t="str">
        <f ca="1">IF(COUNTA(A533:T533)=0,"",IF(OR(A533="",B533="",C533="",E533="",G533="",H533="",J533="",K533="",L533="",M533=""),"Ошибка: заполните обязательные поля",IF(AND(LEFT(H533,7)&lt;&gt;"http://",LEFT(H533,8)&lt;&gt;"https://"),"Ошибка: некорректная ссылка",IF(COUNTIF($H$6:$H$1005,H533)&gt;1,"Ошибка: дубликат URL",IF(E533&gt;TODAY(),"Ошибка: дата публикации в будущем",IF(S533="Да","Ошибка: подтверждённый дубль",IF(S533="","Проверить: отметьте дубль",IF(S533="Нужно проверить","Проверить возможный дубль",IF(TODAY()-E533&gt;30,"Проверить: старше 30 дней",IF(COUNTIFS(#REF!,G533,#REF!,"Готово")=0,"Проверить источник","Готово"))))))))))</f>
        <v/>
      </c>
    </row>
    <row r="534" spans="1:21" ht="25.5" customHeight="1">
      <c r="A534" s="21"/>
      <c r="B534" s="22"/>
      <c r="C534" s="21"/>
      <c r="D534" s="23"/>
      <c r="E534" s="22"/>
      <c r="F534" s="22"/>
      <c r="G534" s="23"/>
      <c r="H534" s="24"/>
      <c r="I534" s="24"/>
      <c r="J534" s="23"/>
      <c r="K534" s="23"/>
      <c r="L534" s="23"/>
      <c r="M534" s="23"/>
      <c r="N534" s="23"/>
      <c r="O534" s="23"/>
      <c r="P534" s="23"/>
      <c r="Q534" s="25"/>
      <c r="R534" s="23"/>
      <c r="S534" s="23"/>
      <c r="T534" s="23"/>
      <c r="U534" s="20" t="str">
        <f ca="1">IF(COUNTA(A534:T534)=0,"",IF(OR(A534="",B534="",C534="",E534="",G534="",H534="",J534="",K534="",L534="",M534=""),"Ошибка: заполните обязательные поля",IF(AND(LEFT(H534,7)&lt;&gt;"http://",LEFT(H534,8)&lt;&gt;"https://"),"Ошибка: некорректная ссылка",IF(COUNTIF($H$6:$H$1005,H534)&gt;1,"Ошибка: дубликат URL",IF(E534&gt;TODAY(),"Ошибка: дата публикации в будущем",IF(S534="Да","Ошибка: подтверждённый дубль",IF(S534="","Проверить: отметьте дубль",IF(S534="Нужно проверить","Проверить возможный дубль",IF(TODAY()-E534&gt;30,"Проверить: старше 30 дней",IF(COUNTIFS(#REF!,G534,#REF!,"Готово")=0,"Проверить источник","Готово"))))))))))</f>
        <v/>
      </c>
    </row>
    <row r="535" spans="1:21" ht="25.5" customHeight="1">
      <c r="A535" s="21"/>
      <c r="B535" s="22"/>
      <c r="C535" s="21"/>
      <c r="D535" s="23"/>
      <c r="E535" s="22"/>
      <c r="F535" s="22"/>
      <c r="G535" s="23"/>
      <c r="H535" s="24"/>
      <c r="I535" s="24"/>
      <c r="J535" s="23"/>
      <c r="K535" s="23"/>
      <c r="L535" s="23"/>
      <c r="M535" s="23"/>
      <c r="N535" s="23"/>
      <c r="O535" s="23"/>
      <c r="P535" s="23"/>
      <c r="Q535" s="25"/>
      <c r="R535" s="23"/>
      <c r="S535" s="23"/>
      <c r="T535" s="23"/>
      <c r="U535" s="20" t="str">
        <f ca="1">IF(COUNTA(A535:T535)=0,"",IF(OR(A535="",B535="",C535="",E535="",G535="",H535="",J535="",K535="",L535="",M535=""),"Ошибка: заполните обязательные поля",IF(AND(LEFT(H535,7)&lt;&gt;"http://",LEFT(H535,8)&lt;&gt;"https://"),"Ошибка: некорректная ссылка",IF(COUNTIF($H$6:$H$1005,H535)&gt;1,"Ошибка: дубликат URL",IF(E535&gt;TODAY(),"Ошибка: дата публикации в будущем",IF(S535="Да","Ошибка: подтверждённый дубль",IF(S535="","Проверить: отметьте дубль",IF(S535="Нужно проверить","Проверить возможный дубль",IF(TODAY()-E535&gt;30,"Проверить: старше 30 дней",IF(COUNTIFS(#REF!,G535,#REF!,"Готово")=0,"Проверить источник","Готово"))))))))))</f>
        <v/>
      </c>
    </row>
    <row r="536" spans="1:21" ht="25.5" customHeight="1">
      <c r="A536" s="21"/>
      <c r="B536" s="22"/>
      <c r="C536" s="21"/>
      <c r="D536" s="23"/>
      <c r="E536" s="22"/>
      <c r="F536" s="22"/>
      <c r="G536" s="23"/>
      <c r="H536" s="24"/>
      <c r="I536" s="24"/>
      <c r="J536" s="23"/>
      <c r="K536" s="23"/>
      <c r="L536" s="23"/>
      <c r="M536" s="23"/>
      <c r="N536" s="23"/>
      <c r="O536" s="23"/>
      <c r="P536" s="23"/>
      <c r="Q536" s="25"/>
      <c r="R536" s="23"/>
      <c r="S536" s="23"/>
      <c r="T536" s="23"/>
      <c r="U536" s="20" t="str">
        <f ca="1">IF(COUNTA(A536:T536)=0,"",IF(OR(A536="",B536="",C536="",E536="",G536="",H536="",J536="",K536="",L536="",M536=""),"Ошибка: заполните обязательные поля",IF(AND(LEFT(H536,7)&lt;&gt;"http://",LEFT(H536,8)&lt;&gt;"https://"),"Ошибка: некорректная ссылка",IF(COUNTIF($H$6:$H$1005,H536)&gt;1,"Ошибка: дубликат URL",IF(E536&gt;TODAY(),"Ошибка: дата публикации в будущем",IF(S536="Да","Ошибка: подтверждённый дубль",IF(S536="","Проверить: отметьте дубль",IF(S536="Нужно проверить","Проверить возможный дубль",IF(TODAY()-E536&gt;30,"Проверить: старше 30 дней",IF(COUNTIFS(#REF!,G536,#REF!,"Готово")=0,"Проверить источник","Готово"))))))))))</f>
        <v/>
      </c>
    </row>
    <row r="537" spans="1:21" ht="25.5" customHeight="1">
      <c r="A537" s="21"/>
      <c r="B537" s="22"/>
      <c r="C537" s="21"/>
      <c r="D537" s="23"/>
      <c r="E537" s="22"/>
      <c r="F537" s="22"/>
      <c r="G537" s="23"/>
      <c r="H537" s="24"/>
      <c r="I537" s="24"/>
      <c r="J537" s="23"/>
      <c r="K537" s="23"/>
      <c r="L537" s="23"/>
      <c r="M537" s="23"/>
      <c r="N537" s="23"/>
      <c r="O537" s="23"/>
      <c r="P537" s="23"/>
      <c r="Q537" s="25"/>
      <c r="R537" s="23"/>
      <c r="S537" s="23"/>
      <c r="T537" s="23"/>
      <c r="U537" s="20" t="str">
        <f ca="1">IF(COUNTA(A537:T537)=0,"",IF(OR(A537="",B537="",C537="",E537="",G537="",H537="",J537="",K537="",L537="",M537=""),"Ошибка: заполните обязательные поля",IF(AND(LEFT(H537,7)&lt;&gt;"http://",LEFT(H537,8)&lt;&gt;"https://"),"Ошибка: некорректная ссылка",IF(COUNTIF($H$6:$H$1005,H537)&gt;1,"Ошибка: дубликат URL",IF(E537&gt;TODAY(),"Ошибка: дата публикации в будущем",IF(S537="Да","Ошибка: подтверждённый дубль",IF(S537="","Проверить: отметьте дубль",IF(S537="Нужно проверить","Проверить возможный дубль",IF(TODAY()-E537&gt;30,"Проверить: старше 30 дней",IF(COUNTIFS(#REF!,G537,#REF!,"Готово")=0,"Проверить источник","Готово"))))))))))</f>
        <v/>
      </c>
    </row>
    <row r="538" spans="1:21" ht="25.5" customHeight="1">
      <c r="A538" s="21"/>
      <c r="B538" s="22"/>
      <c r="C538" s="21"/>
      <c r="D538" s="23"/>
      <c r="E538" s="22"/>
      <c r="F538" s="22"/>
      <c r="G538" s="23"/>
      <c r="H538" s="24"/>
      <c r="I538" s="24"/>
      <c r="J538" s="23"/>
      <c r="K538" s="23"/>
      <c r="L538" s="23"/>
      <c r="M538" s="23"/>
      <c r="N538" s="23"/>
      <c r="O538" s="23"/>
      <c r="P538" s="23"/>
      <c r="Q538" s="25"/>
      <c r="R538" s="23"/>
      <c r="S538" s="23"/>
      <c r="T538" s="23"/>
      <c r="U538" s="20" t="str">
        <f ca="1">IF(COUNTA(A538:T538)=0,"",IF(OR(A538="",B538="",C538="",E538="",G538="",H538="",J538="",K538="",L538="",M538=""),"Ошибка: заполните обязательные поля",IF(AND(LEFT(H538,7)&lt;&gt;"http://",LEFT(H538,8)&lt;&gt;"https://"),"Ошибка: некорректная ссылка",IF(COUNTIF($H$6:$H$1005,H538)&gt;1,"Ошибка: дубликат URL",IF(E538&gt;TODAY(),"Ошибка: дата публикации в будущем",IF(S538="Да","Ошибка: подтверждённый дубль",IF(S538="","Проверить: отметьте дубль",IF(S538="Нужно проверить","Проверить возможный дубль",IF(TODAY()-E538&gt;30,"Проверить: старше 30 дней",IF(COUNTIFS(#REF!,G538,#REF!,"Готово")=0,"Проверить источник","Готово"))))))))))</f>
        <v/>
      </c>
    </row>
    <row r="539" spans="1:21" ht="25.5" customHeight="1">
      <c r="A539" s="21"/>
      <c r="B539" s="22"/>
      <c r="C539" s="21"/>
      <c r="D539" s="23"/>
      <c r="E539" s="22"/>
      <c r="F539" s="22"/>
      <c r="G539" s="23"/>
      <c r="H539" s="24"/>
      <c r="I539" s="24"/>
      <c r="J539" s="23"/>
      <c r="K539" s="23"/>
      <c r="L539" s="23"/>
      <c r="M539" s="23"/>
      <c r="N539" s="23"/>
      <c r="O539" s="23"/>
      <c r="P539" s="23"/>
      <c r="Q539" s="25"/>
      <c r="R539" s="23"/>
      <c r="S539" s="23"/>
      <c r="T539" s="23"/>
      <c r="U539" s="20" t="str">
        <f ca="1">IF(COUNTA(A539:T539)=0,"",IF(OR(A539="",B539="",C539="",E539="",G539="",H539="",J539="",K539="",L539="",M539=""),"Ошибка: заполните обязательные поля",IF(AND(LEFT(H539,7)&lt;&gt;"http://",LEFT(H539,8)&lt;&gt;"https://"),"Ошибка: некорректная ссылка",IF(COUNTIF($H$6:$H$1005,H539)&gt;1,"Ошибка: дубликат URL",IF(E539&gt;TODAY(),"Ошибка: дата публикации в будущем",IF(S539="Да","Ошибка: подтверждённый дубль",IF(S539="","Проверить: отметьте дубль",IF(S539="Нужно проверить","Проверить возможный дубль",IF(TODAY()-E539&gt;30,"Проверить: старше 30 дней",IF(COUNTIFS(#REF!,G539,#REF!,"Готово")=0,"Проверить источник","Готово"))))))))))</f>
        <v/>
      </c>
    </row>
    <row r="540" spans="1:21" ht="25.5" customHeight="1">
      <c r="A540" s="21"/>
      <c r="B540" s="22"/>
      <c r="C540" s="21"/>
      <c r="D540" s="23"/>
      <c r="E540" s="22"/>
      <c r="F540" s="22"/>
      <c r="G540" s="23"/>
      <c r="H540" s="24"/>
      <c r="I540" s="24"/>
      <c r="J540" s="23"/>
      <c r="K540" s="23"/>
      <c r="L540" s="23"/>
      <c r="M540" s="23"/>
      <c r="N540" s="23"/>
      <c r="O540" s="23"/>
      <c r="P540" s="23"/>
      <c r="Q540" s="25"/>
      <c r="R540" s="23"/>
      <c r="S540" s="23"/>
      <c r="T540" s="23"/>
      <c r="U540" s="20" t="str">
        <f ca="1">IF(COUNTA(A540:T540)=0,"",IF(OR(A540="",B540="",C540="",E540="",G540="",H540="",J540="",K540="",L540="",M540=""),"Ошибка: заполните обязательные поля",IF(AND(LEFT(H540,7)&lt;&gt;"http://",LEFT(H540,8)&lt;&gt;"https://"),"Ошибка: некорректная ссылка",IF(COUNTIF($H$6:$H$1005,H540)&gt;1,"Ошибка: дубликат URL",IF(E540&gt;TODAY(),"Ошибка: дата публикации в будущем",IF(S540="Да","Ошибка: подтверждённый дубль",IF(S540="","Проверить: отметьте дубль",IF(S540="Нужно проверить","Проверить возможный дубль",IF(TODAY()-E540&gt;30,"Проверить: старше 30 дней",IF(COUNTIFS(#REF!,G540,#REF!,"Готово")=0,"Проверить источник","Готово"))))))))))</f>
        <v/>
      </c>
    </row>
    <row r="541" spans="1:21" ht="25.5" customHeight="1">
      <c r="A541" s="21"/>
      <c r="B541" s="22"/>
      <c r="C541" s="21"/>
      <c r="D541" s="23"/>
      <c r="E541" s="22"/>
      <c r="F541" s="22"/>
      <c r="G541" s="23"/>
      <c r="H541" s="24"/>
      <c r="I541" s="24"/>
      <c r="J541" s="23"/>
      <c r="K541" s="23"/>
      <c r="L541" s="23"/>
      <c r="M541" s="23"/>
      <c r="N541" s="23"/>
      <c r="O541" s="23"/>
      <c r="P541" s="23"/>
      <c r="Q541" s="25"/>
      <c r="R541" s="23"/>
      <c r="S541" s="23"/>
      <c r="T541" s="23"/>
      <c r="U541" s="20" t="str">
        <f ca="1">IF(COUNTA(A541:T541)=0,"",IF(OR(A541="",B541="",C541="",E541="",G541="",H541="",J541="",K541="",L541="",M541=""),"Ошибка: заполните обязательные поля",IF(AND(LEFT(H541,7)&lt;&gt;"http://",LEFT(H541,8)&lt;&gt;"https://"),"Ошибка: некорректная ссылка",IF(COUNTIF($H$6:$H$1005,H541)&gt;1,"Ошибка: дубликат URL",IF(E541&gt;TODAY(),"Ошибка: дата публикации в будущем",IF(S541="Да","Ошибка: подтверждённый дубль",IF(S541="","Проверить: отметьте дубль",IF(S541="Нужно проверить","Проверить возможный дубль",IF(TODAY()-E541&gt;30,"Проверить: старше 30 дней",IF(COUNTIFS(#REF!,G541,#REF!,"Готово")=0,"Проверить источник","Готово"))))))))))</f>
        <v/>
      </c>
    </row>
    <row r="542" spans="1:21" ht="25.5" customHeight="1">
      <c r="A542" s="21"/>
      <c r="B542" s="22"/>
      <c r="C542" s="21"/>
      <c r="D542" s="23"/>
      <c r="E542" s="22"/>
      <c r="F542" s="22"/>
      <c r="G542" s="23"/>
      <c r="H542" s="24"/>
      <c r="I542" s="24"/>
      <c r="J542" s="23"/>
      <c r="K542" s="23"/>
      <c r="L542" s="23"/>
      <c r="M542" s="23"/>
      <c r="N542" s="23"/>
      <c r="O542" s="23"/>
      <c r="P542" s="23"/>
      <c r="Q542" s="25"/>
      <c r="R542" s="23"/>
      <c r="S542" s="23"/>
      <c r="T542" s="23"/>
      <c r="U542" s="20" t="str">
        <f ca="1">IF(COUNTA(A542:T542)=0,"",IF(OR(A542="",B542="",C542="",E542="",G542="",H542="",J542="",K542="",L542="",M542=""),"Ошибка: заполните обязательные поля",IF(AND(LEFT(H542,7)&lt;&gt;"http://",LEFT(H542,8)&lt;&gt;"https://"),"Ошибка: некорректная ссылка",IF(COUNTIF($H$6:$H$1005,H542)&gt;1,"Ошибка: дубликат URL",IF(E542&gt;TODAY(),"Ошибка: дата публикации в будущем",IF(S542="Да","Ошибка: подтверждённый дубль",IF(S542="","Проверить: отметьте дубль",IF(S542="Нужно проверить","Проверить возможный дубль",IF(TODAY()-E542&gt;30,"Проверить: старше 30 дней",IF(COUNTIFS(#REF!,G542,#REF!,"Готово")=0,"Проверить источник","Готово"))))))))))</f>
        <v/>
      </c>
    </row>
    <row r="543" spans="1:21" ht="25.5" customHeight="1">
      <c r="A543" s="21"/>
      <c r="B543" s="22"/>
      <c r="C543" s="21"/>
      <c r="D543" s="23"/>
      <c r="E543" s="22"/>
      <c r="F543" s="22"/>
      <c r="G543" s="23"/>
      <c r="H543" s="24"/>
      <c r="I543" s="24"/>
      <c r="J543" s="23"/>
      <c r="K543" s="23"/>
      <c r="L543" s="23"/>
      <c r="M543" s="23"/>
      <c r="N543" s="23"/>
      <c r="O543" s="23"/>
      <c r="P543" s="23"/>
      <c r="Q543" s="25"/>
      <c r="R543" s="23"/>
      <c r="S543" s="23"/>
      <c r="T543" s="23"/>
      <c r="U543" s="20" t="str">
        <f ca="1">IF(COUNTA(A543:T543)=0,"",IF(OR(A543="",B543="",C543="",E543="",G543="",H543="",J543="",K543="",L543="",M543=""),"Ошибка: заполните обязательные поля",IF(AND(LEFT(H543,7)&lt;&gt;"http://",LEFT(H543,8)&lt;&gt;"https://"),"Ошибка: некорректная ссылка",IF(COUNTIF($H$6:$H$1005,H543)&gt;1,"Ошибка: дубликат URL",IF(E543&gt;TODAY(),"Ошибка: дата публикации в будущем",IF(S543="Да","Ошибка: подтверждённый дубль",IF(S543="","Проверить: отметьте дубль",IF(S543="Нужно проверить","Проверить возможный дубль",IF(TODAY()-E543&gt;30,"Проверить: старше 30 дней",IF(COUNTIFS(#REF!,G543,#REF!,"Готово")=0,"Проверить источник","Готово"))))))))))</f>
        <v/>
      </c>
    </row>
    <row r="544" spans="1:21" ht="25.5" customHeight="1">
      <c r="A544" s="21"/>
      <c r="B544" s="22"/>
      <c r="C544" s="21"/>
      <c r="D544" s="23"/>
      <c r="E544" s="22"/>
      <c r="F544" s="22"/>
      <c r="G544" s="23"/>
      <c r="H544" s="24"/>
      <c r="I544" s="24"/>
      <c r="J544" s="23"/>
      <c r="K544" s="23"/>
      <c r="L544" s="23"/>
      <c r="M544" s="23"/>
      <c r="N544" s="23"/>
      <c r="O544" s="23"/>
      <c r="P544" s="23"/>
      <c r="Q544" s="25"/>
      <c r="R544" s="23"/>
      <c r="S544" s="23"/>
      <c r="T544" s="23"/>
      <c r="U544" s="20" t="str">
        <f ca="1">IF(COUNTA(A544:T544)=0,"",IF(OR(A544="",B544="",C544="",E544="",G544="",H544="",J544="",K544="",L544="",M544=""),"Ошибка: заполните обязательные поля",IF(AND(LEFT(H544,7)&lt;&gt;"http://",LEFT(H544,8)&lt;&gt;"https://"),"Ошибка: некорректная ссылка",IF(COUNTIF($H$6:$H$1005,H544)&gt;1,"Ошибка: дубликат URL",IF(E544&gt;TODAY(),"Ошибка: дата публикации в будущем",IF(S544="Да","Ошибка: подтверждённый дубль",IF(S544="","Проверить: отметьте дубль",IF(S544="Нужно проверить","Проверить возможный дубль",IF(TODAY()-E544&gt;30,"Проверить: старше 30 дней",IF(COUNTIFS(#REF!,G544,#REF!,"Готово")=0,"Проверить источник","Готово"))))))))))</f>
        <v/>
      </c>
    </row>
    <row r="545" spans="1:21" ht="25.5" customHeight="1">
      <c r="A545" s="21"/>
      <c r="B545" s="22"/>
      <c r="C545" s="21"/>
      <c r="D545" s="23"/>
      <c r="E545" s="22"/>
      <c r="F545" s="22"/>
      <c r="G545" s="23"/>
      <c r="H545" s="24"/>
      <c r="I545" s="24"/>
      <c r="J545" s="23"/>
      <c r="K545" s="23"/>
      <c r="L545" s="23"/>
      <c r="M545" s="23"/>
      <c r="N545" s="23"/>
      <c r="O545" s="23"/>
      <c r="P545" s="23"/>
      <c r="Q545" s="25"/>
      <c r="R545" s="23"/>
      <c r="S545" s="23"/>
      <c r="T545" s="23"/>
      <c r="U545" s="20" t="str">
        <f ca="1">IF(COUNTA(A545:T545)=0,"",IF(OR(A545="",B545="",C545="",E545="",G545="",H545="",J545="",K545="",L545="",M545=""),"Ошибка: заполните обязательные поля",IF(AND(LEFT(H545,7)&lt;&gt;"http://",LEFT(H545,8)&lt;&gt;"https://"),"Ошибка: некорректная ссылка",IF(COUNTIF($H$6:$H$1005,H545)&gt;1,"Ошибка: дубликат URL",IF(E545&gt;TODAY(),"Ошибка: дата публикации в будущем",IF(S545="Да","Ошибка: подтверждённый дубль",IF(S545="","Проверить: отметьте дубль",IF(S545="Нужно проверить","Проверить возможный дубль",IF(TODAY()-E545&gt;30,"Проверить: старше 30 дней",IF(COUNTIFS(#REF!,G545,#REF!,"Готово")=0,"Проверить источник","Готово"))))))))))</f>
        <v/>
      </c>
    </row>
    <row r="546" spans="1:21" ht="25.5" customHeight="1">
      <c r="A546" s="21"/>
      <c r="B546" s="22"/>
      <c r="C546" s="21"/>
      <c r="D546" s="23"/>
      <c r="E546" s="22"/>
      <c r="F546" s="22"/>
      <c r="G546" s="23"/>
      <c r="H546" s="24"/>
      <c r="I546" s="24"/>
      <c r="J546" s="23"/>
      <c r="K546" s="23"/>
      <c r="L546" s="23"/>
      <c r="M546" s="23"/>
      <c r="N546" s="23"/>
      <c r="O546" s="23"/>
      <c r="P546" s="23"/>
      <c r="Q546" s="25"/>
      <c r="R546" s="23"/>
      <c r="S546" s="23"/>
      <c r="T546" s="23"/>
      <c r="U546" s="20" t="str">
        <f ca="1">IF(COUNTA(A546:T546)=0,"",IF(OR(A546="",B546="",C546="",E546="",G546="",H546="",J546="",K546="",L546="",M546=""),"Ошибка: заполните обязательные поля",IF(AND(LEFT(H546,7)&lt;&gt;"http://",LEFT(H546,8)&lt;&gt;"https://"),"Ошибка: некорректная ссылка",IF(COUNTIF($H$6:$H$1005,H546)&gt;1,"Ошибка: дубликат URL",IF(E546&gt;TODAY(),"Ошибка: дата публикации в будущем",IF(S546="Да","Ошибка: подтверждённый дубль",IF(S546="","Проверить: отметьте дубль",IF(S546="Нужно проверить","Проверить возможный дубль",IF(TODAY()-E546&gt;30,"Проверить: старше 30 дней",IF(COUNTIFS(#REF!,G546,#REF!,"Готово")=0,"Проверить источник","Готово"))))))))))</f>
        <v/>
      </c>
    </row>
    <row r="547" spans="1:21" ht="25.5" customHeight="1">
      <c r="A547" s="21"/>
      <c r="B547" s="22"/>
      <c r="C547" s="21"/>
      <c r="D547" s="23"/>
      <c r="E547" s="22"/>
      <c r="F547" s="22"/>
      <c r="G547" s="23"/>
      <c r="H547" s="24"/>
      <c r="I547" s="24"/>
      <c r="J547" s="23"/>
      <c r="K547" s="23"/>
      <c r="L547" s="23"/>
      <c r="M547" s="23"/>
      <c r="N547" s="23"/>
      <c r="O547" s="23"/>
      <c r="P547" s="23"/>
      <c r="Q547" s="25"/>
      <c r="R547" s="23"/>
      <c r="S547" s="23"/>
      <c r="T547" s="23"/>
      <c r="U547" s="20" t="str">
        <f ca="1">IF(COUNTA(A547:T547)=0,"",IF(OR(A547="",B547="",C547="",E547="",G547="",H547="",J547="",K547="",L547="",M547=""),"Ошибка: заполните обязательные поля",IF(AND(LEFT(H547,7)&lt;&gt;"http://",LEFT(H547,8)&lt;&gt;"https://"),"Ошибка: некорректная ссылка",IF(COUNTIF($H$6:$H$1005,H547)&gt;1,"Ошибка: дубликат URL",IF(E547&gt;TODAY(),"Ошибка: дата публикации в будущем",IF(S547="Да","Ошибка: подтверждённый дубль",IF(S547="","Проверить: отметьте дубль",IF(S547="Нужно проверить","Проверить возможный дубль",IF(TODAY()-E547&gt;30,"Проверить: старше 30 дней",IF(COUNTIFS(#REF!,G547,#REF!,"Готово")=0,"Проверить источник","Готово"))))))))))</f>
        <v/>
      </c>
    </row>
    <row r="548" spans="1:21" ht="25.5" customHeight="1">
      <c r="A548" s="21"/>
      <c r="B548" s="22"/>
      <c r="C548" s="21"/>
      <c r="D548" s="23"/>
      <c r="E548" s="22"/>
      <c r="F548" s="22"/>
      <c r="G548" s="23"/>
      <c r="H548" s="24"/>
      <c r="I548" s="24"/>
      <c r="J548" s="23"/>
      <c r="K548" s="23"/>
      <c r="L548" s="23"/>
      <c r="M548" s="23"/>
      <c r="N548" s="23"/>
      <c r="O548" s="23"/>
      <c r="P548" s="23"/>
      <c r="Q548" s="25"/>
      <c r="R548" s="23"/>
      <c r="S548" s="23"/>
      <c r="T548" s="23"/>
      <c r="U548" s="20" t="str">
        <f ca="1">IF(COUNTA(A548:T548)=0,"",IF(OR(A548="",B548="",C548="",E548="",G548="",H548="",J548="",K548="",L548="",M548=""),"Ошибка: заполните обязательные поля",IF(AND(LEFT(H548,7)&lt;&gt;"http://",LEFT(H548,8)&lt;&gt;"https://"),"Ошибка: некорректная ссылка",IF(COUNTIF($H$6:$H$1005,H548)&gt;1,"Ошибка: дубликат URL",IF(E548&gt;TODAY(),"Ошибка: дата публикации в будущем",IF(S548="Да","Ошибка: подтверждённый дубль",IF(S548="","Проверить: отметьте дубль",IF(S548="Нужно проверить","Проверить возможный дубль",IF(TODAY()-E548&gt;30,"Проверить: старше 30 дней",IF(COUNTIFS(#REF!,G548,#REF!,"Готово")=0,"Проверить источник","Готово"))))))))))</f>
        <v/>
      </c>
    </row>
    <row r="549" spans="1:21" ht="25.5" customHeight="1">
      <c r="A549" s="21"/>
      <c r="B549" s="22"/>
      <c r="C549" s="21"/>
      <c r="D549" s="23"/>
      <c r="E549" s="22"/>
      <c r="F549" s="22"/>
      <c r="G549" s="23"/>
      <c r="H549" s="24"/>
      <c r="I549" s="24"/>
      <c r="J549" s="23"/>
      <c r="K549" s="23"/>
      <c r="L549" s="23"/>
      <c r="M549" s="23"/>
      <c r="N549" s="23"/>
      <c r="O549" s="23"/>
      <c r="P549" s="23"/>
      <c r="Q549" s="25"/>
      <c r="R549" s="23"/>
      <c r="S549" s="23"/>
      <c r="T549" s="23"/>
      <c r="U549" s="20" t="str">
        <f ca="1">IF(COUNTA(A549:T549)=0,"",IF(OR(A549="",B549="",C549="",E549="",G549="",H549="",J549="",K549="",L549="",M549=""),"Ошибка: заполните обязательные поля",IF(AND(LEFT(H549,7)&lt;&gt;"http://",LEFT(H549,8)&lt;&gt;"https://"),"Ошибка: некорректная ссылка",IF(COUNTIF($H$6:$H$1005,H549)&gt;1,"Ошибка: дубликат URL",IF(E549&gt;TODAY(),"Ошибка: дата публикации в будущем",IF(S549="Да","Ошибка: подтверждённый дубль",IF(S549="","Проверить: отметьте дубль",IF(S549="Нужно проверить","Проверить возможный дубль",IF(TODAY()-E549&gt;30,"Проверить: старше 30 дней",IF(COUNTIFS(#REF!,G549,#REF!,"Готово")=0,"Проверить источник","Готово"))))))))))</f>
        <v/>
      </c>
    </row>
    <row r="550" spans="1:21" ht="25.5" customHeight="1">
      <c r="A550" s="21"/>
      <c r="B550" s="22"/>
      <c r="C550" s="21"/>
      <c r="D550" s="23"/>
      <c r="E550" s="22"/>
      <c r="F550" s="22"/>
      <c r="G550" s="23"/>
      <c r="H550" s="24"/>
      <c r="I550" s="24"/>
      <c r="J550" s="23"/>
      <c r="K550" s="23"/>
      <c r="L550" s="23"/>
      <c r="M550" s="23"/>
      <c r="N550" s="23"/>
      <c r="O550" s="23"/>
      <c r="P550" s="23"/>
      <c r="Q550" s="25"/>
      <c r="R550" s="23"/>
      <c r="S550" s="23"/>
      <c r="T550" s="23"/>
      <c r="U550" s="20" t="str">
        <f ca="1">IF(COUNTA(A550:T550)=0,"",IF(OR(A550="",B550="",C550="",E550="",G550="",H550="",J550="",K550="",L550="",M550=""),"Ошибка: заполните обязательные поля",IF(AND(LEFT(H550,7)&lt;&gt;"http://",LEFT(H550,8)&lt;&gt;"https://"),"Ошибка: некорректная ссылка",IF(COUNTIF($H$6:$H$1005,H550)&gt;1,"Ошибка: дубликат URL",IF(E550&gt;TODAY(),"Ошибка: дата публикации в будущем",IF(S550="Да","Ошибка: подтверждённый дубль",IF(S550="","Проверить: отметьте дубль",IF(S550="Нужно проверить","Проверить возможный дубль",IF(TODAY()-E550&gt;30,"Проверить: старше 30 дней",IF(COUNTIFS(#REF!,G550,#REF!,"Готово")=0,"Проверить источник","Готово"))))))))))</f>
        <v/>
      </c>
    </row>
    <row r="551" spans="1:21" ht="25.5" customHeight="1">
      <c r="A551" s="21"/>
      <c r="B551" s="22"/>
      <c r="C551" s="21"/>
      <c r="D551" s="23"/>
      <c r="E551" s="22"/>
      <c r="F551" s="22"/>
      <c r="G551" s="23"/>
      <c r="H551" s="24"/>
      <c r="I551" s="24"/>
      <c r="J551" s="23"/>
      <c r="K551" s="23"/>
      <c r="L551" s="23"/>
      <c r="M551" s="23"/>
      <c r="N551" s="23"/>
      <c r="O551" s="23"/>
      <c r="P551" s="23"/>
      <c r="Q551" s="25"/>
      <c r="R551" s="23"/>
      <c r="S551" s="23"/>
      <c r="T551" s="23"/>
      <c r="U551" s="20" t="str">
        <f ca="1">IF(COUNTA(A551:T551)=0,"",IF(OR(A551="",B551="",C551="",E551="",G551="",H551="",J551="",K551="",L551="",M551=""),"Ошибка: заполните обязательные поля",IF(AND(LEFT(H551,7)&lt;&gt;"http://",LEFT(H551,8)&lt;&gt;"https://"),"Ошибка: некорректная ссылка",IF(COUNTIF($H$6:$H$1005,H551)&gt;1,"Ошибка: дубликат URL",IF(E551&gt;TODAY(),"Ошибка: дата публикации в будущем",IF(S551="Да","Ошибка: подтверждённый дубль",IF(S551="","Проверить: отметьте дубль",IF(S551="Нужно проверить","Проверить возможный дубль",IF(TODAY()-E551&gt;30,"Проверить: старше 30 дней",IF(COUNTIFS(#REF!,G551,#REF!,"Готово")=0,"Проверить источник","Готово"))))))))))</f>
        <v/>
      </c>
    </row>
    <row r="552" spans="1:21" ht="25.5" customHeight="1">
      <c r="A552" s="21"/>
      <c r="B552" s="22"/>
      <c r="C552" s="21"/>
      <c r="D552" s="23"/>
      <c r="E552" s="22"/>
      <c r="F552" s="22"/>
      <c r="G552" s="23"/>
      <c r="H552" s="24"/>
      <c r="I552" s="24"/>
      <c r="J552" s="23"/>
      <c r="K552" s="23"/>
      <c r="L552" s="23"/>
      <c r="M552" s="23"/>
      <c r="N552" s="23"/>
      <c r="O552" s="23"/>
      <c r="P552" s="23"/>
      <c r="Q552" s="25"/>
      <c r="R552" s="23"/>
      <c r="S552" s="23"/>
      <c r="T552" s="23"/>
      <c r="U552" s="20" t="str">
        <f ca="1">IF(COUNTA(A552:T552)=0,"",IF(OR(A552="",B552="",C552="",E552="",G552="",H552="",J552="",K552="",L552="",M552=""),"Ошибка: заполните обязательные поля",IF(AND(LEFT(H552,7)&lt;&gt;"http://",LEFT(H552,8)&lt;&gt;"https://"),"Ошибка: некорректная ссылка",IF(COUNTIF($H$6:$H$1005,H552)&gt;1,"Ошибка: дубликат URL",IF(E552&gt;TODAY(),"Ошибка: дата публикации в будущем",IF(S552="Да","Ошибка: подтверждённый дубль",IF(S552="","Проверить: отметьте дубль",IF(S552="Нужно проверить","Проверить возможный дубль",IF(TODAY()-E552&gt;30,"Проверить: старше 30 дней",IF(COUNTIFS(#REF!,G552,#REF!,"Готово")=0,"Проверить источник","Готово"))))))))))</f>
        <v/>
      </c>
    </row>
    <row r="553" spans="1:21" ht="25.5" customHeight="1">
      <c r="A553" s="21"/>
      <c r="B553" s="22"/>
      <c r="C553" s="21"/>
      <c r="D553" s="23"/>
      <c r="E553" s="22"/>
      <c r="F553" s="22"/>
      <c r="G553" s="23"/>
      <c r="H553" s="24"/>
      <c r="I553" s="24"/>
      <c r="J553" s="23"/>
      <c r="K553" s="23"/>
      <c r="L553" s="23"/>
      <c r="M553" s="23"/>
      <c r="N553" s="23"/>
      <c r="O553" s="23"/>
      <c r="P553" s="23"/>
      <c r="Q553" s="25"/>
      <c r="R553" s="23"/>
      <c r="S553" s="23"/>
      <c r="T553" s="23"/>
      <c r="U553" s="20" t="str">
        <f ca="1">IF(COUNTA(A553:T553)=0,"",IF(OR(A553="",B553="",C553="",E553="",G553="",H553="",J553="",K553="",L553="",M553=""),"Ошибка: заполните обязательные поля",IF(AND(LEFT(H553,7)&lt;&gt;"http://",LEFT(H553,8)&lt;&gt;"https://"),"Ошибка: некорректная ссылка",IF(COUNTIF($H$6:$H$1005,H553)&gt;1,"Ошибка: дубликат URL",IF(E553&gt;TODAY(),"Ошибка: дата публикации в будущем",IF(S553="Да","Ошибка: подтверждённый дубль",IF(S553="","Проверить: отметьте дубль",IF(S553="Нужно проверить","Проверить возможный дубль",IF(TODAY()-E553&gt;30,"Проверить: старше 30 дней",IF(COUNTIFS(#REF!,G553,#REF!,"Готово")=0,"Проверить источник","Готово"))))))))))</f>
        <v/>
      </c>
    </row>
    <row r="554" spans="1:21" ht="25.5" customHeight="1">
      <c r="A554" s="21"/>
      <c r="B554" s="22"/>
      <c r="C554" s="21"/>
      <c r="D554" s="23"/>
      <c r="E554" s="22"/>
      <c r="F554" s="22"/>
      <c r="G554" s="23"/>
      <c r="H554" s="24"/>
      <c r="I554" s="24"/>
      <c r="J554" s="23"/>
      <c r="K554" s="23"/>
      <c r="L554" s="23"/>
      <c r="M554" s="23"/>
      <c r="N554" s="23"/>
      <c r="O554" s="23"/>
      <c r="P554" s="23"/>
      <c r="Q554" s="25"/>
      <c r="R554" s="23"/>
      <c r="S554" s="23"/>
      <c r="T554" s="23"/>
      <c r="U554" s="20" t="str">
        <f ca="1">IF(COUNTA(A554:T554)=0,"",IF(OR(A554="",B554="",C554="",E554="",G554="",H554="",J554="",K554="",L554="",M554=""),"Ошибка: заполните обязательные поля",IF(AND(LEFT(H554,7)&lt;&gt;"http://",LEFT(H554,8)&lt;&gt;"https://"),"Ошибка: некорректная ссылка",IF(COUNTIF($H$6:$H$1005,H554)&gt;1,"Ошибка: дубликат URL",IF(E554&gt;TODAY(),"Ошибка: дата публикации в будущем",IF(S554="Да","Ошибка: подтверждённый дубль",IF(S554="","Проверить: отметьте дубль",IF(S554="Нужно проверить","Проверить возможный дубль",IF(TODAY()-E554&gt;30,"Проверить: старше 30 дней",IF(COUNTIFS(#REF!,G554,#REF!,"Готово")=0,"Проверить источник","Готово"))))))))))</f>
        <v/>
      </c>
    </row>
    <row r="555" spans="1:21" ht="25.5" customHeight="1">
      <c r="A555" s="21"/>
      <c r="B555" s="22"/>
      <c r="C555" s="21"/>
      <c r="D555" s="23"/>
      <c r="E555" s="22"/>
      <c r="F555" s="22"/>
      <c r="G555" s="23"/>
      <c r="H555" s="24"/>
      <c r="I555" s="24"/>
      <c r="J555" s="23"/>
      <c r="K555" s="23"/>
      <c r="L555" s="23"/>
      <c r="M555" s="23"/>
      <c r="N555" s="23"/>
      <c r="O555" s="23"/>
      <c r="P555" s="23"/>
      <c r="Q555" s="25"/>
      <c r="R555" s="23"/>
      <c r="S555" s="23"/>
      <c r="T555" s="23"/>
      <c r="U555" s="20" t="str">
        <f ca="1">IF(COUNTA(A555:T555)=0,"",IF(OR(A555="",B555="",C555="",E555="",G555="",H555="",J555="",K555="",L555="",M555=""),"Ошибка: заполните обязательные поля",IF(AND(LEFT(H555,7)&lt;&gt;"http://",LEFT(H555,8)&lt;&gt;"https://"),"Ошибка: некорректная ссылка",IF(COUNTIF($H$6:$H$1005,H555)&gt;1,"Ошибка: дубликат URL",IF(E555&gt;TODAY(),"Ошибка: дата публикации в будущем",IF(S555="Да","Ошибка: подтверждённый дубль",IF(S555="","Проверить: отметьте дубль",IF(S555="Нужно проверить","Проверить возможный дубль",IF(TODAY()-E555&gt;30,"Проверить: старше 30 дней",IF(COUNTIFS(#REF!,G555,#REF!,"Готово")=0,"Проверить источник","Готово"))))))))))</f>
        <v/>
      </c>
    </row>
    <row r="556" spans="1:21" ht="25.5" customHeight="1">
      <c r="A556" s="21"/>
      <c r="B556" s="22"/>
      <c r="C556" s="21"/>
      <c r="D556" s="23"/>
      <c r="E556" s="22"/>
      <c r="F556" s="22"/>
      <c r="G556" s="23"/>
      <c r="H556" s="24"/>
      <c r="I556" s="24"/>
      <c r="J556" s="23"/>
      <c r="K556" s="23"/>
      <c r="L556" s="23"/>
      <c r="M556" s="23"/>
      <c r="N556" s="23"/>
      <c r="O556" s="23"/>
      <c r="P556" s="23"/>
      <c r="Q556" s="25"/>
      <c r="R556" s="23"/>
      <c r="S556" s="23"/>
      <c r="T556" s="23"/>
      <c r="U556" s="20" t="str">
        <f ca="1">IF(COUNTA(A556:T556)=0,"",IF(OR(A556="",B556="",C556="",E556="",G556="",H556="",J556="",K556="",L556="",M556=""),"Ошибка: заполните обязательные поля",IF(AND(LEFT(H556,7)&lt;&gt;"http://",LEFT(H556,8)&lt;&gt;"https://"),"Ошибка: некорректная ссылка",IF(COUNTIF($H$6:$H$1005,H556)&gt;1,"Ошибка: дубликат URL",IF(E556&gt;TODAY(),"Ошибка: дата публикации в будущем",IF(S556="Да","Ошибка: подтверждённый дубль",IF(S556="","Проверить: отметьте дубль",IF(S556="Нужно проверить","Проверить возможный дубль",IF(TODAY()-E556&gt;30,"Проверить: старше 30 дней",IF(COUNTIFS(#REF!,G556,#REF!,"Готово")=0,"Проверить источник","Готово"))))))))))</f>
        <v/>
      </c>
    </row>
    <row r="557" spans="1:21" ht="25.5" customHeight="1">
      <c r="A557" s="21"/>
      <c r="B557" s="22"/>
      <c r="C557" s="21"/>
      <c r="D557" s="23"/>
      <c r="E557" s="22"/>
      <c r="F557" s="22"/>
      <c r="G557" s="23"/>
      <c r="H557" s="24"/>
      <c r="I557" s="24"/>
      <c r="J557" s="23"/>
      <c r="K557" s="23"/>
      <c r="L557" s="23"/>
      <c r="M557" s="23"/>
      <c r="N557" s="23"/>
      <c r="O557" s="23"/>
      <c r="P557" s="23"/>
      <c r="Q557" s="25"/>
      <c r="R557" s="23"/>
      <c r="S557" s="23"/>
      <c r="T557" s="23"/>
      <c r="U557" s="20" t="str">
        <f ca="1">IF(COUNTA(A557:T557)=0,"",IF(OR(A557="",B557="",C557="",E557="",G557="",H557="",J557="",K557="",L557="",M557=""),"Ошибка: заполните обязательные поля",IF(AND(LEFT(H557,7)&lt;&gt;"http://",LEFT(H557,8)&lt;&gt;"https://"),"Ошибка: некорректная ссылка",IF(COUNTIF($H$6:$H$1005,H557)&gt;1,"Ошибка: дубликат URL",IF(E557&gt;TODAY(),"Ошибка: дата публикации в будущем",IF(S557="Да","Ошибка: подтверждённый дубль",IF(S557="","Проверить: отметьте дубль",IF(S557="Нужно проверить","Проверить возможный дубль",IF(TODAY()-E557&gt;30,"Проверить: старше 30 дней",IF(COUNTIFS(#REF!,G557,#REF!,"Готово")=0,"Проверить источник","Готово"))))))))))</f>
        <v/>
      </c>
    </row>
    <row r="558" spans="1:21" ht="25.5" customHeight="1">
      <c r="A558" s="21"/>
      <c r="B558" s="22"/>
      <c r="C558" s="21"/>
      <c r="D558" s="23"/>
      <c r="E558" s="22"/>
      <c r="F558" s="22"/>
      <c r="G558" s="23"/>
      <c r="H558" s="24"/>
      <c r="I558" s="24"/>
      <c r="J558" s="23"/>
      <c r="K558" s="23"/>
      <c r="L558" s="23"/>
      <c r="M558" s="23"/>
      <c r="N558" s="23"/>
      <c r="O558" s="23"/>
      <c r="P558" s="23"/>
      <c r="Q558" s="25"/>
      <c r="R558" s="23"/>
      <c r="S558" s="23"/>
      <c r="T558" s="23"/>
      <c r="U558" s="20" t="str">
        <f ca="1">IF(COUNTA(A558:T558)=0,"",IF(OR(A558="",B558="",C558="",E558="",G558="",H558="",J558="",K558="",L558="",M558=""),"Ошибка: заполните обязательные поля",IF(AND(LEFT(H558,7)&lt;&gt;"http://",LEFT(H558,8)&lt;&gt;"https://"),"Ошибка: некорректная ссылка",IF(COUNTIF($H$6:$H$1005,H558)&gt;1,"Ошибка: дубликат URL",IF(E558&gt;TODAY(),"Ошибка: дата публикации в будущем",IF(S558="Да","Ошибка: подтверждённый дубль",IF(S558="","Проверить: отметьте дубль",IF(S558="Нужно проверить","Проверить возможный дубль",IF(TODAY()-E558&gt;30,"Проверить: старше 30 дней",IF(COUNTIFS(#REF!,G558,#REF!,"Готово")=0,"Проверить источник","Готово"))))))))))</f>
        <v/>
      </c>
    </row>
    <row r="559" spans="1:21" ht="25.5" customHeight="1">
      <c r="A559" s="21"/>
      <c r="B559" s="22"/>
      <c r="C559" s="21"/>
      <c r="D559" s="23"/>
      <c r="E559" s="22"/>
      <c r="F559" s="22"/>
      <c r="G559" s="23"/>
      <c r="H559" s="24"/>
      <c r="I559" s="24"/>
      <c r="J559" s="23"/>
      <c r="K559" s="23"/>
      <c r="L559" s="23"/>
      <c r="M559" s="23"/>
      <c r="N559" s="23"/>
      <c r="O559" s="23"/>
      <c r="P559" s="23"/>
      <c r="Q559" s="25"/>
      <c r="R559" s="23"/>
      <c r="S559" s="23"/>
      <c r="T559" s="23"/>
      <c r="U559" s="20" t="str">
        <f ca="1">IF(COUNTA(A559:T559)=0,"",IF(OR(A559="",B559="",C559="",E559="",G559="",H559="",J559="",K559="",L559="",M559=""),"Ошибка: заполните обязательные поля",IF(AND(LEFT(H559,7)&lt;&gt;"http://",LEFT(H559,8)&lt;&gt;"https://"),"Ошибка: некорректная ссылка",IF(COUNTIF($H$6:$H$1005,H559)&gt;1,"Ошибка: дубликат URL",IF(E559&gt;TODAY(),"Ошибка: дата публикации в будущем",IF(S559="Да","Ошибка: подтверждённый дубль",IF(S559="","Проверить: отметьте дубль",IF(S559="Нужно проверить","Проверить возможный дубль",IF(TODAY()-E559&gt;30,"Проверить: старше 30 дней",IF(COUNTIFS(#REF!,G559,#REF!,"Готово")=0,"Проверить источник","Готово"))))))))))</f>
        <v/>
      </c>
    </row>
    <row r="560" spans="1:21" ht="25.5" customHeight="1">
      <c r="A560" s="21"/>
      <c r="B560" s="22"/>
      <c r="C560" s="21"/>
      <c r="D560" s="23"/>
      <c r="E560" s="22"/>
      <c r="F560" s="22"/>
      <c r="G560" s="23"/>
      <c r="H560" s="24"/>
      <c r="I560" s="24"/>
      <c r="J560" s="23"/>
      <c r="K560" s="23"/>
      <c r="L560" s="23"/>
      <c r="M560" s="23"/>
      <c r="N560" s="23"/>
      <c r="O560" s="23"/>
      <c r="P560" s="23"/>
      <c r="Q560" s="25"/>
      <c r="R560" s="23"/>
      <c r="S560" s="23"/>
      <c r="T560" s="23"/>
      <c r="U560" s="20" t="str">
        <f ca="1">IF(COUNTA(A560:T560)=0,"",IF(OR(A560="",B560="",C560="",E560="",G560="",H560="",J560="",K560="",L560="",M560=""),"Ошибка: заполните обязательные поля",IF(AND(LEFT(H560,7)&lt;&gt;"http://",LEFT(H560,8)&lt;&gt;"https://"),"Ошибка: некорректная ссылка",IF(COUNTIF($H$6:$H$1005,H560)&gt;1,"Ошибка: дубликат URL",IF(E560&gt;TODAY(),"Ошибка: дата публикации в будущем",IF(S560="Да","Ошибка: подтверждённый дубль",IF(S560="","Проверить: отметьте дубль",IF(S560="Нужно проверить","Проверить возможный дубль",IF(TODAY()-E560&gt;30,"Проверить: старше 30 дней",IF(COUNTIFS(#REF!,G560,#REF!,"Готово")=0,"Проверить источник","Готово"))))))))))</f>
        <v/>
      </c>
    </row>
    <row r="561" spans="1:21" ht="25.5" customHeight="1">
      <c r="A561" s="21"/>
      <c r="B561" s="22"/>
      <c r="C561" s="21"/>
      <c r="D561" s="23"/>
      <c r="E561" s="22"/>
      <c r="F561" s="22"/>
      <c r="G561" s="23"/>
      <c r="H561" s="24"/>
      <c r="I561" s="24"/>
      <c r="J561" s="23"/>
      <c r="K561" s="23"/>
      <c r="L561" s="23"/>
      <c r="M561" s="23"/>
      <c r="N561" s="23"/>
      <c r="O561" s="23"/>
      <c r="P561" s="23"/>
      <c r="Q561" s="25"/>
      <c r="R561" s="23"/>
      <c r="S561" s="23"/>
      <c r="T561" s="23"/>
      <c r="U561" s="20" t="str">
        <f ca="1">IF(COUNTA(A561:T561)=0,"",IF(OR(A561="",B561="",C561="",E561="",G561="",H561="",J561="",K561="",L561="",M561=""),"Ошибка: заполните обязательные поля",IF(AND(LEFT(H561,7)&lt;&gt;"http://",LEFT(H561,8)&lt;&gt;"https://"),"Ошибка: некорректная ссылка",IF(COUNTIF($H$6:$H$1005,H561)&gt;1,"Ошибка: дубликат URL",IF(E561&gt;TODAY(),"Ошибка: дата публикации в будущем",IF(S561="Да","Ошибка: подтверждённый дубль",IF(S561="","Проверить: отметьте дубль",IF(S561="Нужно проверить","Проверить возможный дубль",IF(TODAY()-E561&gt;30,"Проверить: старше 30 дней",IF(COUNTIFS(#REF!,G561,#REF!,"Готово")=0,"Проверить источник","Готово"))))))))))</f>
        <v/>
      </c>
    </row>
    <row r="562" spans="1:21" ht="25.5" customHeight="1">
      <c r="A562" s="21"/>
      <c r="B562" s="22"/>
      <c r="C562" s="21"/>
      <c r="D562" s="23"/>
      <c r="E562" s="22"/>
      <c r="F562" s="22"/>
      <c r="G562" s="23"/>
      <c r="H562" s="24"/>
      <c r="I562" s="24"/>
      <c r="J562" s="23"/>
      <c r="K562" s="23"/>
      <c r="L562" s="23"/>
      <c r="M562" s="23"/>
      <c r="N562" s="23"/>
      <c r="O562" s="23"/>
      <c r="P562" s="23"/>
      <c r="Q562" s="25"/>
      <c r="R562" s="23"/>
      <c r="S562" s="23"/>
      <c r="T562" s="23"/>
      <c r="U562" s="20" t="str">
        <f ca="1">IF(COUNTA(A562:T562)=0,"",IF(OR(A562="",B562="",C562="",E562="",G562="",H562="",J562="",K562="",L562="",M562=""),"Ошибка: заполните обязательные поля",IF(AND(LEFT(H562,7)&lt;&gt;"http://",LEFT(H562,8)&lt;&gt;"https://"),"Ошибка: некорректная ссылка",IF(COUNTIF($H$6:$H$1005,H562)&gt;1,"Ошибка: дубликат URL",IF(E562&gt;TODAY(),"Ошибка: дата публикации в будущем",IF(S562="Да","Ошибка: подтверждённый дубль",IF(S562="","Проверить: отметьте дубль",IF(S562="Нужно проверить","Проверить возможный дубль",IF(TODAY()-E562&gt;30,"Проверить: старше 30 дней",IF(COUNTIFS(#REF!,G562,#REF!,"Готово")=0,"Проверить источник","Готово"))))))))))</f>
        <v/>
      </c>
    </row>
    <row r="563" spans="1:21" ht="25.5" customHeight="1">
      <c r="A563" s="21"/>
      <c r="B563" s="22"/>
      <c r="C563" s="21"/>
      <c r="D563" s="23"/>
      <c r="E563" s="22"/>
      <c r="F563" s="22"/>
      <c r="G563" s="23"/>
      <c r="H563" s="24"/>
      <c r="I563" s="24"/>
      <c r="J563" s="23"/>
      <c r="K563" s="23"/>
      <c r="L563" s="23"/>
      <c r="M563" s="23"/>
      <c r="N563" s="23"/>
      <c r="O563" s="23"/>
      <c r="P563" s="23"/>
      <c r="Q563" s="25"/>
      <c r="R563" s="23"/>
      <c r="S563" s="23"/>
      <c r="T563" s="23"/>
      <c r="U563" s="20" t="str">
        <f ca="1">IF(COUNTA(A563:T563)=0,"",IF(OR(A563="",B563="",C563="",E563="",G563="",H563="",J563="",K563="",L563="",M563=""),"Ошибка: заполните обязательные поля",IF(AND(LEFT(H563,7)&lt;&gt;"http://",LEFT(H563,8)&lt;&gt;"https://"),"Ошибка: некорректная ссылка",IF(COUNTIF($H$6:$H$1005,H563)&gt;1,"Ошибка: дубликат URL",IF(E563&gt;TODAY(),"Ошибка: дата публикации в будущем",IF(S563="Да","Ошибка: подтверждённый дубль",IF(S563="","Проверить: отметьте дубль",IF(S563="Нужно проверить","Проверить возможный дубль",IF(TODAY()-E563&gt;30,"Проверить: старше 30 дней",IF(COUNTIFS(#REF!,G563,#REF!,"Готово")=0,"Проверить источник","Готово"))))))))))</f>
        <v/>
      </c>
    </row>
    <row r="564" spans="1:21" ht="25.5" customHeight="1">
      <c r="A564" s="21"/>
      <c r="B564" s="22"/>
      <c r="C564" s="21"/>
      <c r="D564" s="23"/>
      <c r="E564" s="22"/>
      <c r="F564" s="22"/>
      <c r="G564" s="23"/>
      <c r="H564" s="24"/>
      <c r="I564" s="24"/>
      <c r="J564" s="23"/>
      <c r="K564" s="23"/>
      <c r="L564" s="23"/>
      <c r="M564" s="23"/>
      <c r="N564" s="23"/>
      <c r="O564" s="23"/>
      <c r="P564" s="23"/>
      <c r="Q564" s="25"/>
      <c r="R564" s="23"/>
      <c r="S564" s="23"/>
      <c r="T564" s="23"/>
      <c r="U564" s="20" t="str">
        <f ca="1">IF(COUNTA(A564:T564)=0,"",IF(OR(A564="",B564="",C564="",E564="",G564="",H564="",J564="",K564="",L564="",M564=""),"Ошибка: заполните обязательные поля",IF(AND(LEFT(H564,7)&lt;&gt;"http://",LEFT(H564,8)&lt;&gt;"https://"),"Ошибка: некорректная ссылка",IF(COUNTIF($H$6:$H$1005,H564)&gt;1,"Ошибка: дубликат URL",IF(E564&gt;TODAY(),"Ошибка: дата публикации в будущем",IF(S564="Да","Ошибка: подтверждённый дубль",IF(S564="","Проверить: отметьте дубль",IF(S564="Нужно проверить","Проверить возможный дубль",IF(TODAY()-E564&gt;30,"Проверить: старше 30 дней",IF(COUNTIFS(#REF!,G564,#REF!,"Готово")=0,"Проверить источник","Готово"))))))))))</f>
        <v/>
      </c>
    </row>
    <row r="565" spans="1:21" ht="25.5" customHeight="1">
      <c r="A565" s="21"/>
      <c r="B565" s="22"/>
      <c r="C565" s="21"/>
      <c r="D565" s="23"/>
      <c r="E565" s="22"/>
      <c r="F565" s="22"/>
      <c r="G565" s="23"/>
      <c r="H565" s="24"/>
      <c r="I565" s="24"/>
      <c r="J565" s="23"/>
      <c r="K565" s="23"/>
      <c r="L565" s="23"/>
      <c r="M565" s="23"/>
      <c r="N565" s="23"/>
      <c r="O565" s="23"/>
      <c r="P565" s="23"/>
      <c r="Q565" s="25"/>
      <c r="R565" s="23"/>
      <c r="S565" s="23"/>
      <c r="T565" s="23"/>
      <c r="U565" s="20" t="str">
        <f ca="1">IF(COUNTA(A565:T565)=0,"",IF(OR(A565="",B565="",C565="",E565="",G565="",H565="",J565="",K565="",L565="",M565=""),"Ошибка: заполните обязательные поля",IF(AND(LEFT(H565,7)&lt;&gt;"http://",LEFT(H565,8)&lt;&gt;"https://"),"Ошибка: некорректная ссылка",IF(COUNTIF($H$6:$H$1005,H565)&gt;1,"Ошибка: дубликат URL",IF(E565&gt;TODAY(),"Ошибка: дата публикации в будущем",IF(S565="Да","Ошибка: подтверждённый дубль",IF(S565="","Проверить: отметьте дубль",IF(S565="Нужно проверить","Проверить возможный дубль",IF(TODAY()-E565&gt;30,"Проверить: старше 30 дней",IF(COUNTIFS(#REF!,G565,#REF!,"Готово")=0,"Проверить источник","Готово"))))))))))</f>
        <v/>
      </c>
    </row>
    <row r="566" spans="1:21" ht="25.5" customHeight="1">
      <c r="A566" s="21"/>
      <c r="B566" s="22"/>
      <c r="C566" s="21"/>
      <c r="D566" s="23"/>
      <c r="E566" s="22"/>
      <c r="F566" s="22"/>
      <c r="G566" s="23"/>
      <c r="H566" s="24"/>
      <c r="I566" s="24"/>
      <c r="J566" s="23"/>
      <c r="K566" s="23"/>
      <c r="L566" s="23"/>
      <c r="M566" s="23"/>
      <c r="N566" s="23"/>
      <c r="O566" s="23"/>
      <c r="P566" s="23"/>
      <c r="Q566" s="25"/>
      <c r="R566" s="23"/>
      <c r="S566" s="23"/>
      <c r="T566" s="23"/>
      <c r="U566" s="20" t="str">
        <f ca="1">IF(COUNTA(A566:T566)=0,"",IF(OR(A566="",B566="",C566="",E566="",G566="",H566="",J566="",K566="",L566="",M566=""),"Ошибка: заполните обязательные поля",IF(AND(LEFT(H566,7)&lt;&gt;"http://",LEFT(H566,8)&lt;&gt;"https://"),"Ошибка: некорректная ссылка",IF(COUNTIF($H$6:$H$1005,H566)&gt;1,"Ошибка: дубликат URL",IF(E566&gt;TODAY(),"Ошибка: дата публикации в будущем",IF(S566="Да","Ошибка: подтверждённый дубль",IF(S566="","Проверить: отметьте дубль",IF(S566="Нужно проверить","Проверить возможный дубль",IF(TODAY()-E566&gt;30,"Проверить: старше 30 дней",IF(COUNTIFS(#REF!,G566,#REF!,"Готово")=0,"Проверить источник","Готово"))))))))))</f>
        <v/>
      </c>
    </row>
    <row r="567" spans="1:21" ht="25.5" customHeight="1">
      <c r="A567" s="21"/>
      <c r="B567" s="22"/>
      <c r="C567" s="21"/>
      <c r="D567" s="23"/>
      <c r="E567" s="22"/>
      <c r="F567" s="22"/>
      <c r="G567" s="23"/>
      <c r="H567" s="24"/>
      <c r="I567" s="24"/>
      <c r="J567" s="23"/>
      <c r="K567" s="23"/>
      <c r="L567" s="23"/>
      <c r="M567" s="23"/>
      <c r="N567" s="23"/>
      <c r="O567" s="23"/>
      <c r="P567" s="23"/>
      <c r="Q567" s="25"/>
      <c r="R567" s="23"/>
      <c r="S567" s="23"/>
      <c r="T567" s="23"/>
      <c r="U567" s="20" t="str">
        <f ca="1">IF(COUNTA(A567:T567)=0,"",IF(OR(A567="",B567="",C567="",E567="",G567="",H567="",J567="",K567="",L567="",M567=""),"Ошибка: заполните обязательные поля",IF(AND(LEFT(H567,7)&lt;&gt;"http://",LEFT(H567,8)&lt;&gt;"https://"),"Ошибка: некорректная ссылка",IF(COUNTIF($H$6:$H$1005,H567)&gt;1,"Ошибка: дубликат URL",IF(E567&gt;TODAY(),"Ошибка: дата публикации в будущем",IF(S567="Да","Ошибка: подтверждённый дубль",IF(S567="","Проверить: отметьте дубль",IF(S567="Нужно проверить","Проверить возможный дубль",IF(TODAY()-E567&gt;30,"Проверить: старше 30 дней",IF(COUNTIFS(#REF!,G567,#REF!,"Готово")=0,"Проверить источник","Готово"))))))))))</f>
        <v/>
      </c>
    </row>
    <row r="568" spans="1:21" ht="25.5" customHeight="1">
      <c r="A568" s="21"/>
      <c r="B568" s="22"/>
      <c r="C568" s="21"/>
      <c r="D568" s="23"/>
      <c r="E568" s="22"/>
      <c r="F568" s="22"/>
      <c r="G568" s="23"/>
      <c r="H568" s="24"/>
      <c r="I568" s="24"/>
      <c r="J568" s="23"/>
      <c r="K568" s="23"/>
      <c r="L568" s="23"/>
      <c r="M568" s="23"/>
      <c r="N568" s="23"/>
      <c r="O568" s="23"/>
      <c r="P568" s="23"/>
      <c r="Q568" s="25"/>
      <c r="R568" s="23"/>
      <c r="S568" s="23"/>
      <c r="T568" s="23"/>
      <c r="U568" s="20" t="str">
        <f ca="1">IF(COUNTA(A568:T568)=0,"",IF(OR(A568="",B568="",C568="",E568="",G568="",H568="",J568="",K568="",L568="",M568=""),"Ошибка: заполните обязательные поля",IF(AND(LEFT(H568,7)&lt;&gt;"http://",LEFT(H568,8)&lt;&gt;"https://"),"Ошибка: некорректная ссылка",IF(COUNTIF($H$6:$H$1005,H568)&gt;1,"Ошибка: дубликат URL",IF(E568&gt;TODAY(),"Ошибка: дата публикации в будущем",IF(S568="Да","Ошибка: подтверждённый дубль",IF(S568="","Проверить: отметьте дубль",IF(S568="Нужно проверить","Проверить возможный дубль",IF(TODAY()-E568&gt;30,"Проверить: старше 30 дней",IF(COUNTIFS(#REF!,G568,#REF!,"Готово")=0,"Проверить источник","Готово"))))))))))</f>
        <v/>
      </c>
    </row>
    <row r="569" spans="1:21" ht="25.5" customHeight="1">
      <c r="A569" s="21"/>
      <c r="B569" s="22"/>
      <c r="C569" s="21"/>
      <c r="D569" s="23"/>
      <c r="E569" s="22"/>
      <c r="F569" s="22"/>
      <c r="G569" s="23"/>
      <c r="H569" s="24"/>
      <c r="I569" s="24"/>
      <c r="J569" s="23"/>
      <c r="K569" s="23"/>
      <c r="L569" s="23"/>
      <c r="M569" s="23"/>
      <c r="N569" s="23"/>
      <c r="O569" s="23"/>
      <c r="P569" s="23"/>
      <c r="Q569" s="25"/>
      <c r="R569" s="23"/>
      <c r="S569" s="23"/>
      <c r="T569" s="23"/>
      <c r="U569" s="20" t="str">
        <f ca="1">IF(COUNTA(A569:T569)=0,"",IF(OR(A569="",B569="",C569="",E569="",G569="",H569="",J569="",K569="",L569="",M569=""),"Ошибка: заполните обязательные поля",IF(AND(LEFT(H569,7)&lt;&gt;"http://",LEFT(H569,8)&lt;&gt;"https://"),"Ошибка: некорректная ссылка",IF(COUNTIF($H$6:$H$1005,H569)&gt;1,"Ошибка: дубликат URL",IF(E569&gt;TODAY(),"Ошибка: дата публикации в будущем",IF(S569="Да","Ошибка: подтверждённый дубль",IF(S569="","Проверить: отметьте дубль",IF(S569="Нужно проверить","Проверить возможный дубль",IF(TODAY()-E569&gt;30,"Проверить: старше 30 дней",IF(COUNTIFS(#REF!,G569,#REF!,"Готово")=0,"Проверить источник","Готово"))))))))))</f>
        <v/>
      </c>
    </row>
    <row r="570" spans="1:21" ht="25.5" customHeight="1">
      <c r="A570" s="21"/>
      <c r="B570" s="22"/>
      <c r="C570" s="21"/>
      <c r="D570" s="23"/>
      <c r="E570" s="22"/>
      <c r="F570" s="22"/>
      <c r="G570" s="23"/>
      <c r="H570" s="24"/>
      <c r="I570" s="24"/>
      <c r="J570" s="23"/>
      <c r="K570" s="23"/>
      <c r="L570" s="23"/>
      <c r="M570" s="23"/>
      <c r="N570" s="23"/>
      <c r="O570" s="23"/>
      <c r="P570" s="23"/>
      <c r="Q570" s="25"/>
      <c r="R570" s="23"/>
      <c r="S570" s="23"/>
      <c r="T570" s="23"/>
      <c r="U570" s="20" t="str">
        <f ca="1">IF(COUNTA(A570:T570)=0,"",IF(OR(A570="",B570="",C570="",E570="",G570="",H570="",J570="",K570="",L570="",M570=""),"Ошибка: заполните обязательные поля",IF(AND(LEFT(H570,7)&lt;&gt;"http://",LEFT(H570,8)&lt;&gt;"https://"),"Ошибка: некорректная ссылка",IF(COUNTIF($H$6:$H$1005,H570)&gt;1,"Ошибка: дубликат URL",IF(E570&gt;TODAY(),"Ошибка: дата публикации в будущем",IF(S570="Да","Ошибка: подтверждённый дубль",IF(S570="","Проверить: отметьте дубль",IF(S570="Нужно проверить","Проверить возможный дубль",IF(TODAY()-E570&gt;30,"Проверить: старше 30 дней",IF(COUNTIFS(#REF!,G570,#REF!,"Готово")=0,"Проверить источник","Готово"))))))))))</f>
        <v/>
      </c>
    </row>
    <row r="571" spans="1:21" ht="25.5" customHeight="1">
      <c r="A571" s="21"/>
      <c r="B571" s="22"/>
      <c r="C571" s="21"/>
      <c r="D571" s="23"/>
      <c r="E571" s="22"/>
      <c r="F571" s="22"/>
      <c r="G571" s="23"/>
      <c r="H571" s="24"/>
      <c r="I571" s="24"/>
      <c r="J571" s="23"/>
      <c r="K571" s="23"/>
      <c r="L571" s="23"/>
      <c r="M571" s="23"/>
      <c r="N571" s="23"/>
      <c r="O571" s="23"/>
      <c r="P571" s="23"/>
      <c r="Q571" s="25"/>
      <c r="R571" s="23"/>
      <c r="S571" s="23"/>
      <c r="T571" s="23"/>
      <c r="U571" s="20" t="str">
        <f ca="1">IF(COUNTA(A571:T571)=0,"",IF(OR(A571="",B571="",C571="",E571="",G571="",H571="",J571="",K571="",L571="",M571=""),"Ошибка: заполните обязательные поля",IF(AND(LEFT(H571,7)&lt;&gt;"http://",LEFT(H571,8)&lt;&gt;"https://"),"Ошибка: некорректная ссылка",IF(COUNTIF($H$6:$H$1005,H571)&gt;1,"Ошибка: дубликат URL",IF(E571&gt;TODAY(),"Ошибка: дата публикации в будущем",IF(S571="Да","Ошибка: подтверждённый дубль",IF(S571="","Проверить: отметьте дубль",IF(S571="Нужно проверить","Проверить возможный дубль",IF(TODAY()-E571&gt;30,"Проверить: старше 30 дней",IF(COUNTIFS(#REF!,G571,#REF!,"Готово")=0,"Проверить источник","Готово"))))))))))</f>
        <v/>
      </c>
    </row>
    <row r="572" spans="1:21" ht="25.5" customHeight="1">
      <c r="A572" s="21"/>
      <c r="B572" s="22"/>
      <c r="C572" s="21"/>
      <c r="D572" s="23"/>
      <c r="E572" s="22"/>
      <c r="F572" s="22"/>
      <c r="G572" s="23"/>
      <c r="H572" s="24"/>
      <c r="I572" s="24"/>
      <c r="J572" s="23"/>
      <c r="K572" s="23"/>
      <c r="L572" s="23"/>
      <c r="M572" s="23"/>
      <c r="N572" s="23"/>
      <c r="O572" s="23"/>
      <c r="P572" s="23"/>
      <c r="Q572" s="25"/>
      <c r="R572" s="23"/>
      <c r="S572" s="23"/>
      <c r="T572" s="23"/>
      <c r="U572" s="20" t="str">
        <f ca="1">IF(COUNTA(A572:T572)=0,"",IF(OR(A572="",B572="",C572="",E572="",G572="",H572="",J572="",K572="",L572="",M572=""),"Ошибка: заполните обязательные поля",IF(AND(LEFT(H572,7)&lt;&gt;"http://",LEFT(H572,8)&lt;&gt;"https://"),"Ошибка: некорректная ссылка",IF(COUNTIF($H$6:$H$1005,H572)&gt;1,"Ошибка: дубликат URL",IF(E572&gt;TODAY(),"Ошибка: дата публикации в будущем",IF(S572="Да","Ошибка: подтверждённый дубль",IF(S572="","Проверить: отметьте дубль",IF(S572="Нужно проверить","Проверить возможный дубль",IF(TODAY()-E572&gt;30,"Проверить: старше 30 дней",IF(COUNTIFS(#REF!,G572,#REF!,"Готово")=0,"Проверить источник","Готово"))))))))))</f>
        <v/>
      </c>
    </row>
    <row r="573" spans="1:21" ht="25.5" customHeight="1">
      <c r="A573" s="21"/>
      <c r="B573" s="22"/>
      <c r="C573" s="21"/>
      <c r="D573" s="23"/>
      <c r="E573" s="22"/>
      <c r="F573" s="22"/>
      <c r="G573" s="23"/>
      <c r="H573" s="24"/>
      <c r="I573" s="24"/>
      <c r="J573" s="23"/>
      <c r="K573" s="23"/>
      <c r="L573" s="23"/>
      <c r="M573" s="23"/>
      <c r="N573" s="23"/>
      <c r="O573" s="23"/>
      <c r="P573" s="23"/>
      <c r="Q573" s="25"/>
      <c r="R573" s="23"/>
      <c r="S573" s="23"/>
      <c r="T573" s="23"/>
      <c r="U573" s="20" t="str">
        <f ca="1">IF(COUNTA(A573:T573)=0,"",IF(OR(A573="",B573="",C573="",E573="",G573="",H573="",J573="",K573="",L573="",M573=""),"Ошибка: заполните обязательные поля",IF(AND(LEFT(H573,7)&lt;&gt;"http://",LEFT(H573,8)&lt;&gt;"https://"),"Ошибка: некорректная ссылка",IF(COUNTIF($H$6:$H$1005,H573)&gt;1,"Ошибка: дубликат URL",IF(E573&gt;TODAY(),"Ошибка: дата публикации в будущем",IF(S573="Да","Ошибка: подтверждённый дубль",IF(S573="","Проверить: отметьте дубль",IF(S573="Нужно проверить","Проверить возможный дубль",IF(TODAY()-E573&gt;30,"Проверить: старше 30 дней",IF(COUNTIFS(#REF!,G573,#REF!,"Готово")=0,"Проверить источник","Готово"))))))))))</f>
        <v/>
      </c>
    </row>
    <row r="574" spans="1:21" ht="25.5" customHeight="1">
      <c r="A574" s="21"/>
      <c r="B574" s="22"/>
      <c r="C574" s="21"/>
      <c r="D574" s="23"/>
      <c r="E574" s="22"/>
      <c r="F574" s="22"/>
      <c r="G574" s="23"/>
      <c r="H574" s="24"/>
      <c r="I574" s="24"/>
      <c r="J574" s="23"/>
      <c r="K574" s="23"/>
      <c r="L574" s="23"/>
      <c r="M574" s="23"/>
      <c r="N574" s="23"/>
      <c r="O574" s="23"/>
      <c r="P574" s="23"/>
      <c r="Q574" s="25"/>
      <c r="R574" s="23"/>
      <c r="S574" s="23"/>
      <c r="T574" s="23"/>
      <c r="U574" s="20" t="str">
        <f ca="1">IF(COUNTA(A574:T574)=0,"",IF(OR(A574="",B574="",C574="",E574="",G574="",H574="",J574="",K574="",L574="",M574=""),"Ошибка: заполните обязательные поля",IF(AND(LEFT(H574,7)&lt;&gt;"http://",LEFT(H574,8)&lt;&gt;"https://"),"Ошибка: некорректная ссылка",IF(COUNTIF($H$6:$H$1005,H574)&gt;1,"Ошибка: дубликат URL",IF(E574&gt;TODAY(),"Ошибка: дата публикации в будущем",IF(S574="Да","Ошибка: подтверждённый дубль",IF(S574="","Проверить: отметьте дубль",IF(S574="Нужно проверить","Проверить возможный дубль",IF(TODAY()-E574&gt;30,"Проверить: старше 30 дней",IF(COUNTIFS(#REF!,G574,#REF!,"Готово")=0,"Проверить источник","Готово"))))))))))</f>
        <v/>
      </c>
    </row>
    <row r="575" spans="1:21" ht="25.5" customHeight="1">
      <c r="A575" s="21"/>
      <c r="B575" s="22"/>
      <c r="C575" s="21"/>
      <c r="D575" s="23"/>
      <c r="E575" s="22"/>
      <c r="F575" s="22"/>
      <c r="G575" s="23"/>
      <c r="H575" s="24"/>
      <c r="I575" s="24"/>
      <c r="J575" s="23"/>
      <c r="K575" s="23"/>
      <c r="L575" s="23"/>
      <c r="M575" s="23"/>
      <c r="N575" s="23"/>
      <c r="O575" s="23"/>
      <c r="P575" s="23"/>
      <c r="Q575" s="25"/>
      <c r="R575" s="23"/>
      <c r="S575" s="23"/>
      <c r="T575" s="23"/>
      <c r="U575" s="20" t="str">
        <f ca="1">IF(COUNTA(A575:T575)=0,"",IF(OR(A575="",B575="",C575="",E575="",G575="",H575="",J575="",K575="",L575="",M575=""),"Ошибка: заполните обязательные поля",IF(AND(LEFT(H575,7)&lt;&gt;"http://",LEFT(H575,8)&lt;&gt;"https://"),"Ошибка: некорректная ссылка",IF(COUNTIF($H$6:$H$1005,H575)&gt;1,"Ошибка: дубликат URL",IF(E575&gt;TODAY(),"Ошибка: дата публикации в будущем",IF(S575="Да","Ошибка: подтверждённый дубль",IF(S575="","Проверить: отметьте дубль",IF(S575="Нужно проверить","Проверить возможный дубль",IF(TODAY()-E575&gt;30,"Проверить: старше 30 дней",IF(COUNTIFS(#REF!,G575,#REF!,"Готово")=0,"Проверить источник","Готово"))))))))))</f>
        <v/>
      </c>
    </row>
    <row r="576" spans="1:21" ht="25.5" customHeight="1">
      <c r="A576" s="21"/>
      <c r="B576" s="22"/>
      <c r="C576" s="21"/>
      <c r="D576" s="23"/>
      <c r="E576" s="22"/>
      <c r="F576" s="22"/>
      <c r="G576" s="23"/>
      <c r="H576" s="24"/>
      <c r="I576" s="24"/>
      <c r="J576" s="23"/>
      <c r="K576" s="23"/>
      <c r="L576" s="23"/>
      <c r="M576" s="23"/>
      <c r="N576" s="23"/>
      <c r="O576" s="23"/>
      <c r="P576" s="23"/>
      <c r="Q576" s="25"/>
      <c r="R576" s="23"/>
      <c r="S576" s="23"/>
      <c r="T576" s="23"/>
      <c r="U576" s="20" t="str">
        <f ca="1">IF(COUNTA(A576:T576)=0,"",IF(OR(A576="",B576="",C576="",E576="",G576="",H576="",J576="",K576="",L576="",M576=""),"Ошибка: заполните обязательные поля",IF(AND(LEFT(H576,7)&lt;&gt;"http://",LEFT(H576,8)&lt;&gt;"https://"),"Ошибка: некорректная ссылка",IF(COUNTIF($H$6:$H$1005,H576)&gt;1,"Ошибка: дубликат URL",IF(E576&gt;TODAY(),"Ошибка: дата публикации в будущем",IF(S576="Да","Ошибка: подтверждённый дубль",IF(S576="","Проверить: отметьте дубль",IF(S576="Нужно проверить","Проверить возможный дубль",IF(TODAY()-E576&gt;30,"Проверить: старше 30 дней",IF(COUNTIFS(#REF!,G576,#REF!,"Готово")=0,"Проверить источник","Готово"))))))))))</f>
        <v/>
      </c>
    </row>
    <row r="577" spans="1:21" ht="25.5" customHeight="1">
      <c r="A577" s="21"/>
      <c r="B577" s="22"/>
      <c r="C577" s="21"/>
      <c r="D577" s="23"/>
      <c r="E577" s="22"/>
      <c r="F577" s="22"/>
      <c r="G577" s="23"/>
      <c r="H577" s="24"/>
      <c r="I577" s="24"/>
      <c r="J577" s="23"/>
      <c r="K577" s="23"/>
      <c r="L577" s="23"/>
      <c r="M577" s="23"/>
      <c r="N577" s="23"/>
      <c r="O577" s="23"/>
      <c r="P577" s="23"/>
      <c r="Q577" s="25"/>
      <c r="R577" s="23"/>
      <c r="S577" s="23"/>
      <c r="T577" s="23"/>
      <c r="U577" s="20" t="str">
        <f ca="1">IF(COUNTA(A577:T577)=0,"",IF(OR(A577="",B577="",C577="",E577="",G577="",H577="",J577="",K577="",L577="",M577=""),"Ошибка: заполните обязательные поля",IF(AND(LEFT(H577,7)&lt;&gt;"http://",LEFT(H577,8)&lt;&gt;"https://"),"Ошибка: некорректная ссылка",IF(COUNTIF($H$6:$H$1005,H577)&gt;1,"Ошибка: дубликат URL",IF(E577&gt;TODAY(),"Ошибка: дата публикации в будущем",IF(S577="Да","Ошибка: подтверждённый дубль",IF(S577="","Проверить: отметьте дубль",IF(S577="Нужно проверить","Проверить возможный дубль",IF(TODAY()-E577&gt;30,"Проверить: старше 30 дней",IF(COUNTIFS(#REF!,G577,#REF!,"Готово")=0,"Проверить источник","Готово"))))))))))</f>
        <v/>
      </c>
    </row>
    <row r="578" spans="1:21" ht="25.5" customHeight="1">
      <c r="A578" s="21"/>
      <c r="B578" s="22"/>
      <c r="C578" s="21"/>
      <c r="D578" s="23"/>
      <c r="E578" s="22"/>
      <c r="F578" s="22"/>
      <c r="G578" s="23"/>
      <c r="H578" s="24"/>
      <c r="I578" s="24"/>
      <c r="J578" s="23"/>
      <c r="K578" s="23"/>
      <c r="L578" s="23"/>
      <c r="M578" s="23"/>
      <c r="N578" s="23"/>
      <c r="O578" s="23"/>
      <c r="P578" s="23"/>
      <c r="Q578" s="25"/>
      <c r="R578" s="23"/>
      <c r="S578" s="23"/>
      <c r="T578" s="23"/>
      <c r="U578" s="20" t="str">
        <f ca="1">IF(COUNTA(A578:T578)=0,"",IF(OR(A578="",B578="",C578="",E578="",G578="",H578="",J578="",K578="",L578="",M578=""),"Ошибка: заполните обязательные поля",IF(AND(LEFT(H578,7)&lt;&gt;"http://",LEFT(H578,8)&lt;&gt;"https://"),"Ошибка: некорректная ссылка",IF(COUNTIF($H$6:$H$1005,H578)&gt;1,"Ошибка: дубликат URL",IF(E578&gt;TODAY(),"Ошибка: дата публикации в будущем",IF(S578="Да","Ошибка: подтверждённый дубль",IF(S578="","Проверить: отметьте дубль",IF(S578="Нужно проверить","Проверить возможный дубль",IF(TODAY()-E578&gt;30,"Проверить: старше 30 дней",IF(COUNTIFS(#REF!,G578,#REF!,"Готово")=0,"Проверить источник","Готово"))))))))))</f>
        <v/>
      </c>
    </row>
    <row r="579" spans="1:21" ht="25.5" customHeight="1">
      <c r="A579" s="21"/>
      <c r="B579" s="22"/>
      <c r="C579" s="21"/>
      <c r="D579" s="23"/>
      <c r="E579" s="22"/>
      <c r="F579" s="22"/>
      <c r="G579" s="23"/>
      <c r="H579" s="24"/>
      <c r="I579" s="24"/>
      <c r="J579" s="23"/>
      <c r="K579" s="23"/>
      <c r="L579" s="23"/>
      <c r="M579" s="23"/>
      <c r="N579" s="23"/>
      <c r="O579" s="23"/>
      <c r="P579" s="23"/>
      <c r="Q579" s="25"/>
      <c r="R579" s="23"/>
      <c r="S579" s="23"/>
      <c r="T579" s="23"/>
      <c r="U579" s="20" t="str">
        <f ca="1">IF(COUNTA(A579:T579)=0,"",IF(OR(A579="",B579="",C579="",E579="",G579="",H579="",J579="",K579="",L579="",M579=""),"Ошибка: заполните обязательные поля",IF(AND(LEFT(H579,7)&lt;&gt;"http://",LEFT(H579,8)&lt;&gt;"https://"),"Ошибка: некорректная ссылка",IF(COUNTIF($H$6:$H$1005,H579)&gt;1,"Ошибка: дубликат URL",IF(E579&gt;TODAY(),"Ошибка: дата публикации в будущем",IF(S579="Да","Ошибка: подтверждённый дубль",IF(S579="","Проверить: отметьте дубль",IF(S579="Нужно проверить","Проверить возможный дубль",IF(TODAY()-E579&gt;30,"Проверить: старше 30 дней",IF(COUNTIFS(#REF!,G579,#REF!,"Готово")=0,"Проверить источник","Готово"))))))))))</f>
        <v/>
      </c>
    </row>
    <row r="580" spans="1:21" ht="25.5" customHeight="1">
      <c r="A580" s="21"/>
      <c r="B580" s="22"/>
      <c r="C580" s="21"/>
      <c r="D580" s="23"/>
      <c r="E580" s="22"/>
      <c r="F580" s="22"/>
      <c r="G580" s="23"/>
      <c r="H580" s="24"/>
      <c r="I580" s="24"/>
      <c r="J580" s="23"/>
      <c r="K580" s="23"/>
      <c r="L580" s="23"/>
      <c r="M580" s="23"/>
      <c r="N580" s="23"/>
      <c r="O580" s="23"/>
      <c r="P580" s="23"/>
      <c r="Q580" s="25"/>
      <c r="R580" s="23"/>
      <c r="S580" s="23"/>
      <c r="T580" s="23"/>
      <c r="U580" s="20" t="str">
        <f ca="1">IF(COUNTA(A580:T580)=0,"",IF(OR(A580="",B580="",C580="",E580="",G580="",H580="",J580="",K580="",L580="",M580=""),"Ошибка: заполните обязательные поля",IF(AND(LEFT(H580,7)&lt;&gt;"http://",LEFT(H580,8)&lt;&gt;"https://"),"Ошибка: некорректная ссылка",IF(COUNTIF($H$6:$H$1005,H580)&gt;1,"Ошибка: дубликат URL",IF(E580&gt;TODAY(),"Ошибка: дата публикации в будущем",IF(S580="Да","Ошибка: подтверждённый дубль",IF(S580="","Проверить: отметьте дубль",IF(S580="Нужно проверить","Проверить возможный дубль",IF(TODAY()-E580&gt;30,"Проверить: старше 30 дней",IF(COUNTIFS(#REF!,G580,#REF!,"Готово")=0,"Проверить источник","Готово"))))))))))</f>
        <v/>
      </c>
    </row>
    <row r="581" spans="1:21" ht="25.5" customHeight="1">
      <c r="A581" s="21"/>
      <c r="B581" s="22"/>
      <c r="C581" s="21"/>
      <c r="D581" s="23"/>
      <c r="E581" s="22"/>
      <c r="F581" s="22"/>
      <c r="G581" s="23"/>
      <c r="H581" s="24"/>
      <c r="I581" s="24"/>
      <c r="J581" s="23"/>
      <c r="K581" s="23"/>
      <c r="L581" s="23"/>
      <c r="M581" s="23"/>
      <c r="N581" s="23"/>
      <c r="O581" s="23"/>
      <c r="P581" s="23"/>
      <c r="Q581" s="25"/>
      <c r="R581" s="23"/>
      <c r="S581" s="23"/>
      <c r="T581" s="23"/>
      <c r="U581" s="20" t="str">
        <f ca="1">IF(COUNTA(A581:T581)=0,"",IF(OR(A581="",B581="",C581="",E581="",G581="",H581="",J581="",K581="",L581="",M581=""),"Ошибка: заполните обязательные поля",IF(AND(LEFT(H581,7)&lt;&gt;"http://",LEFT(H581,8)&lt;&gt;"https://"),"Ошибка: некорректная ссылка",IF(COUNTIF($H$6:$H$1005,H581)&gt;1,"Ошибка: дубликат URL",IF(E581&gt;TODAY(),"Ошибка: дата публикации в будущем",IF(S581="Да","Ошибка: подтверждённый дубль",IF(S581="","Проверить: отметьте дубль",IF(S581="Нужно проверить","Проверить возможный дубль",IF(TODAY()-E581&gt;30,"Проверить: старше 30 дней",IF(COUNTIFS(#REF!,G581,#REF!,"Готово")=0,"Проверить источник","Готово"))))))))))</f>
        <v/>
      </c>
    </row>
    <row r="582" spans="1:21" ht="25.5" customHeight="1">
      <c r="A582" s="21"/>
      <c r="B582" s="22"/>
      <c r="C582" s="21"/>
      <c r="D582" s="23"/>
      <c r="E582" s="22"/>
      <c r="F582" s="22"/>
      <c r="G582" s="23"/>
      <c r="H582" s="24"/>
      <c r="I582" s="24"/>
      <c r="J582" s="23"/>
      <c r="K582" s="23"/>
      <c r="L582" s="23"/>
      <c r="M582" s="23"/>
      <c r="N582" s="23"/>
      <c r="O582" s="23"/>
      <c r="P582" s="23"/>
      <c r="Q582" s="25"/>
      <c r="R582" s="23"/>
      <c r="S582" s="23"/>
      <c r="T582" s="23"/>
      <c r="U582" s="20" t="str">
        <f ca="1">IF(COUNTA(A582:T582)=0,"",IF(OR(A582="",B582="",C582="",E582="",G582="",H582="",J582="",K582="",L582="",M582=""),"Ошибка: заполните обязательные поля",IF(AND(LEFT(H582,7)&lt;&gt;"http://",LEFT(H582,8)&lt;&gt;"https://"),"Ошибка: некорректная ссылка",IF(COUNTIF($H$6:$H$1005,H582)&gt;1,"Ошибка: дубликат URL",IF(E582&gt;TODAY(),"Ошибка: дата публикации в будущем",IF(S582="Да","Ошибка: подтверждённый дубль",IF(S582="","Проверить: отметьте дубль",IF(S582="Нужно проверить","Проверить возможный дубль",IF(TODAY()-E582&gt;30,"Проверить: старше 30 дней",IF(COUNTIFS(#REF!,G582,#REF!,"Готово")=0,"Проверить источник","Готово"))))))))))</f>
        <v/>
      </c>
    </row>
    <row r="583" spans="1:21" ht="25.5" customHeight="1">
      <c r="A583" s="21"/>
      <c r="B583" s="22"/>
      <c r="C583" s="21"/>
      <c r="D583" s="23"/>
      <c r="E583" s="22"/>
      <c r="F583" s="22"/>
      <c r="G583" s="23"/>
      <c r="H583" s="24"/>
      <c r="I583" s="24"/>
      <c r="J583" s="23"/>
      <c r="K583" s="23"/>
      <c r="L583" s="23"/>
      <c r="M583" s="23"/>
      <c r="N583" s="23"/>
      <c r="O583" s="23"/>
      <c r="P583" s="23"/>
      <c r="Q583" s="25"/>
      <c r="R583" s="23"/>
      <c r="S583" s="23"/>
      <c r="T583" s="23"/>
      <c r="U583" s="20" t="str">
        <f ca="1">IF(COUNTA(A583:T583)=0,"",IF(OR(A583="",B583="",C583="",E583="",G583="",H583="",J583="",K583="",L583="",M583=""),"Ошибка: заполните обязательные поля",IF(AND(LEFT(H583,7)&lt;&gt;"http://",LEFT(H583,8)&lt;&gt;"https://"),"Ошибка: некорректная ссылка",IF(COUNTIF($H$6:$H$1005,H583)&gt;1,"Ошибка: дубликат URL",IF(E583&gt;TODAY(),"Ошибка: дата публикации в будущем",IF(S583="Да","Ошибка: подтверждённый дубль",IF(S583="","Проверить: отметьте дубль",IF(S583="Нужно проверить","Проверить возможный дубль",IF(TODAY()-E583&gt;30,"Проверить: старше 30 дней",IF(COUNTIFS(#REF!,G583,#REF!,"Готово")=0,"Проверить источник","Готово"))))))))))</f>
        <v/>
      </c>
    </row>
    <row r="584" spans="1:21" ht="25.5" customHeight="1">
      <c r="A584" s="21"/>
      <c r="B584" s="22"/>
      <c r="C584" s="21"/>
      <c r="D584" s="23"/>
      <c r="E584" s="22"/>
      <c r="F584" s="22"/>
      <c r="G584" s="23"/>
      <c r="H584" s="24"/>
      <c r="I584" s="24"/>
      <c r="J584" s="23"/>
      <c r="K584" s="23"/>
      <c r="L584" s="23"/>
      <c r="M584" s="23"/>
      <c r="N584" s="23"/>
      <c r="O584" s="23"/>
      <c r="P584" s="23"/>
      <c r="Q584" s="25"/>
      <c r="R584" s="23"/>
      <c r="S584" s="23"/>
      <c r="T584" s="23"/>
      <c r="U584" s="20" t="str">
        <f ca="1">IF(COUNTA(A584:T584)=0,"",IF(OR(A584="",B584="",C584="",E584="",G584="",H584="",J584="",K584="",L584="",M584=""),"Ошибка: заполните обязательные поля",IF(AND(LEFT(H584,7)&lt;&gt;"http://",LEFT(H584,8)&lt;&gt;"https://"),"Ошибка: некорректная ссылка",IF(COUNTIF($H$6:$H$1005,H584)&gt;1,"Ошибка: дубликат URL",IF(E584&gt;TODAY(),"Ошибка: дата публикации в будущем",IF(S584="Да","Ошибка: подтверждённый дубль",IF(S584="","Проверить: отметьте дубль",IF(S584="Нужно проверить","Проверить возможный дубль",IF(TODAY()-E584&gt;30,"Проверить: старше 30 дней",IF(COUNTIFS(#REF!,G584,#REF!,"Готово")=0,"Проверить источник","Готово"))))))))))</f>
        <v/>
      </c>
    </row>
    <row r="585" spans="1:21" ht="25.5" customHeight="1">
      <c r="A585" s="21"/>
      <c r="B585" s="22"/>
      <c r="C585" s="21"/>
      <c r="D585" s="23"/>
      <c r="E585" s="22"/>
      <c r="F585" s="22"/>
      <c r="G585" s="23"/>
      <c r="H585" s="24"/>
      <c r="I585" s="24"/>
      <c r="J585" s="23"/>
      <c r="K585" s="23"/>
      <c r="L585" s="23"/>
      <c r="M585" s="23"/>
      <c r="N585" s="23"/>
      <c r="O585" s="23"/>
      <c r="P585" s="23"/>
      <c r="Q585" s="25"/>
      <c r="R585" s="23"/>
      <c r="S585" s="23"/>
      <c r="T585" s="23"/>
      <c r="U585" s="20" t="str">
        <f ca="1">IF(COUNTA(A585:T585)=0,"",IF(OR(A585="",B585="",C585="",E585="",G585="",H585="",J585="",K585="",L585="",M585=""),"Ошибка: заполните обязательные поля",IF(AND(LEFT(H585,7)&lt;&gt;"http://",LEFT(H585,8)&lt;&gt;"https://"),"Ошибка: некорректная ссылка",IF(COUNTIF($H$6:$H$1005,H585)&gt;1,"Ошибка: дубликат URL",IF(E585&gt;TODAY(),"Ошибка: дата публикации в будущем",IF(S585="Да","Ошибка: подтверждённый дубль",IF(S585="","Проверить: отметьте дубль",IF(S585="Нужно проверить","Проверить возможный дубль",IF(TODAY()-E585&gt;30,"Проверить: старше 30 дней",IF(COUNTIFS(#REF!,G585,#REF!,"Готово")=0,"Проверить источник","Готово"))))))))))</f>
        <v/>
      </c>
    </row>
    <row r="586" spans="1:21" ht="25.5" customHeight="1">
      <c r="A586" s="21"/>
      <c r="B586" s="22"/>
      <c r="C586" s="21"/>
      <c r="D586" s="23"/>
      <c r="E586" s="22"/>
      <c r="F586" s="22"/>
      <c r="G586" s="23"/>
      <c r="H586" s="24"/>
      <c r="I586" s="24"/>
      <c r="J586" s="23"/>
      <c r="K586" s="23"/>
      <c r="L586" s="23"/>
      <c r="M586" s="23"/>
      <c r="N586" s="23"/>
      <c r="O586" s="23"/>
      <c r="P586" s="23"/>
      <c r="Q586" s="25"/>
      <c r="R586" s="23"/>
      <c r="S586" s="23"/>
      <c r="T586" s="23"/>
      <c r="U586" s="20" t="str">
        <f ca="1">IF(COUNTA(A586:T586)=0,"",IF(OR(A586="",B586="",C586="",E586="",G586="",H586="",J586="",K586="",L586="",M586=""),"Ошибка: заполните обязательные поля",IF(AND(LEFT(H586,7)&lt;&gt;"http://",LEFT(H586,8)&lt;&gt;"https://"),"Ошибка: некорректная ссылка",IF(COUNTIF($H$6:$H$1005,H586)&gt;1,"Ошибка: дубликат URL",IF(E586&gt;TODAY(),"Ошибка: дата публикации в будущем",IF(S586="Да","Ошибка: подтверждённый дубль",IF(S586="","Проверить: отметьте дубль",IF(S586="Нужно проверить","Проверить возможный дубль",IF(TODAY()-E586&gt;30,"Проверить: старше 30 дней",IF(COUNTIFS(#REF!,G586,#REF!,"Готово")=0,"Проверить источник","Готово"))))))))))</f>
        <v/>
      </c>
    </row>
    <row r="587" spans="1:21" ht="25.5" customHeight="1">
      <c r="A587" s="21"/>
      <c r="B587" s="22"/>
      <c r="C587" s="21"/>
      <c r="D587" s="23"/>
      <c r="E587" s="22"/>
      <c r="F587" s="22"/>
      <c r="G587" s="23"/>
      <c r="H587" s="24"/>
      <c r="I587" s="24"/>
      <c r="J587" s="23"/>
      <c r="K587" s="23"/>
      <c r="L587" s="23"/>
      <c r="M587" s="23"/>
      <c r="N587" s="23"/>
      <c r="O587" s="23"/>
      <c r="P587" s="23"/>
      <c r="Q587" s="25"/>
      <c r="R587" s="23"/>
      <c r="S587" s="23"/>
      <c r="T587" s="23"/>
      <c r="U587" s="20" t="str">
        <f ca="1">IF(COUNTA(A587:T587)=0,"",IF(OR(A587="",B587="",C587="",E587="",G587="",H587="",J587="",K587="",L587="",M587=""),"Ошибка: заполните обязательные поля",IF(AND(LEFT(H587,7)&lt;&gt;"http://",LEFT(H587,8)&lt;&gt;"https://"),"Ошибка: некорректная ссылка",IF(COUNTIF($H$6:$H$1005,H587)&gt;1,"Ошибка: дубликат URL",IF(E587&gt;TODAY(),"Ошибка: дата публикации в будущем",IF(S587="Да","Ошибка: подтверждённый дубль",IF(S587="","Проверить: отметьте дубль",IF(S587="Нужно проверить","Проверить возможный дубль",IF(TODAY()-E587&gt;30,"Проверить: старше 30 дней",IF(COUNTIFS(#REF!,G587,#REF!,"Готово")=0,"Проверить источник","Готово"))))))))))</f>
        <v/>
      </c>
    </row>
    <row r="588" spans="1:21" ht="25.5" customHeight="1">
      <c r="A588" s="21"/>
      <c r="B588" s="22"/>
      <c r="C588" s="21"/>
      <c r="D588" s="23"/>
      <c r="E588" s="22"/>
      <c r="F588" s="22"/>
      <c r="G588" s="23"/>
      <c r="H588" s="24"/>
      <c r="I588" s="24"/>
      <c r="J588" s="23"/>
      <c r="K588" s="23"/>
      <c r="L588" s="23"/>
      <c r="M588" s="23"/>
      <c r="N588" s="23"/>
      <c r="O588" s="23"/>
      <c r="P588" s="23"/>
      <c r="Q588" s="25"/>
      <c r="R588" s="23"/>
      <c r="S588" s="23"/>
      <c r="T588" s="23"/>
      <c r="U588" s="20" t="str">
        <f ca="1">IF(COUNTA(A588:T588)=0,"",IF(OR(A588="",B588="",C588="",E588="",G588="",H588="",J588="",K588="",L588="",M588=""),"Ошибка: заполните обязательные поля",IF(AND(LEFT(H588,7)&lt;&gt;"http://",LEFT(H588,8)&lt;&gt;"https://"),"Ошибка: некорректная ссылка",IF(COUNTIF($H$6:$H$1005,H588)&gt;1,"Ошибка: дубликат URL",IF(E588&gt;TODAY(),"Ошибка: дата публикации в будущем",IF(S588="Да","Ошибка: подтверждённый дубль",IF(S588="","Проверить: отметьте дубль",IF(S588="Нужно проверить","Проверить возможный дубль",IF(TODAY()-E588&gt;30,"Проверить: старше 30 дней",IF(COUNTIFS(#REF!,G588,#REF!,"Готово")=0,"Проверить источник","Готово"))))))))))</f>
        <v/>
      </c>
    </row>
    <row r="589" spans="1:21" ht="25.5" customHeight="1">
      <c r="A589" s="21"/>
      <c r="B589" s="22"/>
      <c r="C589" s="21"/>
      <c r="D589" s="23"/>
      <c r="E589" s="22"/>
      <c r="F589" s="22"/>
      <c r="G589" s="23"/>
      <c r="H589" s="24"/>
      <c r="I589" s="24"/>
      <c r="J589" s="23"/>
      <c r="K589" s="23"/>
      <c r="L589" s="23"/>
      <c r="M589" s="23"/>
      <c r="N589" s="23"/>
      <c r="O589" s="23"/>
      <c r="P589" s="23"/>
      <c r="Q589" s="25"/>
      <c r="R589" s="23"/>
      <c r="S589" s="23"/>
      <c r="T589" s="23"/>
      <c r="U589" s="20" t="str">
        <f ca="1">IF(COUNTA(A589:T589)=0,"",IF(OR(A589="",B589="",C589="",E589="",G589="",H589="",J589="",K589="",L589="",M589=""),"Ошибка: заполните обязательные поля",IF(AND(LEFT(H589,7)&lt;&gt;"http://",LEFT(H589,8)&lt;&gt;"https://"),"Ошибка: некорректная ссылка",IF(COUNTIF($H$6:$H$1005,H589)&gt;1,"Ошибка: дубликат URL",IF(E589&gt;TODAY(),"Ошибка: дата публикации в будущем",IF(S589="Да","Ошибка: подтверждённый дубль",IF(S589="","Проверить: отметьте дубль",IF(S589="Нужно проверить","Проверить возможный дубль",IF(TODAY()-E589&gt;30,"Проверить: старше 30 дней",IF(COUNTIFS(#REF!,G589,#REF!,"Готово")=0,"Проверить источник","Готово"))))))))))</f>
        <v/>
      </c>
    </row>
    <row r="590" spans="1:21" ht="25.5" customHeight="1">
      <c r="A590" s="21"/>
      <c r="B590" s="22"/>
      <c r="C590" s="21"/>
      <c r="D590" s="23"/>
      <c r="E590" s="22"/>
      <c r="F590" s="22"/>
      <c r="G590" s="23"/>
      <c r="H590" s="24"/>
      <c r="I590" s="24"/>
      <c r="J590" s="23"/>
      <c r="K590" s="23"/>
      <c r="L590" s="23"/>
      <c r="M590" s="23"/>
      <c r="N590" s="23"/>
      <c r="O590" s="23"/>
      <c r="P590" s="23"/>
      <c r="Q590" s="25"/>
      <c r="R590" s="23"/>
      <c r="S590" s="23"/>
      <c r="T590" s="23"/>
      <c r="U590" s="20" t="str">
        <f ca="1">IF(COUNTA(A590:T590)=0,"",IF(OR(A590="",B590="",C590="",E590="",G590="",H590="",J590="",K590="",L590="",M590=""),"Ошибка: заполните обязательные поля",IF(AND(LEFT(H590,7)&lt;&gt;"http://",LEFT(H590,8)&lt;&gt;"https://"),"Ошибка: некорректная ссылка",IF(COUNTIF($H$6:$H$1005,H590)&gt;1,"Ошибка: дубликат URL",IF(E590&gt;TODAY(),"Ошибка: дата публикации в будущем",IF(S590="Да","Ошибка: подтверждённый дубль",IF(S590="","Проверить: отметьте дубль",IF(S590="Нужно проверить","Проверить возможный дубль",IF(TODAY()-E590&gt;30,"Проверить: старше 30 дней",IF(COUNTIFS(#REF!,G590,#REF!,"Готово")=0,"Проверить источник","Готово"))))))))))</f>
        <v/>
      </c>
    </row>
    <row r="591" spans="1:21" ht="25.5" customHeight="1">
      <c r="A591" s="21"/>
      <c r="B591" s="22"/>
      <c r="C591" s="21"/>
      <c r="D591" s="23"/>
      <c r="E591" s="22"/>
      <c r="F591" s="22"/>
      <c r="G591" s="23"/>
      <c r="H591" s="24"/>
      <c r="I591" s="24"/>
      <c r="J591" s="23"/>
      <c r="K591" s="23"/>
      <c r="L591" s="23"/>
      <c r="M591" s="23"/>
      <c r="N591" s="23"/>
      <c r="O591" s="23"/>
      <c r="P591" s="23"/>
      <c r="Q591" s="25"/>
      <c r="R591" s="23"/>
      <c r="S591" s="23"/>
      <c r="T591" s="23"/>
      <c r="U591" s="20" t="str">
        <f ca="1">IF(COUNTA(A591:T591)=0,"",IF(OR(A591="",B591="",C591="",E591="",G591="",H591="",J591="",K591="",L591="",M591=""),"Ошибка: заполните обязательные поля",IF(AND(LEFT(H591,7)&lt;&gt;"http://",LEFT(H591,8)&lt;&gt;"https://"),"Ошибка: некорректная ссылка",IF(COUNTIF($H$6:$H$1005,H591)&gt;1,"Ошибка: дубликат URL",IF(E591&gt;TODAY(),"Ошибка: дата публикации в будущем",IF(S591="Да","Ошибка: подтверждённый дубль",IF(S591="","Проверить: отметьте дубль",IF(S591="Нужно проверить","Проверить возможный дубль",IF(TODAY()-E591&gt;30,"Проверить: старше 30 дней",IF(COUNTIFS(#REF!,G591,#REF!,"Готово")=0,"Проверить источник","Готово"))))))))))</f>
        <v/>
      </c>
    </row>
    <row r="592" spans="1:21" ht="25.5" customHeight="1">
      <c r="A592" s="21"/>
      <c r="B592" s="22"/>
      <c r="C592" s="21"/>
      <c r="D592" s="23"/>
      <c r="E592" s="22"/>
      <c r="F592" s="22"/>
      <c r="G592" s="23"/>
      <c r="H592" s="24"/>
      <c r="I592" s="24"/>
      <c r="J592" s="23"/>
      <c r="K592" s="23"/>
      <c r="L592" s="23"/>
      <c r="M592" s="23"/>
      <c r="N592" s="23"/>
      <c r="O592" s="23"/>
      <c r="P592" s="23"/>
      <c r="Q592" s="25"/>
      <c r="R592" s="23"/>
      <c r="S592" s="23"/>
      <c r="T592" s="23"/>
      <c r="U592" s="20" t="str">
        <f ca="1">IF(COUNTA(A592:T592)=0,"",IF(OR(A592="",B592="",C592="",E592="",G592="",H592="",J592="",K592="",L592="",M592=""),"Ошибка: заполните обязательные поля",IF(AND(LEFT(H592,7)&lt;&gt;"http://",LEFT(H592,8)&lt;&gt;"https://"),"Ошибка: некорректная ссылка",IF(COUNTIF($H$6:$H$1005,H592)&gt;1,"Ошибка: дубликат URL",IF(E592&gt;TODAY(),"Ошибка: дата публикации в будущем",IF(S592="Да","Ошибка: подтверждённый дубль",IF(S592="","Проверить: отметьте дубль",IF(S592="Нужно проверить","Проверить возможный дубль",IF(TODAY()-E592&gt;30,"Проверить: старше 30 дней",IF(COUNTIFS(#REF!,G592,#REF!,"Готово")=0,"Проверить источник","Готово"))))))))))</f>
        <v/>
      </c>
    </row>
    <row r="593" spans="1:21" ht="25.5" customHeight="1">
      <c r="A593" s="21"/>
      <c r="B593" s="22"/>
      <c r="C593" s="21"/>
      <c r="D593" s="23"/>
      <c r="E593" s="22"/>
      <c r="F593" s="22"/>
      <c r="G593" s="23"/>
      <c r="H593" s="24"/>
      <c r="I593" s="24"/>
      <c r="J593" s="23"/>
      <c r="K593" s="23"/>
      <c r="L593" s="23"/>
      <c r="M593" s="23"/>
      <c r="N593" s="23"/>
      <c r="O593" s="23"/>
      <c r="P593" s="23"/>
      <c r="Q593" s="25"/>
      <c r="R593" s="23"/>
      <c r="S593" s="23"/>
      <c r="T593" s="23"/>
      <c r="U593" s="20" t="str">
        <f ca="1">IF(COUNTA(A593:T593)=0,"",IF(OR(A593="",B593="",C593="",E593="",G593="",H593="",J593="",K593="",L593="",M593=""),"Ошибка: заполните обязательные поля",IF(AND(LEFT(H593,7)&lt;&gt;"http://",LEFT(H593,8)&lt;&gt;"https://"),"Ошибка: некорректная ссылка",IF(COUNTIF($H$6:$H$1005,H593)&gt;1,"Ошибка: дубликат URL",IF(E593&gt;TODAY(),"Ошибка: дата публикации в будущем",IF(S593="Да","Ошибка: подтверждённый дубль",IF(S593="","Проверить: отметьте дубль",IF(S593="Нужно проверить","Проверить возможный дубль",IF(TODAY()-E593&gt;30,"Проверить: старше 30 дней",IF(COUNTIFS(#REF!,G593,#REF!,"Готово")=0,"Проверить источник","Готово"))))))))))</f>
        <v/>
      </c>
    </row>
    <row r="594" spans="1:21" ht="25.5" customHeight="1">
      <c r="A594" s="21"/>
      <c r="B594" s="22"/>
      <c r="C594" s="21"/>
      <c r="D594" s="23"/>
      <c r="E594" s="22"/>
      <c r="F594" s="22"/>
      <c r="G594" s="23"/>
      <c r="H594" s="24"/>
      <c r="I594" s="24"/>
      <c r="J594" s="23"/>
      <c r="K594" s="23"/>
      <c r="L594" s="23"/>
      <c r="M594" s="23"/>
      <c r="N594" s="23"/>
      <c r="O594" s="23"/>
      <c r="P594" s="23"/>
      <c r="Q594" s="25"/>
      <c r="R594" s="23"/>
      <c r="S594" s="23"/>
      <c r="T594" s="23"/>
      <c r="U594" s="20" t="str">
        <f ca="1">IF(COUNTA(A594:T594)=0,"",IF(OR(A594="",B594="",C594="",E594="",G594="",H594="",J594="",K594="",L594="",M594=""),"Ошибка: заполните обязательные поля",IF(AND(LEFT(H594,7)&lt;&gt;"http://",LEFT(H594,8)&lt;&gt;"https://"),"Ошибка: некорректная ссылка",IF(COUNTIF($H$6:$H$1005,H594)&gt;1,"Ошибка: дубликат URL",IF(E594&gt;TODAY(),"Ошибка: дата публикации в будущем",IF(S594="Да","Ошибка: подтверждённый дубль",IF(S594="","Проверить: отметьте дубль",IF(S594="Нужно проверить","Проверить возможный дубль",IF(TODAY()-E594&gt;30,"Проверить: старше 30 дней",IF(COUNTIFS(#REF!,G594,#REF!,"Готово")=0,"Проверить источник","Готово"))))))))))</f>
        <v/>
      </c>
    </row>
    <row r="595" spans="1:21" ht="25.5" customHeight="1">
      <c r="A595" s="21"/>
      <c r="B595" s="22"/>
      <c r="C595" s="21"/>
      <c r="D595" s="23"/>
      <c r="E595" s="22"/>
      <c r="F595" s="22"/>
      <c r="G595" s="23"/>
      <c r="H595" s="24"/>
      <c r="I595" s="24"/>
      <c r="J595" s="23"/>
      <c r="K595" s="23"/>
      <c r="L595" s="23"/>
      <c r="M595" s="23"/>
      <c r="N595" s="23"/>
      <c r="O595" s="23"/>
      <c r="P595" s="23"/>
      <c r="Q595" s="25"/>
      <c r="R595" s="23"/>
      <c r="S595" s="23"/>
      <c r="T595" s="23"/>
      <c r="U595" s="20" t="str">
        <f ca="1">IF(COUNTA(A595:T595)=0,"",IF(OR(A595="",B595="",C595="",E595="",G595="",H595="",J595="",K595="",L595="",M595=""),"Ошибка: заполните обязательные поля",IF(AND(LEFT(H595,7)&lt;&gt;"http://",LEFT(H595,8)&lt;&gt;"https://"),"Ошибка: некорректная ссылка",IF(COUNTIF($H$6:$H$1005,H595)&gt;1,"Ошибка: дубликат URL",IF(E595&gt;TODAY(),"Ошибка: дата публикации в будущем",IF(S595="Да","Ошибка: подтверждённый дубль",IF(S595="","Проверить: отметьте дубль",IF(S595="Нужно проверить","Проверить возможный дубль",IF(TODAY()-E595&gt;30,"Проверить: старше 30 дней",IF(COUNTIFS(#REF!,G595,#REF!,"Готово")=0,"Проверить источник","Готово"))))))))))</f>
        <v/>
      </c>
    </row>
    <row r="596" spans="1:21" ht="25.5" customHeight="1">
      <c r="A596" s="21"/>
      <c r="B596" s="22"/>
      <c r="C596" s="21"/>
      <c r="D596" s="23"/>
      <c r="E596" s="22"/>
      <c r="F596" s="22"/>
      <c r="G596" s="23"/>
      <c r="H596" s="24"/>
      <c r="I596" s="24"/>
      <c r="J596" s="23"/>
      <c r="K596" s="23"/>
      <c r="L596" s="23"/>
      <c r="M596" s="23"/>
      <c r="N596" s="23"/>
      <c r="O596" s="23"/>
      <c r="P596" s="23"/>
      <c r="Q596" s="25"/>
      <c r="R596" s="23"/>
      <c r="S596" s="23"/>
      <c r="T596" s="23"/>
      <c r="U596" s="20" t="str">
        <f ca="1">IF(COUNTA(A596:T596)=0,"",IF(OR(A596="",B596="",C596="",E596="",G596="",H596="",J596="",K596="",L596="",M596=""),"Ошибка: заполните обязательные поля",IF(AND(LEFT(H596,7)&lt;&gt;"http://",LEFT(H596,8)&lt;&gt;"https://"),"Ошибка: некорректная ссылка",IF(COUNTIF($H$6:$H$1005,H596)&gt;1,"Ошибка: дубликат URL",IF(E596&gt;TODAY(),"Ошибка: дата публикации в будущем",IF(S596="Да","Ошибка: подтверждённый дубль",IF(S596="","Проверить: отметьте дубль",IF(S596="Нужно проверить","Проверить возможный дубль",IF(TODAY()-E596&gt;30,"Проверить: старше 30 дней",IF(COUNTIFS(#REF!,G596,#REF!,"Готово")=0,"Проверить источник","Готово"))))))))))</f>
        <v/>
      </c>
    </row>
    <row r="597" spans="1:21" ht="25.5" customHeight="1">
      <c r="A597" s="21"/>
      <c r="B597" s="22"/>
      <c r="C597" s="21"/>
      <c r="D597" s="23"/>
      <c r="E597" s="22"/>
      <c r="F597" s="22"/>
      <c r="G597" s="23"/>
      <c r="H597" s="24"/>
      <c r="I597" s="24"/>
      <c r="J597" s="23"/>
      <c r="K597" s="23"/>
      <c r="L597" s="23"/>
      <c r="M597" s="23"/>
      <c r="N597" s="23"/>
      <c r="O597" s="23"/>
      <c r="P597" s="23"/>
      <c r="Q597" s="25"/>
      <c r="R597" s="23"/>
      <c r="S597" s="23"/>
      <c r="T597" s="23"/>
      <c r="U597" s="20" t="str">
        <f ca="1">IF(COUNTA(A597:T597)=0,"",IF(OR(A597="",B597="",C597="",E597="",G597="",H597="",J597="",K597="",L597="",M597=""),"Ошибка: заполните обязательные поля",IF(AND(LEFT(H597,7)&lt;&gt;"http://",LEFT(H597,8)&lt;&gt;"https://"),"Ошибка: некорректная ссылка",IF(COUNTIF($H$6:$H$1005,H597)&gt;1,"Ошибка: дубликат URL",IF(E597&gt;TODAY(),"Ошибка: дата публикации в будущем",IF(S597="Да","Ошибка: подтверждённый дубль",IF(S597="","Проверить: отметьте дубль",IF(S597="Нужно проверить","Проверить возможный дубль",IF(TODAY()-E597&gt;30,"Проверить: старше 30 дней",IF(COUNTIFS(#REF!,G597,#REF!,"Готово")=0,"Проверить источник","Готово"))))))))))</f>
        <v/>
      </c>
    </row>
    <row r="598" spans="1:21" ht="25.5" customHeight="1">
      <c r="A598" s="21"/>
      <c r="B598" s="22"/>
      <c r="C598" s="21"/>
      <c r="D598" s="23"/>
      <c r="E598" s="22"/>
      <c r="F598" s="22"/>
      <c r="G598" s="23"/>
      <c r="H598" s="24"/>
      <c r="I598" s="24"/>
      <c r="J598" s="23"/>
      <c r="K598" s="23"/>
      <c r="L598" s="23"/>
      <c r="M598" s="23"/>
      <c r="N598" s="23"/>
      <c r="O598" s="23"/>
      <c r="P598" s="23"/>
      <c r="Q598" s="25"/>
      <c r="R598" s="23"/>
      <c r="S598" s="23"/>
      <c r="T598" s="23"/>
      <c r="U598" s="20" t="str">
        <f ca="1">IF(COUNTA(A598:T598)=0,"",IF(OR(A598="",B598="",C598="",E598="",G598="",H598="",J598="",K598="",L598="",M598=""),"Ошибка: заполните обязательные поля",IF(AND(LEFT(H598,7)&lt;&gt;"http://",LEFT(H598,8)&lt;&gt;"https://"),"Ошибка: некорректная ссылка",IF(COUNTIF($H$6:$H$1005,H598)&gt;1,"Ошибка: дубликат URL",IF(E598&gt;TODAY(),"Ошибка: дата публикации в будущем",IF(S598="Да","Ошибка: подтверждённый дубль",IF(S598="","Проверить: отметьте дубль",IF(S598="Нужно проверить","Проверить возможный дубль",IF(TODAY()-E598&gt;30,"Проверить: старше 30 дней",IF(COUNTIFS(#REF!,G598,#REF!,"Готово")=0,"Проверить источник","Готово"))))))))))</f>
        <v/>
      </c>
    </row>
    <row r="599" spans="1:21" ht="25.5" customHeight="1">
      <c r="A599" s="21"/>
      <c r="B599" s="22"/>
      <c r="C599" s="21"/>
      <c r="D599" s="23"/>
      <c r="E599" s="22"/>
      <c r="F599" s="22"/>
      <c r="G599" s="23"/>
      <c r="H599" s="24"/>
      <c r="I599" s="24"/>
      <c r="J599" s="23"/>
      <c r="K599" s="23"/>
      <c r="L599" s="23"/>
      <c r="M599" s="23"/>
      <c r="N599" s="23"/>
      <c r="O599" s="23"/>
      <c r="P599" s="23"/>
      <c r="Q599" s="25"/>
      <c r="R599" s="23"/>
      <c r="S599" s="23"/>
      <c r="T599" s="23"/>
      <c r="U599" s="20" t="str">
        <f ca="1">IF(COUNTA(A599:T599)=0,"",IF(OR(A599="",B599="",C599="",E599="",G599="",H599="",J599="",K599="",L599="",M599=""),"Ошибка: заполните обязательные поля",IF(AND(LEFT(H599,7)&lt;&gt;"http://",LEFT(H599,8)&lt;&gt;"https://"),"Ошибка: некорректная ссылка",IF(COUNTIF($H$6:$H$1005,H599)&gt;1,"Ошибка: дубликат URL",IF(E599&gt;TODAY(),"Ошибка: дата публикации в будущем",IF(S599="Да","Ошибка: подтверждённый дубль",IF(S599="","Проверить: отметьте дубль",IF(S599="Нужно проверить","Проверить возможный дубль",IF(TODAY()-E599&gt;30,"Проверить: старше 30 дней",IF(COUNTIFS(#REF!,G599,#REF!,"Готово")=0,"Проверить источник","Готово"))))))))))</f>
        <v/>
      </c>
    </row>
    <row r="600" spans="1:21" ht="25.5" customHeight="1">
      <c r="A600" s="21"/>
      <c r="B600" s="22"/>
      <c r="C600" s="21"/>
      <c r="D600" s="23"/>
      <c r="E600" s="22"/>
      <c r="F600" s="22"/>
      <c r="G600" s="23"/>
      <c r="H600" s="24"/>
      <c r="I600" s="24"/>
      <c r="J600" s="23"/>
      <c r="K600" s="23"/>
      <c r="L600" s="23"/>
      <c r="M600" s="23"/>
      <c r="N600" s="23"/>
      <c r="O600" s="23"/>
      <c r="P600" s="23"/>
      <c r="Q600" s="25"/>
      <c r="R600" s="23"/>
      <c r="S600" s="23"/>
      <c r="T600" s="23"/>
      <c r="U600" s="20" t="str">
        <f ca="1">IF(COUNTA(A600:T600)=0,"",IF(OR(A600="",B600="",C600="",E600="",G600="",H600="",J600="",K600="",L600="",M600=""),"Ошибка: заполните обязательные поля",IF(AND(LEFT(H600,7)&lt;&gt;"http://",LEFT(H600,8)&lt;&gt;"https://"),"Ошибка: некорректная ссылка",IF(COUNTIF($H$6:$H$1005,H600)&gt;1,"Ошибка: дубликат URL",IF(E600&gt;TODAY(),"Ошибка: дата публикации в будущем",IF(S600="Да","Ошибка: подтверждённый дубль",IF(S600="","Проверить: отметьте дубль",IF(S600="Нужно проверить","Проверить возможный дубль",IF(TODAY()-E600&gt;30,"Проверить: старше 30 дней",IF(COUNTIFS(#REF!,G600,#REF!,"Готово")=0,"Проверить источник","Готово"))))))))))</f>
        <v/>
      </c>
    </row>
    <row r="601" spans="1:21" ht="25.5" customHeight="1">
      <c r="A601" s="21"/>
      <c r="B601" s="22"/>
      <c r="C601" s="21"/>
      <c r="D601" s="23"/>
      <c r="E601" s="22"/>
      <c r="F601" s="22"/>
      <c r="G601" s="23"/>
      <c r="H601" s="24"/>
      <c r="I601" s="24"/>
      <c r="J601" s="23"/>
      <c r="K601" s="23"/>
      <c r="L601" s="23"/>
      <c r="M601" s="23"/>
      <c r="N601" s="23"/>
      <c r="O601" s="23"/>
      <c r="P601" s="23"/>
      <c r="Q601" s="25"/>
      <c r="R601" s="23"/>
      <c r="S601" s="23"/>
      <c r="T601" s="23"/>
      <c r="U601" s="20" t="str">
        <f ca="1">IF(COUNTA(A601:T601)=0,"",IF(OR(A601="",B601="",C601="",E601="",G601="",H601="",J601="",K601="",L601="",M601=""),"Ошибка: заполните обязательные поля",IF(AND(LEFT(H601,7)&lt;&gt;"http://",LEFT(H601,8)&lt;&gt;"https://"),"Ошибка: некорректная ссылка",IF(COUNTIF($H$6:$H$1005,H601)&gt;1,"Ошибка: дубликат URL",IF(E601&gt;TODAY(),"Ошибка: дата публикации в будущем",IF(S601="Да","Ошибка: подтверждённый дубль",IF(S601="","Проверить: отметьте дубль",IF(S601="Нужно проверить","Проверить возможный дубль",IF(TODAY()-E601&gt;30,"Проверить: старше 30 дней",IF(COUNTIFS(#REF!,G601,#REF!,"Готово")=0,"Проверить источник","Готово"))))))))))</f>
        <v/>
      </c>
    </row>
    <row r="602" spans="1:21" ht="25.5" customHeight="1">
      <c r="A602" s="21"/>
      <c r="B602" s="22"/>
      <c r="C602" s="21"/>
      <c r="D602" s="23"/>
      <c r="E602" s="22"/>
      <c r="F602" s="22"/>
      <c r="G602" s="23"/>
      <c r="H602" s="24"/>
      <c r="I602" s="24"/>
      <c r="J602" s="23"/>
      <c r="K602" s="23"/>
      <c r="L602" s="23"/>
      <c r="M602" s="23"/>
      <c r="N602" s="23"/>
      <c r="O602" s="23"/>
      <c r="P602" s="23"/>
      <c r="Q602" s="25"/>
      <c r="R602" s="23"/>
      <c r="S602" s="23"/>
      <c r="T602" s="23"/>
      <c r="U602" s="20" t="str">
        <f ca="1">IF(COUNTA(A602:T602)=0,"",IF(OR(A602="",B602="",C602="",E602="",G602="",H602="",J602="",K602="",L602="",M602=""),"Ошибка: заполните обязательные поля",IF(AND(LEFT(H602,7)&lt;&gt;"http://",LEFT(H602,8)&lt;&gt;"https://"),"Ошибка: некорректная ссылка",IF(COUNTIF($H$6:$H$1005,H602)&gt;1,"Ошибка: дубликат URL",IF(E602&gt;TODAY(),"Ошибка: дата публикации в будущем",IF(S602="Да","Ошибка: подтверждённый дубль",IF(S602="","Проверить: отметьте дубль",IF(S602="Нужно проверить","Проверить возможный дубль",IF(TODAY()-E602&gt;30,"Проверить: старше 30 дней",IF(COUNTIFS(#REF!,G602,#REF!,"Готово")=0,"Проверить источник","Готово"))))))))))</f>
        <v/>
      </c>
    </row>
    <row r="603" spans="1:21" ht="25.5" customHeight="1">
      <c r="A603" s="21"/>
      <c r="B603" s="22"/>
      <c r="C603" s="21"/>
      <c r="D603" s="23"/>
      <c r="E603" s="22"/>
      <c r="F603" s="22"/>
      <c r="G603" s="23"/>
      <c r="H603" s="24"/>
      <c r="I603" s="24"/>
      <c r="J603" s="23"/>
      <c r="K603" s="23"/>
      <c r="L603" s="23"/>
      <c r="M603" s="23"/>
      <c r="N603" s="23"/>
      <c r="O603" s="23"/>
      <c r="P603" s="23"/>
      <c r="Q603" s="25"/>
      <c r="R603" s="23"/>
      <c r="S603" s="23"/>
      <c r="T603" s="23"/>
      <c r="U603" s="20" t="str">
        <f ca="1">IF(COUNTA(A603:T603)=0,"",IF(OR(A603="",B603="",C603="",E603="",G603="",H603="",J603="",K603="",L603="",M603=""),"Ошибка: заполните обязательные поля",IF(AND(LEFT(H603,7)&lt;&gt;"http://",LEFT(H603,8)&lt;&gt;"https://"),"Ошибка: некорректная ссылка",IF(COUNTIF($H$6:$H$1005,H603)&gt;1,"Ошибка: дубликат URL",IF(E603&gt;TODAY(),"Ошибка: дата публикации в будущем",IF(S603="Да","Ошибка: подтверждённый дубль",IF(S603="","Проверить: отметьте дубль",IF(S603="Нужно проверить","Проверить возможный дубль",IF(TODAY()-E603&gt;30,"Проверить: старше 30 дней",IF(COUNTIFS(#REF!,G603,#REF!,"Готово")=0,"Проверить источник","Готово"))))))))))</f>
        <v/>
      </c>
    </row>
    <row r="604" spans="1:21" ht="25.5" customHeight="1">
      <c r="A604" s="21"/>
      <c r="B604" s="22"/>
      <c r="C604" s="21"/>
      <c r="D604" s="23"/>
      <c r="E604" s="22"/>
      <c r="F604" s="22"/>
      <c r="G604" s="23"/>
      <c r="H604" s="24"/>
      <c r="I604" s="24"/>
      <c r="J604" s="23"/>
      <c r="K604" s="23"/>
      <c r="L604" s="23"/>
      <c r="M604" s="23"/>
      <c r="N604" s="23"/>
      <c r="O604" s="23"/>
      <c r="P604" s="23"/>
      <c r="Q604" s="25"/>
      <c r="R604" s="23"/>
      <c r="S604" s="23"/>
      <c r="T604" s="23"/>
      <c r="U604" s="20" t="str">
        <f ca="1">IF(COUNTA(A604:T604)=0,"",IF(OR(A604="",B604="",C604="",E604="",G604="",H604="",J604="",K604="",L604="",M604=""),"Ошибка: заполните обязательные поля",IF(AND(LEFT(H604,7)&lt;&gt;"http://",LEFT(H604,8)&lt;&gt;"https://"),"Ошибка: некорректная ссылка",IF(COUNTIF($H$6:$H$1005,H604)&gt;1,"Ошибка: дубликат URL",IF(E604&gt;TODAY(),"Ошибка: дата публикации в будущем",IF(S604="Да","Ошибка: подтверждённый дубль",IF(S604="","Проверить: отметьте дубль",IF(S604="Нужно проверить","Проверить возможный дубль",IF(TODAY()-E604&gt;30,"Проверить: старше 30 дней",IF(COUNTIFS(#REF!,G604,#REF!,"Готово")=0,"Проверить источник","Готово"))))))))))</f>
        <v/>
      </c>
    </row>
    <row r="605" spans="1:21" ht="25.5" customHeight="1">
      <c r="A605" s="21"/>
      <c r="B605" s="22"/>
      <c r="C605" s="21"/>
      <c r="D605" s="23"/>
      <c r="E605" s="22"/>
      <c r="F605" s="22"/>
      <c r="G605" s="23"/>
      <c r="H605" s="24"/>
      <c r="I605" s="24"/>
      <c r="J605" s="23"/>
      <c r="K605" s="23"/>
      <c r="L605" s="23"/>
      <c r="M605" s="23"/>
      <c r="N605" s="23"/>
      <c r="O605" s="23"/>
      <c r="P605" s="23"/>
      <c r="Q605" s="25"/>
      <c r="R605" s="23"/>
      <c r="S605" s="23"/>
      <c r="T605" s="23"/>
      <c r="U605" s="20" t="str">
        <f ca="1">IF(COUNTA(A605:T605)=0,"",IF(OR(A605="",B605="",C605="",E605="",G605="",H605="",J605="",K605="",L605="",M605=""),"Ошибка: заполните обязательные поля",IF(AND(LEFT(H605,7)&lt;&gt;"http://",LEFT(H605,8)&lt;&gt;"https://"),"Ошибка: некорректная ссылка",IF(COUNTIF($H$6:$H$1005,H605)&gt;1,"Ошибка: дубликат URL",IF(E605&gt;TODAY(),"Ошибка: дата публикации в будущем",IF(S605="Да","Ошибка: подтверждённый дубль",IF(S605="","Проверить: отметьте дубль",IF(S605="Нужно проверить","Проверить возможный дубль",IF(TODAY()-E605&gt;30,"Проверить: старше 30 дней",IF(COUNTIFS(#REF!,G605,#REF!,"Готово")=0,"Проверить источник","Готово"))))))))))</f>
        <v/>
      </c>
    </row>
    <row r="606" spans="1:21" ht="25.5" customHeight="1">
      <c r="A606" s="21"/>
      <c r="B606" s="22"/>
      <c r="C606" s="21"/>
      <c r="D606" s="23"/>
      <c r="E606" s="22"/>
      <c r="F606" s="22"/>
      <c r="G606" s="23"/>
      <c r="H606" s="24"/>
      <c r="I606" s="24"/>
      <c r="J606" s="23"/>
      <c r="K606" s="23"/>
      <c r="L606" s="23"/>
      <c r="M606" s="23"/>
      <c r="N606" s="23"/>
      <c r="O606" s="23"/>
      <c r="P606" s="23"/>
      <c r="Q606" s="25"/>
      <c r="R606" s="23"/>
      <c r="S606" s="23"/>
      <c r="T606" s="23"/>
      <c r="U606" s="20" t="str">
        <f ca="1">IF(COUNTA(A606:T606)=0,"",IF(OR(A606="",B606="",C606="",E606="",G606="",H606="",J606="",K606="",L606="",M606=""),"Ошибка: заполните обязательные поля",IF(AND(LEFT(H606,7)&lt;&gt;"http://",LEFT(H606,8)&lt;&gt;"https://"),"Ошибка: некорректная ссылка",IF(COUNTIF($H$6:$H$1005,H606)&gt;1,"Ошибка: дубликат URL",IF(E606&gt;TODAY(),"Ошибка: дата публикации в будущем",IF(S606="Да","Ошибка: подтверждённый дубль",IF(S606="","Проверить: отметьте дубль",IF(S606="Нужно проверить","Проверить возможный дубль",IF(TODAY()-E606&gt;30,"Проверить: старше 30 дней",IF(COUNTIFS(#REF!,G606,#REF!,"Готово")=0,"Проверить источник","Готово"))))))))))</f>
        <v/>
      </c>
    </row>
    <row r="607" spans="1:21" ht="25.5" customHeight="1">
      <c r="A607" s="21"/>
      <c r="B607" s="22"/>
      <c r="C607" s="21"/>
      <c r="D607" s="23"/>
      <c r="E607" s="22"/>
      <c r="F607" s="22"/>
      <c r="G607" s="23"/>
      <c r="H607" s="24"/>
      <c r="I607" s="24"/>
      <c r="J607" s="23"/>
      <c r="K607" s="23"/>
      <c r="L607" s="23"/>
      <c r="M607" s="23"/>
      <c r="N607" s="23"/>
      <c r="O607" s="23"/>
      <c r="P607" s="23"/>
      <c r="Q607" s="25"/>
      <c r="R607" s="23"/>
      <c r="S607" s="23"/>
      <c r="T607" s="23"/>
      <c r="U607" s="20" t="str">
        <f ca="1">IF(COUNTA(A607:T607)=0,"",IF(OR(A607="",B607="",C607="",E607="",G607="",H607="",J607="",K607="",L607="",M607=""),"Ошибка: заполните обязательные поля",IF(AND(LEFT(H607,7)&lt;&gt;"http://",LEFT(H607,8)&lt;&gt;"https://"),"Ошибка: некорректная ссылка",IF(COUNTIF($H$6:$H$1005,H607)&gt;1,"Ошибка: дубликат URL",IF(E607&gt;TODAY(),"Ошибка: дата публикации в будущем",IF(S607="Да","Ошибка: подтверждённый дубль",IF(S607="","Проверить: отметьте дубль",IF(S607="Нужно проверить","Проверить возможный дубль",IF(TODAY()-E607&gt;30,"Проверить: старше 30 дней",IF(COUNTIFS(#REF!,G607,#REF!,"Готово")=0,"Проверить источник","Готово"))))))))))</f>
        <v/>
      </c>
    </row>
    <row r="608" spans="1:21" ht="25.5" customHeight="1">
      <c r="A608" s="21"/>
      <c r="B608" s="22"/>
      <c r="C608" s="21"/>
      <c r="D608" s="23"/>
      <c r="E608" s="22"/>
      <c r="F608" s="22"/>
      <c r="G608" s="23"/>
      <c r="H608" s="24"/>
      <c r="I608" s="24"/>
      <c r="J608" s="23"/>
      <c r="K608" s="23"/>
      <c r="L608" s="23"/>
      <c r="M608" s="23"/>
      <c r="N608" s="23"/>
      <c r="O608" s="23"/>
      <c r="P608" s="23"/>
      <c r="Q608" s="25"/>
      <c r="R608" s="23"/>
      <c r="S608" s="23"/>
      <c r="T608" s="23"/>
      <c r="U608" s="20" t="str">
        <f ca="1">IF(COUNTA(A608:T608)=0,"",IF(OR(A608="",B608="",C608="",E608="",G608="",H608="",J608="",K608="",L608="",M608=""),"Ошибка: заполните обязательные поля",IF(AND(LEFT(H608,7)&lt;&gt;"http://",LEFT(H608,8)&lt;&gt;"https://"),"Ошибка: некорректная ссылка",IF(COUNTIF($H$6:$H$1005,H608)&gt;1,"Ошибка: дубликат URL",IF(E608&gt;TODAY(),"Ошибка: дата публикации в будущем",IF(S608="Да","Ошибка: подтверждённый дубль",IF(S608="","Проверить: отметьте дубль",IF(S608="Нужно проверить","Проверить возможный дубль",IF(TODAY()-E608&gt;30,"Проверить: старше 30 дней",IF(COUNTIFS(#REF!,G608,#REF!,"Готово")=0,"Проверить источник","Готово"))))))))))</f>
        <v/>
      </c>
    </row>
    <row r="609" spans="1:21" ht="25.5" customHeight="1">
      <c r="A609" s="21"/>
      <c r="B609" s="22"/>
      <c r="C609" s="21"/>
      <c r="D609" s="23"/>
      <c r="E609" s="22"/>
      <c r="F609" s="22"/>
      <c r="G609" s="23"/>
      <c r="H609" s="24"/>
      <c r="I609" s="24"/>
      <c r="J609" s="23"/>
      <c r="K609" s="23"/>
      <c r="L609" s="23"/>
      <c r="M609" s="23"/>
      <c r="N609" s="23"/>
      <c r="O609" s="23"/>
      <c r="P609" s="23"/>
      <c r="Q609" s="25"/>
      <c r="R609" s="23"/>
      <c r="S609" s="23"/>
      <c r="T609" s="23"/>
      <c r="U609" s="20" t="str">
        <f ca="1">IF(COUNTA(A609:T609)=0,"",IF(OR(A609="",B609="",C609="",E609="",G609="",H609="",J609="",K609="",L609="",M609=""),"Ошибка: заполните обязательные поля",IF(AND(LEFT(H609,7)&lt;&gt;"http://",LEFT(H609,8)&lt;&gt;"https://"),"Ошибка: некорректная ссылка",IF(COUNTIF($H$6:$H$1005,H609)&gt;1,"Ошибка: дубликат URL",IF(E609&gt;TODAY(),"Ошибка: дата публикации в будущем",IF(S609="Да","Ошибка: подтверждённый дубль",IF(S609="","Проверить: отметьте дубль",IF(S609="Нужно проверить","Проверить возможный дубль",IF(TODAY()-E609&gt;30,"Проверить: старше 30 дней",IF(COUNTIFS(#REF!,G609,#REF!,"Готово")=0,"Проверить источник","Готово"))))))))))</f>
        <v/>
      </c>
    </row>
    <row r="610" spans="1:21" ht="25.5" customHeight="1">
      <c r="A610" s="21"/>
      <c r="B610" s="22"/>
      <c r="C610" s="21"/>
      <c r="D610" s="23"/>
      <c r="E610" s="22"/>
      <c r="F610" s="22"/>
      <c r="G610" s="23"/>
      <c r="H610" s="24"/>
      <c r="I610" s="24"/>
      <c r="J610" s="23"/>
      <c r="K610" s="23"/>
      <c r="L610" s="23"/>
      <c r="M610" s="23"/>
      <c r="N610" s="23"/>
      <c r="O610" s="23"/>
      <c r="P610" s="23"/>
      <c r="Q610" s="25"/>
      <c r="R610" s="23"/>
      <c r="S610" s="23"/>
      <c r="T610" s="23"/>
      <c r="U610" s="20" t="str">
        <f ca="1">IF(COUNTA(A610:T610)=0,"",IF(OR(A610="",B610="",C610="",E610="",G610="",H610="",J610="",K610="",L610="",M610=""),"Ошибка: заполните обязательные поля",IF(AND(LEFT(H610,7)&lt;&gt;"http://",LEFT(H610,8)&lt;&gt;"https://"),"Ошибка: некорректная ссылка",IF(COUNTIF($H$6:$H$1005,H610)&gt;1,"Ошибка: дубликат URL",IF(E610&gt;TODAY(),"Ошибка: дата публикации в будущем",IF(S610="Да","Ошибка: подтверждённый дубль",IF(S610="","Проверить: отметьте дубль",IF(S610="Нужно проверить","Проверить возможный дубль",IF(TODAY()-E610&gt;30,"Проверить: старше 30 дней",IF(COUNTIFS(#REF!,G610,#REF!,"Готово")=0,"Проверить источник","Готово"))))))))))</f>
        <v/>
      </c>
    </row>
    <row r="611" spans="1:21" ht="25.5" customHeight="1">
      <c r="A611" s="21"/>
      <c r="B611" s="22"/>
      <c r="C611" s="21"/>
      <c r="D611" s="23"/>
      <c r="E611" s="22"/>
      <c r="F611" s="22"/>
      <c r="G611" s="23"/>
      <c r="H611" s="24"/>
      <c r="I611" s="24"/>
      <c r="J611" s="23"/>
      <c r="K611" s="23"/>
      <c r="L611" s="23"/>
      <c r="M611" s="23"/>
      <c r="N611" s="23"/>
      <c r="O611" s="23"/>
      <c r="P611" s="23"/>
      <c r="Q611" s="25"/>
      <c r="R611" s="23"/>
      <c r="S611" s="23"/>
      <c r="T611" s="23"/>
      <c r="U611" s="20" t="str">
        <f ca="1">IF(COUNTA(A611:T611)=0,"",IF(OR(A611="",B611="",C611="",E611="",G611="",H611="",J611="",K611="",L611="",M611=""),"Ошибка: заполните обязательные поля",IF(AND(LEFT(H611,7)&lt;&gt;"http://",LEFT(H611,8)&lt;&gt;"https://"),"Ошибка: некорректная ссылка",IF(COUNTIF($H$6:$H$1005,H611)&gt;1,"Ошибка: дубликат URL",IF(E611&gt;TODAY(),"Ошибка: дата публикации в будущем",IF(S611="Да","Ошибка: подтверждённый дубль",IF(S611="","Проверить: отметьте дубль",IF(S611="Нужно проверить","Проверить возможный дубль",IF(TODAY()-E611&gt;30,"Проверить: старше 30 дней",IF(COUNTIFS(#REF!,G611,#REF!,"Готово")=0,"Проверить источник","Готово"))))))))))</f>
        <v/>
      </c>
    </row>
    <row r="612" spans="1:21" ht="25.5" customHeight="1">
      <c r="A612" s="21"/>
      <c r="B612" s="22"/>
      <c r="C612" s="21"/>
      <c r="D612" s="23"/>
      <c r="E612" s="22"/>
      <c r="F612" s="22"/>
      <c r="G612" s="23"/>
      <c r="H612" s="24"/>
      <c r="I612" s="24"/>
      <c r="J612" s="23"/>
      <c r="K612" s="23"/>
      <c r="L612" s="23"/>
      <c r="M612" s="23"/>
      <c r="N612" s="23"/>
      <c r="O612" s="23"/>
      <c r="P612" s="23"/>
      <c r="Q612" s="25"/>
      <c r="R612" s="23"/>
      <c r="S612" s="23"/>
      <c r="T612" s="23"/>
      <c r="U612" s="20" t="str">
        <f ca="1">IF(COUNTA(A612:T612)=0,"",IF(OR(A612="",B612="",C612="",E612="",G612="",H612="",J612="",K612="",L612="",M612=""),"Ошибка: заполните обязательные поля",IF(AND(LEFT(H612,7)&lt;&gt;"http://",LEFT(H612,8)&lt;&gt;"https://"),"Ошибка: некорректная ссылка",IF(COUNTIF($H$6:$H$1005,H612)&gt;1,"Ошибка: дубликат URL",IF(E612&gt;TODAY(),"Ошибка: дата публикации в будущем",IF(S612="Да","Ошибка: подтверждённый дубль",IF(S612="","Проверить: отметьте дубль",IF(S612="Нужно проверить","Проверить возможный дубль",IF(TODAY()-E612&gt;30,"Проверить: старше 30 дней",IF(COUNTIFS(#REF!,G612,#REF!,"Готово")=0,"Проверить источник","Готово"))))))))))</f>
        <v/>
      </c>
    </row>
    <row r="613" spans="1:21" ht="25.5" customHeight="1">
      <c r="A613" s="21"/>
      <c r="B613" s="22"/>
      <c r="C613" s="21"/>
      <c r="D613" s="23"/>
      <c r="E613" s="22"/>
      <c r="F613" s="22"/>
      <c r="G613" s="23"/>
      <c r="H613" s="24"/>
      <c r="I613" s="24"/>
      <c r="J613" s="23"/>
      <c r="K613" s="23"/>
      <c r="L613" s="23"/>
      <c r="M613" s="23"/>
      <c r="N613" s="23"/>
      <c r="O613" s="23"/>
      <c r="P613" s="23"/>
      <c r="Q613" s="25"/>
      <c r="R613" s="23"/>
      <c r="S613" s="23"/>
      <c r="T613" s="23"/>
      <c r="U613" s="20" t="str">
        <f ca="1">IF(COUNTA(A613:T613)=0,"",IF(OR(A613="",B613="",C613="",E613="",G613="",H613="",J613="",K613="",L613="",M613=""),"Ошибка: заполните обязательные поля",IF(AND(LEFT(H613,7)&lt;&gt;"http://",LEFT(H613,8)&lt;&gt;"https://"),"Ошибка: некорректная ссылка",IF(COUNTIF($H$6:$H$1005,H613)&gt;1,"Ошибка: дубликат URL",IF(E613&gt;TODAY(),"Ошибка: дата публикации в будущем",IF(S613="Да","Ошибка: подтверждённый дубль",IF(S613="","Проверить: отметьте дубль",IF(S613="Нужно проверить","Проверить возможный дубль",IF(TODAY()-E613&gt;30,"Проверить: старше 30 дней",IF(COUNTIFS(#REF!,G613,#REF!,"Готово")=0,"Проверить источник","Готово"))))))))))</f>
        <v/>
      </c>
    </row>
    <row r="614" spans="1:21" ht="25.5" customHeight="1">
      <c r="A614" s="21"/>
      <c r="B614" s="22"/>
      <c r="C614" s="21"/>
      <c r="D614" s="23"/>
      <c r="E614" s="22"/>
      <c r="F614" s="22"/>
      <c r="G614" s="23"/>
      <c r="H614" s="24"/>
      <c r="I614" s="24"/>
      <c r="J614" s="23"/>
      <c r="K614" s="23"/>
      <c r="L614" s="23"/>
      <c r="M614" s="23"/>
      <c r="N614" s="23"/>
      <c r="O614" s="23"/>
      <c r="P614" s="23"/>
      <c r="Q614" s="25"/>
      <c r="R614" s="23"/>
      <c r="S614" s="23"/>
      <c r="T614" s="23"/>
      <c r="U614" s="20" t="str">
        <f ca="1">IF(COUNTA(A614:T614)=0,"",IF(OR(A614="",B614="",C614="",E614="",G614="",H614="",J614="",K614="",L614="",M614=""),"Ошибка: заполните обязательные поля",IF(AND(LEFT(H614,7)&lt;&gt;"http://",LEFT(H614,8)&lt;&gt;"https://"),"Ошибка: некорректная ссылка",IF(COUNTIF($H$6:$H$1005,H614)&gt;1,"Ошибка: дубликат URL",IF(E614&gt;TODAY(),"Ошибка: дата публикации в будущем",IF(S614="Да","Ошибка: подтверждённый дубль",IF(S614="","Проверить: отметьте дубль",IF(S614="Нужно проверить","Проверить возможный дубль",IF(TODAY()-E614&gt;30,"Проверить: старше 30 дней",IF(COUNTIFS(#REF!,G614,#REF!,"Готово")=0,"Проверить источник","Готово"))))))))))</f>
        <v/>
      </c>
    </row>
    <row r="615" spans="1:21" ht="25.5" customHeight="1">
      <c r="A615" s="21"/>
      <c r="B615" s="22"/>
      <c r="C615" s="21"/>
      <c r="D615" s="23"/>
      <c r="E615" s="22"/>
      <c r="F615" s="22"/>
      <c r="G615" s="23"/>
      <c r="H615" s="24"/>
      <c r="I615" s="24"/>
      <c r="J615" s="23"/>
      <c r="K615" s="23"/>
      <c r="L615" s="23"/>
      <c r="M615" s="23"/>
      <c r="N615" s="23"/>
      <c r="O615" s="23"/>
      <c r="P615" s="23"/>
      <c r="Q615" s="25"/>
      <c r="R615" s="23"/>
      <c r="S615" s="23"/>
      <c r="T615" s="23"/>
      <c r="U615" s="20" t="str">
        <f ca="1">IF(COUNTA(A615:T615)=0,"",IF(OR(A615="",B615="",C615="",E615="",G615="",H615="",J615="",K615="",L615="",M615=""),"Ошибка: заполните обязательные поля",IF(AND(LEFT(H615,7)&lt;&gt;"http://",LEFT(H615,8)&lt;&gt;"https://"),"Ошибка: некорректная ссылка",IF(COUNTIF($H$6:$H$1005,H615)&gt;1,"Ошибка: дубликат URL",IF(E615&gt;TODAY(),"Ошибка: дата публикации в будущем",IF(S615="Да","Ошибка: подтверждённый дубль",IF(S615="","Проверить: отметьте дубль",IF(S615="Нужно проверить","Проверить возможный дубль",IF(TODAY()-E615&gt;30,"Проверить: старше 30 дней",IF(COUNTIFS(#REF!,G615,#REF!,"Готово")=0,"Проверить источник","Готово"))))))))))</f>
        <v/>
      </c>
    </row>
    <row r="616" spans="1:21" ht="25.5" customHeight="1">
      <c r="A616" s="21"/>
      <c r="B616" s="22"/>
      <c r="C616" s="21"/>
      <c r="D616" s="23"/>
      <c r="E616" s="22"/>
      <c r="F616" s="22"/>
      <c r="G616" s="23"/>
      <c r="H616" s="24"/>
      <c r="I616" s="24"/>
      <c r="J616" s="23"/>
      <c r="K616" s="23"/>
      <c r="L616" s="23"/>
      <c r="M616" s="23"/>
      <c r="N616" s="23"/>
      <c r="O616" s="23"/>
      <c r="P616" s="23"/>
      <c r="Q616" s="25"/>
      <c r="R616" s="23"/>
      <c r="S616" s="23"/>
      <c r="T616" s="23"/>
      <c r="U616" s="20" t="str">
        <f ca="1">IF(COUNTA(A616:T616)=0,"",IF(OR(A616="",B616="",C616="",E616="",G616="",H616="",J616="",K616="",L616="",M616=""),"Ошибка: заполните обязательные поля",IF(AND(LEFT(H616,7)&lt;&gt;"http://",LEFT(H616,8)&lt;&gt;"https://"),"Ошибка: некорректная ссылка",IF(COUNTIF($H$6:$H$1005,H616)&gt;1,"Ошибка: дубликат URL",IF(E616&gt;TODAY(),"Ошибка: дата публикации в будущем",IF(S616="Да","Ошибка: подтверждённый дубль",IF(S616="","Проверить: отметьте дубль",IF(S616="Нужно проверить","Проверить возможный дубль",IF(TODAY()-E616&gt;30,"Проверить: старше 30 дней",IF(COUNTIFS(#REF!,G616,#REF!,"Готово")=0,"Проверить источник","Готово"))))))))))</f>
        <v/>
      </c>
    </row>
    <row r="617" spans="1:21" ht="25.5" customHeight="1">
      <c r="A617" s="21"/>
      <c r="B617" s="22"/>
      <c r="C617" s="21"/>
      <c r="D617" s="23"/>
      <c r="E617" s="22"/>
      <c r="F617" s="22"/>
      <c r="G617" s="23"/>
      <c r="H617" s="24"/>
      <c r="I617" s="24"/>
      <c r="J617" s="23"/>
      <c r="K617" s="23"/>
      <c r="L617" s="23"/>
      <c r="M617" s="23"/>
      <c r="N617" s="23"/>
      <c r="O617" s="23"/>
      <c r="P617" s="23"/>
      <c r="Q617" s="25"/>
      <c r="R617" s="23"/>
      <c r="S617" s="23"/>
      <c r="T617" s="23"/>
      <c r="U617" s="20" t="str">
        <f ca="1">IF(COUNTA(A617:T617)=0,"",IF(OR(A617="",B617="",C617="",E617="",G617="",H617="",J617="",K617="",L617="",M617=""),"Ошибка: заполните обязательные поля",IF(AND(LEFT(H617,7)&lt;&gt;"http://",LEFT(H617,8)&lt;&gt;"https://"),"Ошибка: некорректная ссылка",IF(COUNTIF($H$6:$H$1005,H617)&gt;1,"Ошибка: дубликат URL",IF(E617&gt;TODAY(),"Ошибка: дата публикации в будущем",IF(S617="Да","Ошибка: подтверждённый дубль",IF(S617="","Проверить: отметьте дубль",IF(S617="Нужно проверить","Проверить возможный дубль",IF(TODAY()-E617&gt;30,"Проверить: старше 30 дней",IF(COUNTIFS(#REF!,G617,#REF!,"Готово")=0,"Проверить источник","Готово"))))))))))</f>
        <v/>
      </c>
    </row>
    <row r="618" spans="1:21" ht="25.5" customHeight="1">
      <c r="A618" s="21"/>
      <c r="B618" s="22"/>
      <c r="C618" s="21"/>
      <c r="D618" s="23"/>
      <c r="E618" s="22"/>
      <c r="F618" s="22"/>
      <c r="G618" s="23"/>
      <c r="H618" s="24"/>
      <c r="I618" s="24"/>
      <c r="J618" s="23"/>
      <c r="K618" s="23"/>
      <c r="L618" s="23"/>
      <c r="M618" s="23"/>
      <c r="N618" s="23"/>
      <c r="O618" s="23"/>
      <c r="P618" s="23"/>
      <c r="Q618" s="25"/>
      <c r="R618" s="23"/>
      <c r="S618" s="23"/>
      <c r="T618" s="23"/>
      <c r="U618" s="20" t="str">
        <f ca="1">IF(COUNTA(A618:T618)=0,"",IF(OR(A618="",B618="",C618="",E618="",G618="",H618="",J618="",K618="",L618="",M618=""),"Ошибка: заполните обязательные поля",IF(AND(LEFT(H618,7)&lt;&gt;"http://",LEFT(H618,8)&lt;&gt;"https://"),"Ошибка: некорректная ссылка",IF(COUNTIF($H$6:$H$1005,H618)&gt;1,"Ошибка: дубликат URL",IF(E618&gt;TODAY(),"Ошибка: дата публикации в будущем",IF(S618="Да","Ошибка: подтверждённый дубль",IF(S618="","Проверить: отметьте дубль",IF(S618="Нужно проверить","Проверить возможный дубль",IF(TODAY()-E618&gt;30,"Проверить: старше 30 дней",IF(COUNTIFS(#REF!,G618,#REF!,"Готово")=0,"Проверить источник","Готово"))))))))))</f>
        <v/>
      </c>
    </row>
    <row r="619" spans="1:21" ht="25.5" customHeight="1">
      <c r="A619" s="21"/>
      <c r="B619" s="22"/>
      <c r="C619" s="21"/>
      <c r="D619" s="23"/>
      <c r="E619" s="22"/>
      <c r="F619" s="22"/>
      <c r="G619" s="23"/>
      <c r="H619" s="24"/>
      <c r="I619" s="24"/>
      <c r="J619" s="23"/>
      <c r="K619" s="23"/>
      <c r="L619" s="23"/>
      <c r="M619" s="23"/>
      <c r="N619" s="23"/>
      <c r="O619" s="23"/>
      <c r="P619" s="23"/>
      <c r="Q619" s="25"/>
      <c r="R619" s="23"/>
      <c r="S619" s="23"/>
      <c r="T619" s="23"/>
      <c r="U619" s="20" t="str">
        <f ca="1">IF(COUNTA(A619:T619)=0,"",IF(OR(A619="",B619="",C619="",E619="",G619="",H619="",J619="",K619="",L619="",M619=""),"Ошибка: заполните обязательные поля",IF(AND(LEFT(H619,7)&lt;&gt;"http://",LEFT(H619,8)&lt;&gt;"https://"),"Ошибка: некорректная ссылка",IF(COUNTIF($H$6:$H$1005,H619)&gt;1,"Ошибка: дубликат URL",IF(E619&gt;TODAY(),"Ошибка: дата публикации в будущем",IF(S619="Да","Ошибка: подтверждённый дубль",IF(S619="","Проверить: отметьте дубль",IF(S619="Нужно проверить","Проверить возможный дубль",IF(TODAY()-E619&gt;30,"Проверить: старше 30 дней",IF(COUNTIFS(#REF!,G619,#REF!,"Готово")=0,"Проверить источник","Готово"))))))))))</f>
        <v/>
      </c>
    </row>
    <row r="620" spans="1:21" ht="25.5" customHeight="1">
      <c r="A620" s="21"/>
      <c r="B620" s="22"/>
      <c r="C620" s="21"/>
      <c r="D620" s="23"/>
      <c r="E620" s="22"/>
      <c r="F620" s="22"/>
      <c r="G620" s="23"/>
      <c r="H620" s="24"/>
      <c r="I620" s="24"/>
      <c r="J620" s="23"/>
      <c r="K620" s="23"/>
      <c r="L620" s="23"/>
      <c r="M620" s="23"/>
      <c r="N620" s="23"/>
      <c r="O620" s="23"/>
      <c r="P620" s="23"/>
      <c r="Q620" s="25"/>
      <c r="R620" s="23"/>
      <c r="S620" s="23"/>
      <c r="T620" s="23"/>
      <c r="U620" s="20" t="str">
        <f ca="1">IF(COUNTA(A620:T620)=0,"",IF(OR(A620="",B620="",C620="",E620="",G620="",H620="",J620="",K620="",L620="",M620=""),"Ошибка: заполните обязательные поля",IF(AND(LEFT(H620,7)&lt;&gt;"http://",LEFT(H620,8)&lt;&gt;"https://"),"Ошибка: некорректная ссылка",IF(COUNTIF($H$6:$H$1005,H620)&gt;1,"Ошибка: дубликат URL",IF(E620&gt;TODAY(),"Ошибка: дата публикации в будущем",IF(S620="Да","Ошибка: подтверждённый дубль",IF(S620="","Проверить: отметьте дубль",IF(S620="Нужно проверить","Проверить возможный дубль",IF(TODAY()-E620&gt;30,"Проверить: старше 30 дней",IF(COUNTIFS(#REF!,G620,#REF!,"Готово")=0,"Проверить источник","Готово"))))))))))</f>
        <v/>
      </c>
    </row>
    <row r="621" spans="1:21" ht="25.5" customHeight="1">
      <c r="A621" s="21"/>
      <c r="B621" s="22"/>
      <c r="C621" s="21"/>
      <c r="D621" s="23"/>
      <c r="E621" s="22"/>
      <c r="F621" s="22"/>
      <c r="G621" s="23"/>
      <c r="H621" s="24"/>
      <c r="I621" s="24"/>
      <c r="J621" s="23"/>
      <c r="K621" s="23"/>
      <c r="L621" s="23"/>
      <c r="M621" s="23"/>
      <c r="N621" s="23"/>
      <c r="O621" s="23"/>
      <c r="P621" s="23"/>
      <c r="Q621" s="25"/>
      <c r="R621" s="23"/>
      <c r="S621" s="23"/>
      <c r="T621" s="23"/>
      <c r="U621" s="20" t="str">
        <f ca="1">IF(COUNTA(A621:T621)=0,"",IF(OR(A621="",B621="",C621="",E621="",G621="",H621="",J621="",K621="",L621="",M621=""),"Ошибка: заполните обязательные поля",IF(AND(LEFT(H621,7)&lt;&gt;"http://",LEFT(H621,8)&lt;&gt;"https://"),"Ошибка: некорректная ссылка",IF(COUNTIF($H$6:$H$1005,H621)&gt;1,"Ошибка: дубликат URL",IF(E621&gt;TODAY(),"Ошибка: дата публикации в будущем",IF(S621="Да","Ошибка: подтверждённый дубль",IF(S621="","Проверить: отметьте дубль",IF(S621="Нужно проверить","Проверить возможный дубль",IF(TODAY()-E621&gt;30,"Проверить: старше 30 дней",IF(COUNTIFS(#REF!,G621,#REF!,"Готово")=0,"Проверить источник","Готово"))))))))))</f>
        <v/>
      </c>
    </row>
    <row r="622" spans="1:21" ht="25.5" customHeight="1">
      <c r="A622" s="21"/>
      <c r="B622" s="22"/>
      <c r="C622" s="21"/>
      <c r="D622" s="23"/>
      <c r="E622" s="22"/>
      <c r="F622" s="22"/>
      <c r="G622" s="23"/>
      <c r="H622" s="24"/>
      <c r="I622" s="24"/>
      <c r="J622" s="23"/>
      <c r="K622" s="23"/>
      <c r="L622" s="23"/>
      <c r="M622" s="23"/>
      <c r="N622" s="23"/>
      <c r="O622" s="23"/>
      <c r="P622" s="23"/>
      <c r="Q622" s="25"/>
      <c r="R622" s="23"/>
      <c r="S622" s="23"/>
      <c r="T622" s="23"/>
      <c r="U622" s="20" t="str">
        <f ca="1">IF(COUNTA(A622:T622)=0,"",IF(OR(A622="",B622="",C622="",E622="",G622="",H622="",J622="",K622="",L622="",M622=""),"Ошибка: заполните обязательные поля",IF(AND(LEFT(H622,7)&lt;&gt;"http://",LEFT(H622,8)&lt;&gt;"https://"),"Ошибка: некорректная ссылка",IF(COUNTIF($H$6:$H$1005,H622)&gt;1,"Ошибка: дубликат URL",IF(E622&gt;TODAY(),"Ошибка: дата публикации в будущем",IF(S622="Да","Ошибка: подтверждённый дубль",IF(S622="","Проверить: отметьте дубль",IF(S622="Нужно проверить","Проверить возможный дубль",IF(TODAY()-E622&gt;30,"Проверить: старше 30 дней",IF(COUNTIFS(#REF!,G622,#REF!,"Готово")=0,"Проверить источник","Готово"))))))))))</f>
        <v/>
      </c>
    </row>
    <row r="623" spans="1:21" ht="25.5" customHeight="1">
      <c r="A623" s="21"/>
      <c r="B623" s="22"/>
      <c r="C623" s="21"/>
      <c r="D623" s="23"/>
      <c r="E623" s="22"/>
      <c r="F623" s="22"/>
      <c r="G623" s="23"/>
      <c r="H623" s="24"/>
      <c r="I623" s="24"/>
      <c r="J623" s="23"/>
      <c r="K623" s="23"/>
      <c r="L623" s="23"/>
      <c r="M623" s="23"/>
      <c r="N623" s="23"/>
      <c r="O623" s="23"/>
      <c r="P623" s="23"/>
      <c r="Q623" s="25"/>
      <c r="R623" s="23"/>
      <c r="S623" s="23"/>
      <c r="T623" s="23"/>
      <c r="U623" s="20" t="str">
        <f ca="1">IF(COUNTA(A623:T623)=0,"",IF(OR(A623="",B623="",C623="",E623="",G623="",H623="",J623="",K623="",L623="",M623=""),"Ошибка: заполните обязательные поля",IF(AND(LEFT(H623,7)&lt;&gt;"http://",LEFT(H623,8)&lt;&gt;"https://"),"Ошибка: некорректная ссылка",IF(COUNTIF($H$6:$H$1005,H623)&gt;1,"Ошибка: дубликат URL",IF(E623&gt;TODAY(),"Ошибка: дата публикации в будущем",IF(S623="Да","Ошибка: подтверждённый дубль",IF(S623="","Проверить: отметьте дубль",IF(S623="Нужно проверить","Проверить возможный дубль",IF(TODAY()-E623&gt;30,"Проверить: старше 30 дней",IF(COUNTIFS(#REF!,G623,#REF!,"Готово")=0,"Проверить источник","Готово"))))))))))</f>
        <v/>
      </c>
    </row>
    <row r="624" spans="1:21" ht="25.5" customHeight="1">
      <c r="A624" s="21"/>
      <c r="B624" s="22"/>
      <c r="C624" s="21"/>
      <c r="D624" s="23"/>
      <c r="E624" s="22"/>
      <c r="F624" s="22"/>
      <c r="G624" s="23"/>
      <c r="H624" s="24"/>
      <c r="I624" s="24"/>
      <c r="J624" s="23"/>
      <c r="K624" s="23"/>
      <c r="L624" s="23"/>
      <c r="M624" s="23"/>
      <c r="N624" s="23"/>
      <c r="O624" s="23"/>
      <c r="P624" s="23"/>
      <c r="Q624" s="25"/>
      <c r="R624" s="23"/>
      <c r="S624" s="23"/>
      <c r="T624" s="23"/>
      <c r="U624" s="20" t="str">
        <f ca="1">IF(COUNTA(A624:T624)=0,"",IF(OR(A624="",B624="",C624="",E624="",G624="",H624="",J624="",K624="",L624="",M624=""),"Ошибка: заполните обязательные поля",IF(AND(LEFT(H624,7)&lt;&gt;"http://",LEFT(H624,8)&lt;&gt;"https://"),"Ошибка: некорректная ссылка",IF(COUNTIF($H$6:$H$1005,H624)&gt;1,"Ошибка: дубликат URL",IF(E624&gt;TODAY(),"Ошибка: дата публикации в будущем",IF(S624="Да","Ошибка: подтверждённый дубль",IF(S624="","Проверить: отметьте дубль",IF(S624="Нужно проверить","Проверить возможный дубль",IF(TODAY()-E624&gt;30,"Проверить: старше 30 дней",IF(COUNTIFS(#REF!,G624,#REF!,"Готово")=0,"Проверить источник","Готово"))))))))))</f>
        <v/>
      </c>
    </row>
    <row r="625" spans="1:21" ht="25.5" customHeight="1">
      <c r="A625" s="21"/>
      <c r="B625" s="22"/>
      <c r="C625" s="21"/>
      <c r="D625" s="23"/>
      <c r="E625" s="22"/>
      <c r="F625" s="22"/>
      <c r="G625" s="23"/>
      <c r="H625" s="24"/>
      <c r="I625" s="24"/>
      <c r="J625" s="23"/>
      <c r="K625" s="23"/>
      <c r="L625" s="23"/>
      <c r="M625" s="23"/>
      <c r="N625" s="23"/>
      <c r="O625" s="23"/>
      <c r="P625" s="23"/>
      <c r="Q625" s="25"/>
      <c r="R625" s="23"/>
      <c r="S625" s="23"/>
      <c r="T625" s="23"/>
      <c r="U625" s="20" t="str">
        <f ca="1">IF(COUNTA(A625:T625)=0,"",IF(OR(A625="",B625="",C625="",E625="",G625="",H625="",J625="",K625="",L625="",M625=""),"Ошибка: заполните обязательные поля",IF(AND(LEFT(H625,7)&lt;&gt;"http://",LEFT(H625,8)&lt;&gt;"https://"),"Ошибка: некорректная ссылка",IF(COUNTIF($H$6:$H$1005,H625)&gt;1,"Ошибка: дубликат URL",IF(E625&gt;TODAY(),"Ошибка: дата публикации в будущем",IF(S625="Да","Ошибка: подтверждённый дубль",IF(S625="","Проверить: отметьте дубль",IF(S625="Нужно проверить","Проверить возможный дубль",IF(TODAY()-E625&gt;30,"Проверить: старше 30 дней",IF(COUNTIFS(#REF!,G625,#REF!,"Готово")=0,"Проверить источник","Готово"))))))))))</f>
        <v/>
      </c>
    </row>
    <row r="626" spans="1:21" ht="25.5" customHeight="1">
      <c r="A626" s="21"/>
      <c r="B626" s="22"/>
      <c r="C626" s="21"/>
      <c r="D626" s="23"/>
      <c r="E626" s="22"/>
      <c r="F626" s="22"/>
      <c r="G626" s="23"/>
      <c r="H626" s="24"/>
      <c r="I626" s="24"/>
      <c r="J626" s="23"/>
      <c r="K626" s="23"/>
      <c r="L626" s="23"/>
      <c r="M626" s="23"/>
      <c r="N626" s="23"/>
      <c r="O626" s="23"/>
      <c r="P626" s="23"/>
      <c r="Q626" s="25"/>
      <c r="R626" s="23"/>
      <c r="S626" s="23"/>
      <c r="T626" s="23"/>
      <c r="U626" s="20" t="str">
        <f ca="1">IF(COUNTA(A626:T626)=0,"",IF(OR(A626="",B626="",C626="",E626="",G626="",H626="",J626="",K626="",L626="",M626=""),"Ошибка: заполните обязательные поля",IF(AND(LEFT(H626,7)&lt;&gt;"http://",LEFT(H626,8)&lt;&gt;"https://"),"Ошибка: некорректная ссылка",IF(COUNTIF($H$6:$H$1005,H626)&gt;1,"Ошибка: дубликат URL",IF(E626&gt;TODAY(),"Ошибка: дата публикации в будущем",IF(S626="Да","Ошибка: подтверждённый дубль",IF(S626="","Проверить: отметьте дубль",IF(S626="Нужно проверить","Проверить возможный дубль",IF(TODAY()-E626&gt;30,"Проверить: старше 30 дней",IF(COUNTIFS(#REF!,G626,#REF!,"Готово")=0,"Проверить источник","Готово"))))))))))</f>
        <v/>
      </c>
    </row>
    <row r="627" spans="1:21" ht="25.5" customHeight="1">
      <c r="A627" s="21"/>
      <c r="B627" s="22"/>
      <c r="C627" s="21"/>
      <c r="D627" s="23"/>
      <c r="E627" s="22"/>
      <c r="F627" s="22"/>
      <c r="G627" s="23"/>
      <c r="H627" s="24"/>
      <c r="I627" s="24"/>
      <c r="J627" s="23"/>
      <c r="K627" s="23"/>
      <c r="L627" s="23"/>
      <c r="M627" s="23"/>
      <c r="N627" s="23"/>
      <c r="O627" s="23"/>
      <c r="P627" s="23"/>
      <c r="Q627" s="25"/>
      <c r="R627" s="23"/>
      <c r="S627" s="23"/>
      <c r="T627" s="23"/>
      <c r="U627" s="20" t="str">
        <f ca="1">IF(COUNTA(A627:T627)=0,"",IF(OR(A627="",B627="",C627="",E627="",G627="",H627="",J627="",K627="",L627="",M627=""),"Ошибка: заполните обязательные поля",IF(AND(LEFT(H627,7)&lt;&gt;"http://",LEFT(H627,8)&lt;&gt;"https://"),"Ошибка: некорректная ссылка",IF(COUNTIF($H$6:$H$1005,H627)&gt;1,"Ошибка: дубликат URL",IF(E627&gt;TODAY(),"Ошибка: дата публикации в будущем",IF(S627="Да","Ошибка: подтверждённый дубль",IF(S627="","Проверить: отметьте дубль",IF(S627="Нужно проверить","Проверить возможный дубль",IF(TODAY()-E627&gt;30,"Проверить: старше 30 дней",IF(COUNTIFS(#REF!,G627,#REF!,"Готово")=0,"Проверить источник","Готово"))))))))))</f>
        <v/>
      </c>
    </row>
    <row r="628" spans="1:21" ht="25.5" customHeight="1">
      <c r="A628" s="21"/>
      <c r="B628" s="22"/>
      <c r="C628" s="21"/>
      <c r="D628" s="23"/>
      <c r="E628" s="22"/>
      <c r="F628" s="22"/>
      <c r="G628" s="23"/>
      <c r="H628" s="24"/>
      <c r="I628" s="24"/>
      <c r="J628" s="23"/>
      <c r="K628" s="23"/>
      <c r="L628" s="23"/>
      <c r="M628" s="23"/>
      <c r="N628" s="23"/>
      <c r="O628" s="23"/>
      <c r="P628" s="23"/>
      <c r="Q628" s="25"/>
      <c r="R628" s="23"/>
      <c r="S628" s="23"/>
      <c r="T628" s="23"/>
      <c r="U628" s="20" t="str">
        <f ca="1">IF(COUNTA(A628:T628)=0,"",IF(OR(A628="",B628="",C628="",E628="",G628="",H628="",J628="",K628="",L628="",M628=""),"Ошибка: заполните обязательные поля",IF(AND(LEFT(H628,7)&lt;&gt;"http://",LEFT(H628,8)&lt;&gt;"https://"),"Ошибка: некорректная ссылка",IF(COUNTIF($H$6:$H$1005,H628)&gt;1,"Ошибка: дубликат URL",IF(E628&gt;TODAY(),"Ошибка: дата публикации в будущем",IF(S628="Да","Ошибка: подтверждённый дубль",IF(S628="","Проверить: отметьте дубль",IF(S628="Нужно проверить","Проверить возможный дубль",IF(TODAY()-E628&gt;30,"Проверить: старше 30 дней",IF(COUNTIFS(#REF!,G628,#REF!,"Готово")=0,"Проверить источник","Готово"))))))))))</f>
        <v/>
      </c>
    </row>
    <row r="629" spans="1:21" ht="25.5" customHeight="1">
      <c r="A629" s="21"/>
      <c r="B629" s="22"/>
      <c r="C629" s="21"/>
      <c r="D629" s="23"/>
      <c r="E629" s="22"/>
      <c r="F629" s="22"/>
      <c r="G629" s="23"/>
      <c r="H629" s="24"/>
      <c r="I629" s="24"/>
      <c r="J629" s="23"/>
      <c r="K629" s="23"/>
      <c r="L629" s="23"/>
      <c r="M629" s="23"/>
      <c r="N629" s="23"/>
      <c r="O629" s="23"/>
      <c r="P629" s="23"/>
      <c r="Q629" s="25"/>
      <c r="R629" s="23"/>
      <c r="S629" s="23"/>
      <c r="T629" s="23"/>
      <c r="U629" s="20" t="str">
        <f ca="1">IF(COUNTA(A629:T629)=0,"",IF(OR(A629="",B629="",C629="",E629="",G629="",H629="",J629="",K629="",L629="",M629=""),"Ошибка: заполните обязательные поля",IF(AND(LEFT(H629,7)&lt;&gt;"http://",LEFT(H629,8)&lt;&gt;"https://"),"Ошибка: некорректная ссылка",IF(COUNTIF($H$6:$H$1005,H629)&gt;1,"Ошибка: дубликат URL",IF(E629&gt;TODAY(),"Ошибка: дата публикации в будущем",IF(S629="Да","Ошибка: подтверждённый дубль",IF(S629="","Проверить: отметьте дубль",IF(S629="Нужно проверить","Проверить возможный дубль",IF(TODAY()-E629&gt;30,"Проверить: старше 30 дней",IF(COUNTIFS(#REF!,G629,#REF!,"Готово")=0,"Проверить источник","Готово"))))))))))</f>
        <v/>
      </c>
    </row>
    <row r="630" spans="1:21" ht="25.5" customHeight="1">
      <c r="A630" s="21"/>
      <c r="B630" s="22"/>
      <c r="C630" s="21"/>
      <c r="D630" s="23"/>
      <c r="E630" s="22"/>
      <c r="F630" s="22"/>
      <c r="G630" s="23"/>
      <c r="H630" s="24"/>
      <c r="I630" s="24"/>
      <c r="J630" s="23"/>
      <c r="K630" s="23"/>
      <c r="L630" s="23"/>
      <c r="M630" s="23"/>
      <c r="N630" s="23"/>
      <c r="O630" s="23"/>
      <c r="P630" s="23"/>
      <c r="Q630" s="25"/>
      <c r="R630" s="23"/>
      <c r="S630" s="23"/>
      <c r="T630" s="23"/>
      <c r="U630" s="20" t="str">
        <f ca="1">IF(COUNTA(A630:T630)=0,"",IF(OR(A630="",B630="",C630="",E630="",G630="",H630="",J630="",K630="",L630="",M630=""),"Ошибка: заполните обязательные поля",IF(AND(LEFT(H630,7)&lt;&gt;"http://",LEFT(H630,8)&lt;&gt;"https://"),"Ошибка: некорректная ссылка",IF(COUNTIF($H$6:$H$1005,H630)&gt;1,"Ошибка: дубликат URL",IF(E630&gt;TODAY(),"Ошибка: дата публикации в будущем",IF(S630="Да","Ошибка: подтверждённый дубль",IF(S630="","Проверить: отметьте дубль",IF(S630="Нужно проверить","Проверить возможный дубль",IF(TODAY()-E630&gt;30,"Проверить: старше 30 дней",IF(COUNTIFS(#REF!,G630,#REF!,"Готово")=0,"Проверить источник","Готово"))))))))))</f>
        <v/>
      </c>
    </row>
    <row r="631" spans="1:21" ht="25.5" customHeight="1">
      <c r="A631" s="21"/>
      <c r="B631" s="22"/>
      <c r="C631" s="21"/>
      <c r="D631" s="23"/>
      <c r="E631" s="22"/>
      <c r="F631" s="22"/>
      <c r="G631" s="23"/>
      <c r="H631" s="24"/>
      <c r="I631" s="24"/>
      <c r="J631" s="23"/>
      <c r="K631" s="23"/>
      <c r="L631" s="23"/>
      <c r="M631" s="23"/>
      <c r="N631" s="23"/>
      <c r="O631" s="23"/>
      <c r="P631" s="23"/>
      <c r="Q631" s="25"/>
      <c r="R631" s="23"/>
      <c r="S631" s="23"/>
      <c r="T631" s="23"/>
      <c r="U631" s="20" t="str">
        <f ca="1">IF(COUNTA(A631:T631)=0,"",IF(OR(A631="",B631="",C631="",E631="",G631="",H631="",J631="",K631="",L631="",M631=""),"Ошибка: заполните обязательные поля",IF(AND(LEFT(H631,7)&lt;&gt;"http://",LEFT(H631,8)&lt;&gt;"https://"),"Ошибка: некорректная ссылка",IF(COUNTIF($H$6:$H$1005,H631)&gt;1,"Ошибка: дубликат URL",IF(E631&gt;TODAY(),"Ошибка: дата публикации в будущем",IF(S631="Да","Ошибка: подтверждённый дубль",IF(S631="","Проверить: отметьте дубль",IF(S631="Нужно проверить","Проверить возможный дубль",IF(TODAY()-E631&gt;30,"Проверить: старше 30 дней",IF(COUNTIFS(#REF!,G631,#REF!,"Готово")=0,"Проверить источник","Готово"))))))))))</f>
        <v/>
      </c>
    </row>
    <row r="632" spans="1:21" ht="25.5" customHeight="1">
      <c r="A632" s="21"/>
      <c r="B632" s="22"/>
      <c r="C632" s="21"/>
      <c r="D632" s="23"/>
      <c r="E632" s="22"/>
      <c r="F632" s="22"/>
      <c r="G632" s="23"/>
      <c r="H632" s="24"/>
      <c r="I632" s="24"/>
      <c r="J632" s="23"/>
      <c r="K632" s="23"/>
      <c r="L632" s="23"/>
      <c r="M632" s="23"/>
      <c r="N632" s="23"/>
      <c r="O632" s="23"/>
      <c r="P632" s="23"/>
      <c r="Q632" s="25"/>
      <c r="R632" s="23"/>
      <c r="S632" s="23"/>
      <c r="T632" s="23"/>
      <c r="U632" s="20" t="str">
        <f ca="1">IF(COUNTA(A632:T632)=0,"",IF(OR(A632="",B632="",C632="",E632="",G632="",H632="",J632="",K632="",L632="",M632=""),"Ошибка: заполните обязательные поля",IF(AND(LEFT(H632,7)&lt;&gt;"http://",LEFT(H632,8)&lt;&gt;"https://"),"Ошибка: некорректная ссылка",IF(COUNTIF($H$6:$H$1005,H632)&gt;1,"Ошибка: дубликат URL",IF(E632&gt;TODAY(),"Ошибка: дата публикации в будущем",IF(S632="Да","Ошибка: подтверждённый дубль",IF(S632="","Проверить: отметьте дубль",IF(S632="Нужно проверить","Проверить возможный дубль",IF(TODAY()-E632&gt;30,"Проверить: старше 30 дней",IF(COUNTIFS(#REF!,G632,#REF!,"Готово")=0,"Проверить источник","Готово"))))))))))</f>
        <v/>
      </c>
    </row>
    <row r="633" spans="1:21" ht="25.5" customHeight="1">
      <c r="A633" s="21"/>
      <c r="B633" s="22"/>
      <c r="C633" s="21"/>
      <c r="D633" s="23"/>
      <c r="E633" s="22"/>
      <c r="F633" s="22"/>
      <c r="G633" s="23"/>
      <c r="H633" s="24"/>
      <c r="I633" s="24"/>
      <c r="J633" s="23"/>
      <c r="K633" s="23"/>
      <c r="L633" s="23"/>
      <c r="M633" s="23"/>
      <c r="N633" s="23"/>
      <c r="O633" s="23"/>
      <c r="P633" s="23"/>
      <c r="Q633" s="25"/>
      <c r="R633" s="23"/>
      <c r="S633" s="23"/>
      <c r="T633" s="23"/>
      <c r="U633" s="20" t="str">
        <f ca="1">IF(COUNTA(A633:T633)=0,"",IF(OR(A633="",B633="",C633="",E633="",G633="",H633="",J633="",K633="",L633="",M633=""),"Ошибка: заполните обязательные поля",IF(AND(LEFT(H633,7)&lt;&gt;"http://",LEFT(H633,8)&lt;&gt;"https://"),"Ошибка: некорректная ссылка",IF(COUNTIF($H$6:$H$1005,H633)&gt;1,"Ошибка: дубликат URL",IF(E633&gt;TODAY(),"Ошибка: дата публикации в будущем",IF(S633="Да","Ошибка: подтверждённый дубль",IF(S633="","Проверить: отметьте дубль",IF(S633="Нужно проверить","Проверить возможный дубль",IF(TODAY()-E633&gt;30,"Проверить: старше 30 дней",IF(COUNTIFS(#REF!,G633,#REF!,"Готово")=0,"Проверить источник","Готово"))))))))))</f>
        <v/>
      </c>
    </row>
    <row r="634" spans="1:21" ht="25.5" customHeight="1">
      <c r="A634" s="21"/>
      <c r="B634" s="22"/>
      <c r="C634" s="21"/>
      <c r="D634" s="23"/>
      <c r="E634" s="22"/>
      <c r="F634" s="22"/>
      <c r="G634" s="23"/>
      <c r="H634" s="24"/>
      <c r="I634" s="24"/>
      <c r="J634" s="23"/>
      <c r="K634" s="23"/>
      <c r="L634" s="23"/>
      <c r="M634" s="23"/>
      <c r="N634" s="23"/>
      <c r="O634" s="23"/>
      <c r="P634" s="23"/>
      <c r="Q634" s="25"/>
      <c r="R634" s="23"/>
      <c r="S634" s="23"/>
      <c r="T634" s="23"/>
      <c r="U634" s="20" t="str">
        <f ca="1">IF(COUNTA(A634:T634)=0,"",IF(OR(A634="",B634="",C634="",E634="",G634="",H634="",J634="",K634="",L634="",M634=""),"Ошибка: заполните обязательные поля",IF(AND(LEFT(H634,7)&lt;&gt;"http://",LEFT(H634,8)&lt;&gt;"https://"),"Ошибка: некорректная ссылка",IF(COUNTIF($H$6:$H$1005,H634)&gt;1,"Ошибка: дубликат URL",IF(E634&gt;TODAY(),"Ошибка: дата публикации в будущем",IF(S634="Да","Ошибка: подтверждённый дубль",IF(S634="","Проверить: отметьте дубль",IF(S634="Нужно проверить","Проверить возможный дубль",IF(TODAY()-E634&gt;30,"Проверить: старше 30 дней",IF(COUNTIFS(#REF!,G634,#REF!,"Готово")=0,"Проверить источник","Готово"))))))))))</f>
        <v/>
      </c>
    </row>
    <row r="635" spans="1:21" ht="25.5" customHeight="1">
      <c r="A635" s="21"/>
      <c r="B635" s="22"/>
      <c r="C635" s="21"/>
      <c r="D635" s="23"/>
      <c r="E635" s="22"/>
      <c r="F635" s="22"/>
      <c r="G635" s="23"/>
      <c r="H635" s="24"/>
      <c r="I635" s="24"/>
      <c r="J635" s="23"/>
      <c r="K635" s="23"/>
      <c r="L635" s="23"/>
      <c r="M635" s="23"/>
      <c r="N635" s="23"/>
      <c r="O635" s="23"/>
      <c r="P635" s="23"/>
      <c r="Q635" s="25"/>
      <c r="R635" s="23"/>
      <c r="S635" s="23"/>
      <c r="T635" s="23"/>
      <c r="U635" s="20" t="str">
        <f ca="1">IF(COUNTA(A635:T635)=0,"",IF(OR(A635="",B635="",C635="",E635="",G635="",H635="",J635="",K635="",L635="",M635=""),"Ошибка: заполните обязательные поля",IF(AND(LEFT(H635,7)&lt;&gt;"http://",LEFT(H635,8)&lt;&gt;"https://"),"Ошибка: некорректная ссылка",IF(COUNTIF($H$6:$H$1005,H635)&gt;1,"Ошибка: дубликат URL",IF(E635&gt;TODAY(),"Ошибка: дата публикации в будущем",IF(S635="Да","Ошибка: подтверждённый дубль",IF(S635="","Проверить: отметьте дубль",IF(S635="Нужно проверить","Проверить возможный дубль",IF(TODAY()-E635&gt;30,"Проверить: старше 30 дней",IF(COUNTIFS(#REF!,G635,#REF!,"Готово")=0,"Проверить источник","Готово"))))))))))</f>
        <v/>
      </c>
    </row>
    <row r="636" spans="1:21" ht="25.5" customHeight="1">
      <c r="A636" s="21"/>
      <c r="B636" s="22"/>
      <c r="C636" s="21"/>
      <c r="D636" s="23"/>
      <c r="E636" s="22"/>
      <c r="F636" s="22"/>
      <c r="G636" s="23"/>
      <c r="H636" s="24"/>
      <c r="I636" s="24"/>
      <c r="J636" s="23"/>
      <c r="K636" s="23"/>
      <c r="L636" s="23"/>
      <c r="M636" s="23"/>
      <c r="N636" s="23"/>
      <c r="O636" s="23"/>
      <c r="P636" s="23"/>
      <c r="Q636" s="25"/>
      <c r="R636" s="23"/>
      <c r="S636" s="23"/>
      <c r="T636" s="23"/>
      <c r="U636" s="20" t="str">
        <f ca="1">IF(COUNTA(A636:T636)=0,"",IF(OR(A636="",B636="",C636="",E636="",G636="",H636="",J636="",K636="",L636="",M636=""),"Ошибка: заполните обязательные поля",IF(AND(LEFT(H636,7)&lt;&gt;"http://",LEFT(H636,8)&lt;&gt;"https://"),"Ошибка: некорректная ссылка",IF(COUNTIF($H$6:$H$1005,H636)&gt;1,"Ошибка: дубликат URL",IF(E636&gt;TODAY(),"Ошибка: дата публикации в будущем",IF(S636="Да","Ошибка: подтверждённый дубль",IF(S636="","Проверить: отметьте дубль",IF(S636="Нужно проверить","Проверить возможный дубль",IF(TODAY()-E636&gt;30,"Проверить: старше 30 дней",IF(COUNTIFS(#REF!,G636,#REF!,"Готово")=0,"Проверить источник","Готово"))))))))))</f>
        <v/>
      </c>
    </row>
    <row r="637" spans="1:21" ht="25.5" customHeight="1">
      <c r="A637" s="21"/>
      <c r="B637" s="22"/>
      <c r="C637" s="21"/>
      <c r="D637" s="23"/>
      <c r="E637" s="22"/>
      <c r="F637" s="22"/>
      <c r="G637" s="23"/>
      <c r="H637" s="24"/>
      <c r="I637" s="24"/>
      <c r="J637" s="23"/>
      <c r="K637" s="23"/>
      <c r="L637" s="23"/>
      <c r="M637" s="23"/>
      <c r="N637" s="23"/>
      <c r="O637" s="23"/>
      <c r="P637" s="23"/>
      <c r="Q637" s="25"/>
      <c r="R637" s="23"/>
      <c r="S637" s="23"/>
      <c r="T637" s="23"/>
      <c r="U637" s="20" t="str">
        <f ca="1">IF(COUNTA(A637:T637)=0,"",IF(OR(A637="",B637="",C637="",E637="",G637="",H637="",J637="",K637="",L637="",M637=""),"Ошибка: заполните обязательные поля",IF(AND(LEFT(H637,7)&lt;&gt;"http://",LEFT(H637,8)&lt;&gt;"https://"),"Ошибка: некорректная ссылка",IF(COUNTIF($H$6:$H$1005,H637)&gt;1,"Ошибка: дубликат URL",IF(E637&gt;TODAY(),"Ошибка: дата публикации в будущем",IF(S637="Да","Ошибка: подтверждённый дубль",IF(S637="","Проверить: отметьте дубль",IF(S637="Нужно проверить","Проверить возможный дубль",IF(TODAY()-E637&gt;30,"Проверить: старше 30 дней",IF(COUNTIFS(#REF!,G637,#REF!,"Готово")=0,"Проверить источник","Готово"))))))))))</f>
        <v/>
      </c>
    </row>
    <row r="638" spans="1:21" ht="25.5" customHeight="1">
      <c r="A638" s="21"/>
      <c r="B638" s="22"/>
      <c r="C638" s="21"/>
      <c r="D638" s="23"/>
      <c r="E638" s="22"/>
      <c r="F638" s="22"/>
      <c r="G638" s="23"/>
      <c r="H638" s="24"/>
      <c r="I638" s="24"/>
      <c r="J638" s="23"/>
      <c r="K638" s="23"/>
      <c r="L638" s="23"/>
      <c r="M638" s="23"/>
      <c r="N638" s="23"/>
      <c r="O638" s="23"/>
      <c r="P638" s="23"/>
      <c r="Q638" s="25"/>
      <c r="R638" s="23"/>
      <c r="S638" s="23"/>
      <c r="T638" s="23"/>
      <c r="U638" s="20" t="str">
        <f ca="1">IF(COUNTA(A638:T638)=0,"",IF(OR(A638="",B638="",C638="",E638="",G638="",H638="",J638="",K638="",L638="",M638=""),"Ошибка: заполните обязательные поля",IF(AND(LEFT(H638,7)&lt;&gt;"http://",LEFT(H638,8)&lt;&gt;"https://"),"Ошибка: некорректная ссылка",IF(COUNTIF($H$6:$H$1005,H638)&gt;1,"Ошибка: дубликат URL",IF(E638&gt;TODAY(),"Ошибка: дата публикации в будущем",IF(S638="Да","Ошибка: подтверждённый дубль",IF(S638="","Проверить: отметьте дубль",IF(S638="Нужно проверить","Проверить возможный дубль",IF(TODAY()-E638&gt;30,"Проверить: старше 30 дней",IF(COUNTIFS(#REF!,G638,#REF!,"Готово")=0,"Проверить источник","Готово"))))))))))</f>
        <v/>
      </c>
    </row>
    <row r="639" spans="1:21" ht="25.5" customHeight="1">
      <c r="A639" s="21"/>
      <c r="B639" s="22"/>
      <c r="C639" s="21"/>
      <c r="D639" s="23"/>
      <c r="E639" s="22"/>
      <c r="F639" s="22"/>
      <c r="G639" s="23"/>
      <c r="H639" s="24"/>
      <c r="I639" s="24"/>
      <c r="J639" s="23"/>
      <c r="K639" s="23"/>
      <c r="L639" s="23"/>
      <c r="M639" s="23"/>
      <c r="N639" s="23"/>
      <c r="O639" s="23"/>
      <c r="P639" s="23"/>
      <c r="Q639" s="25"/>
      <c r="R639" s="23"/>
      <c r="S639" s="23"/>
      <c r="T639" s="23"/>
      <c r="U639" s="20" t="str">
        <f ca="1">IF(COUNTA(A639:T639)=0,"",IF(OR(A639="",B639="",C639="",E639="",G639="",H639="",J639="",K639="",L639="",M639=""),"Ошибка: заполните обязательные поля",IF(AND(LEFT(H639,7)&lt;&gt;"http://",LEFT(H639,8)&lt;&gt;"https://"),"Ошибка: некорректная ссылка",IF(COUNTIF($H$6:$H$1005,H639)&gt;1,"Ошибка: дубликат URL",IF(E639&gt;TODAY(),"Ошибка: дата публикации в будущем",IF(S639="Да","Ошибка: подтверждённый дубль",IF(S639="","Проверить: отметьте дубль",IF(S639="Нужно проверить","Проверить возможный дубль",IF(TODAY()-E639&gt;30,"Проверить: старше 30 дней",IF(COUNTIFS(#REF!,G639,#REF!,"Готово")=0,"Проверить источник","Готово"))))))))))</f>
        <v/>
      </c>
    </row>
    <row r="640" spans="1:21" ht="25.5" customHeight="1">
      <c r="A640" s="21"/>
      <c r="B640" s="22"/>
      <c r="C640" s="21"/>
      <c r="D640" s="23"/>
      <c r="E640" s="22"/>
      <c r="F640" s="22"/>
      <c r="G640" s="23"/>
      <c r="H640" s="24"/>
      <c r="I640" s="24"/>
      <c r="J640" s="23"/>
      <c r="K640" s="23"/>
      <c r="L640" s="23"/>
      <c r="M640" s="23"/>
      <c r="N640" s="23"/>
      <c r="O640" s="23"/>
      <c r="P640" s="23"/>
      <c r="Q640" s="25"/>
      <c r="R640" s="23"/>
      <c r="S640" s="23"/>
      <c r="T640" s="23"/>
      <c r="U640" s="20" t="str">
        <f ca="1">IF(COUNTA(A640:T640)=0,"",IF(OR(A640="",B640="",C640="",E640="",G640="",H640="",J640="",K640="",L640="",M640=""),"Ошибка: заполните обязательные поля",IF(AND(LEFT(H640,7)&lt;&gt;"http://",LEFT(H640,8)&lt;&gt;"https://"),"Ошибка: некорректная ссылка",IF(COUNTIF($H$6:$H$1005,H640)&gt;1,"Ошибка: дубликат URL",IF(E640&gt;TODAY(),"Ошибка: дата публикации в будущем",IF(S640="Да","Ошибка: подтверждённый дубль",IF(S640="","Проверить: отметьте дубль",IF(S640="Нужно проверить","Проверить возможный дубль",IF(TODAY()-E640&gt;30,"Проверить: старше 30 дней",IF(COUNTIFS(#REF!,G640,#REF!,"Готово")=0,"Проверить источник","Готово"))))))))))</f>
        <v/>
      </c>
    </row>
    <row r="641" spans="1:21" ht="25.5" customHeight="1">
      <c r="A641" s="21"/>
      <c r="B641" s="22"/>
      <c r="C641" s="21"/>
      <c r="D641" s="23"/>
      <c r="E641" s="22"/>
      <c r="F641" s="22"/>
      <c r="G641" s="23"/>
      <c r="H641" s="24"/>
      <c r="I641" s="24"/>
      <c r="J641" s="23"/>
      <c r="K641" s="23"/>
      <c r="L641" s="23"/>
      <c r="M641" s="23"/>
      <c r="N641" s="23"/>
      <c r="O641" s="23"/>
      <c r="P641" s="23"/>
      <c r="Q641" s="25"/>
      <c r="R641" s="23"/>
      <c r="S641" s="23"/>
      <c r="T641" s="23"/>
      <c r="U641" s="20" t="str">
        <f ca="1">IF(COUNTA(A641:T641)=0,"",IF(OR(A641="",B641="",C641="",E641="",G641="",H641="",J641="",K641="",L641="",M641=""),"Ошибка: заполните обязательные поля",IF(AND(LEFT(H641,7)&lt;&gt;"http://",LEFT(H641,8)&lt;&gt;"https://"),"Ошибка: некорректная ссылка",IF(COUNTIF($H$6:$H$1005,H641)&gt;1,"Ошибка: дубликат URL",IF(E641&gt;TODAY(),"Ошибка: дата публикации в будущем",IF(S641="Да","Ошибка: подтверждённый дубль",IF(S641="","Проверить: отметьте дубль",IF(S641="Нужно проверить","Проверить возможный дубль",IF(TODAY()-E641&gt;30,"Проверить: старше 30 дней",IF(COUNTIFS(#REF!,G641,#REF!,"Готово")=0,"Проверить источник","Готово"))))))))))</f>
        <v/>
      </c>
    </row>
    <row r="642" spans="1:21" ht="25.5" customHeight="1">
      <c r="A642" s="21"/>
      <c r="B642" s="22"/>
      <c r="C642" s="21"/>
      <c r="D642" s="23"/>
      <c r="E642" s="22"/>
      <c r="F642" s="22"/>
      <c r="G642" s="23"/>
      <c r="H642" s="24"/>
      <c r="I642" s="24"/>
      <c r="J642" s="23"/>
      <c r="K642" s="23"/>
      <c r="L642" s="23"/>
      <c r="M642" s="23"/>
      <c r="N642" s="23"/>
      <c r="O642" s="23"/>
      <c r="P642" s="23"/>
      <c r="Q642" s="25"/>
      <c r="R642" s="23"/>
      <c r="S642" s="23"/>
      <c r="T642" s="23"/>
      <c r="U642" s="20" t="str">
        <f ca="1">IF(COUNTA(A642:T642)=0,"",IF(OR(A642="",B642="",C642="",E642="",G642="",H642="",J642="",K642="",L642="",M642=""),"Ошибка: заполните обязательные поля",IF(AND(LEFT(H642,7)&lt;&gt;"http://",LEFT(H642,8)&lt;&gt;"https://"),"Ошибка: некорректная ссылка",IF(COUNTIF($H$6:$H$1005,H642)&gt;1,"Ошибка: дубликат URL",IF(E642&gt;TODAY(),"Ошибка: дата публикации в будущем",IF(S642="Да","Ошибка: подтверждённый дубль",IF(S642="","Проверить: отметьте дубль",IF(S642="Нужно проверить","Проверить возможный дубль",IF(TODAY()-E642&gt;30,"Проверить: старше 30 дней",IF(COUNTIFS(#REF!,G642,#REF!,"Готово")=0,"Проверить источник","Готово"))))))))))</f>
        <v/>
      </c>
    </row>
    <row r="643" spans="1:21" ht="25.5" customHeight="1">
      <c r="A643" s="21"/>
      <c r="B643" s="22"/>
      <c r="C643" s="21"/>
      <c r="D643" s="23"/>
      <c r="E643" s="22"/>
      <c r="F643" s="22"/>
      <c r="G643" s="23"/>
      <c r="H643" s="24"/>
      <c r="I643" s="24"/>
      <c r="J643" s="23"/>
      <c r="K643" s="23"/>
      <c r="L643" s="23"/>
      <c r="M643" s="23"/>
      <c r="N643" s="23"/>
      <c r="O643" s="23"/>
      <c r="P643" s="23"/>
      <c r="Q643" s="25"/>
      <c r="R643" s="23"/>
      <c r="S643" s="23"/>
      <c r="T643" s="23"/>
      <c r="U643" s="20" t="str">
        <f ca="1">IF(COUNTA(A643:T643)=0,"",IF(OR(A643="",B643="",C643="",E643="",G643="",H643="",J643="",K643="",L643="",M643=""),"Ошибка: заполните обязательные поля",IF(AND(LEFT(H643,7)&lt;&gt;"http://",LEFT(H643,8)&lt;&gt;"https://"),"Ошибка: некорректная ссылка",IF(COUNTIF($H$6:$H$1005,H643)&gt;1,"Ошибка: дубликат URL",IF(E643&gt;TODAY(),"Ошибка: дата публикации в будущем",IF(S643="Да","Ошибка: подтверждённый дубль",IF(S643="","Проверить: отметьте дубль",IF(S643="Нужно проверить","Проверить возможный дубль",IF(TODAY()-E643&gt;30,"Проверить: старше 30 дней",IF(COUNTIFS(#REF!,G643,#REF!,"Готово")=0,"Проверить источник","Готово"))))))))))</f>
        <v/>
      </c>
    </row>
    <row r="644" spans="1:21" ht="25.5" customHeight="1">
      <c r="A644" s="21"/>
      <c r="B644" s="22"/>
      <c r="C644" s="21"/>
      <c r="D644" s="23"/>
      <c r="E644" s="22"/>
      <c r="F644" s="22"/>
      <c r="G644" s="23"/>
      <c r="H644" s="24"/>
      <c r="I644" s="24"/>
      <c r="J644" s="23"/>
      <c r="K644" s="23"/>
      <c r="L644" s="23"/>
      <c r="M644" s="23"/>
      <c r="N644" s="23"/>
      <c r="O644" s="23"/>
      <c r="P644" s="23"/>
      <c r="Q644" s="25"/>
      <c r="R644" s="23"/>
      <c r="S644" s="23"/>
      <c r="T644" s="23"/>
      <c r="U644" s="20" t="str">
        <f ca="1">IF(COUNTA(A644:T644)=0,"",IF(OR(A644="",B644="",C644="",E644="",G644="",H644="",J644="",K644="",L644="",M644=""),"Ошибка: заполните обязательные поля",IF(AND(LEFT(H644,7)&lt;&gt;"http://",LEFT(H644,8)&lt;&gt;"https://"),"Ошибка: некорректная ссылка",IF(COUNTIF($H$6:$H$1005,H644)&gt;1,"Ошибка: дубликат URL",IF(E644&gt;TODAY(),"Ошибка: дата публикации в будущем",IF(S644="Да","Ошибка: подтверждённый дубль",IF(S644="","Проверить: отметьте дубль",IF(S644="Нужно проверить","Проверить возможный дубль",IF(TODAY()-E644&gt;30,"Проверить: старше 30 дней",IF(COUNTIFS(#REF!,G644,#REF!,"Готово")=0,"Проверить источник","Готово"))))))))))</f>
        <v/>
      </c>
    </row>
    <row r="645" spans="1:21" ht="25.5" customHeight="1">
      <c r="A645" s="21"/>
      <c r="B645" s="22"/>
      <c r="C645" s="21"/>
      <c r="D645" s="23"/>
      <c r="E645" s="22"/>
      <c r="F645" s="22"/>
      <c r="G645" s="23"/>
      <c r="H645" s="24"/>
      <c r="I645" s="24"/>
      <c r="J645" s="23"/>
      <c r="K645" s="23"/>
      <c r="L645" s="23"/>
      <c r="M645" s="23"/>
      <c r="N645" s="23"/>
      <c r="O645" s="23"/>
      <c r="P645" s="23"/>
      <c r="Q645" s="25"/>
      <c r="R645" s="23"/>
      <c r="S645" s="23"/>
      <c r="T645" s="23"/>
      <c r="U645" s="20" t="str">
        <f ca="1">IF(COUNTA(A645:T645)=0,"",IF(OR(A645="",B645="",C645="",E645="",G645="",H645="",J645="",K645="",L645="",M645=""),"Ошибка: заполните обязательные поля",IF(AND(LEFT(H645,7)&lt;&gt;"http://",LEFT(H645,8)&lt;&gt;"https://"),"Ошибка: некорректная ссылка",IF(COUNTIF($H$6:$H$1005,H645)&gt;1,"Ошибка: дубликат URL",IF(E645&gt;TODAY(),"Ошибка: дата публикации в будущем",IF(S645="Да","Ошибка: подтверждённый дубль",IF(S645="","Проверить: отметьте дубль",IF(S645="Нужно проверить","Проверить возможный дубль",IF(TODAY()-E645&gt;30,"Проверить: старше 30 дней",IF(COUNTIFS(#REF!,G645,#REF!,"Готово")=0,"Проверить источник","Готово"))))))))))</f>
        <v/>
      </c>
    </row>
    <row r="646" spans="1:21" ht="25.5" customHeight="1">
      <c r="A646" s="21"/>
      <c r="B646" s="22"/>
      <c r="C646" s="21"/>
      <c r="D646" s="23"/>
      <c r="E646" s="22"/>
      <c r="F646" s="22"/>
      <c r="G646" s="23"/>
      <c r="H646" s="24"/>
      <c r="I646" s="24"/>
      <c r="J646" s="23"/>
      <c r="K646" s="23"/>
      <c r="L646" s="23"/>
      <c r="M646" s="23"/>
      <c r="N646" s="23"/>
      <c r="O646" s="23"/>
      <c r="P646" s="23"/>
      <c r="Q646" s="25"/>
      <c r="R646" s="23"/>
      <c r="S646" s="23"/>
      <c r="T646" s="23"/>
      <c r="U646" s="20" t="str">
        <f ca="1">IF(COUNTA(A646:T646)=0,"",IF(OR(A646="",B646="",C646="",E646="",G646="",H646="",J646="",K646="",L646="",M646=""),"Ошибка: заполните обязательные поля",IF(AND(LEFT(H646,7)&lt;&gt;"http://",LEFT(H646,8)&lt;&gt;"https://"),"Ошибка: некорректная ссылка",IF(COUNTIF($H$6:$H$1005,H646)&gt;1,"Ошибка: дубликат URL",IF(E646&gt;TODAY(),"Ошибка: дата публикации в будущем",IF(S646="Да","Ошибка: подтверждённый дубль",IF(S646="","Проверить: отметьте дубль",IF(S646="Нужно проверить","Проверить возможный дубль",IF(TODAY()-E646&gt;30,"Проверить: старше 30 дней",IF(COUNTIFS(#REF!,G646,#REF!,"Готово")=0,"Проверить источник","Готово"))))))))))</f>
        <v/>
      </c>
    </row>
    <row r="647" spans="1:21" ht="25.5" customHeight="1">
      <c r="A647" s="21"/>
      <c r="B647" s="22"/>
      <c r="C647" s="21"/>
      <c r="D647" s="23"/>
      <c r="E647" s="22"/>
      <c r="F647" s="22"/>
      <c r="G647" s="23"/>
      <c r="H647" s="24"/>
      <c r="I647" s="24"/>
      <c r="J647" s="23"/>
      <c r="K647" s="23"/>
      <c r="L647" s="23"/>
      <c r="M647" s="23"/>
      <c r="N647" s="23"/>
      <c r="O647" s="23"/>
      <c r="P647" s="23"/>
      <c r="Q647" s="25"/>
      <c r="R647" s="23"/>
      <c r="S647" s="23"/>
      <c r="T647" s="23"/>
      <c r="U647" s="20" t="str">
        <f ca="1">IF(COUNTA(A647:T647)=0,"",IF(OR(A647="",B647="",C647="",E647="",G647="",H647="",J647="",K647="",L647="",M647=""),"Ошибка: заполните обязательные поля",IF(AND(LEFT(H647,7)&lt;&gt;"http://",LEFT(H647,8)&lt;&gt;"https://"),"Ошибка: некорректная ссылка",IF(COUNTIF($H$6:$H$1005,H647)&gt;1,"Ошибка: дубликат URL",IF(E647&gt;TODAY(),"Ошибка: дата публикации в будущем",IF(S647="Да","Ошибка: подтверждённый дубль",IF(S647="","Проверить: отметьте дубль",IF(S647="Нужно проверить","Проверить возможный дубль",IF(TODAY()-E647&gt;30,"Проверить: старше 30 дней",IF(COUNTIFS(#REF!,G647,#REF!,"Готово")=0,"Проверить источник","Готово"))))))))))</f>
        <v/>
      </c>
    </row>
    <row r="648" spans="1:21" ht="25.5" customHeight="1">
      <c r="A648" s="21"/>
      <c r="B648" s="22"/>
      <c r="C648" s="21"/>
      <c r="D648" s="23"/>
      <c r="E648" s="22"/>
      <c r="F648" s="22"/>
      <c r="G648" s="23"/>
      <c r="H648" s="24"/>
      <c r="I648" s="24"/>
      <c r="J648" s="23"/>
      <c r="K648" s="23"/>
      <c r="L648" s="23"/>
      <c r="M648" s="23"/>
      <c r="N648" s="23"/>
      <c r="O648" s="23"/>
      <c r="P648" s="23"/>
      <c r="Q648" s="25"/>
      <c r="R648" s="23"/>
      <c r="S648" s="23"/>
      <c r="T648" s="23"/>
      <c r="U648" s="20" t="str">
        <f ca="1">IF(COUNTA(A648:T648)=0,"",IF(OR(A648="",B648="",C648="",E648="",G648="",H648="",J648="",K648="",L648="",M648=""),"Ошибка: заполните обязательные поля",IF(AND(LEFT(H648,7)&lt;&gt;"http://",LEFT(H648,8)&lt;&gt;"https://"),"Ошибка: некорректная ссылка",IF(COUNTIF($H$6:$H$1005,H648)&gt;1,"Ошибка: дубликат URL",IF(E648&gt;TODAY(),"Ошибка: дата публикации в будущем",IF(S648="Да","Ошибка: подтверждённый дубль",IF(S648="","Проверить: отметьте дубль",IF(S648="Нужно проверить","Проверить возможный дубль",IF(TODAY()-E648&gt;30,"Проверить: старше 30 дней",IF(COUNTIFS(#REF!,G648,#REF!,"Готово")=0,"Проверить источник","Готово"))))))))))</f>
        <v/>
      </c>
    </row>
    <row r="649" spans="1:21" ht="25.5" customHeight="1">
      <c r="A649" s="21"/>
      <c r="B649" s="22"/>
      <c r="C649" s="21"/>
      <c r="D649" s="23"/>
      <c r="E649" s="22"/>
      <c r="F649" s="22"/>
      <c r="G649" s="23"/>
      <c r="H649" s="24"/>
      <c r="I649" s="24"/>
      <c r="J649" s="23"/>
      <c r="K649" s="23"/>
      <c r="L649" s="23"/>
      <c r="M649" s="23"/>
      <c r="N649" s="23"/>
      <c r="O649" s="23"/>
      <c r="P649" s="23"/>
      <c r="Q649" s="25"/>
      <c r="R649" s="23"/>
      <c r="S649" s="23"/>
      <c r="T649" s="23"/>
      <c r="U649" s="20" t="str">
        <f ca="1">IF(COUNTA(A649:T649)=0,"",IF(OR(A649="",B649="",C649="",E649="",G649="",H649="",J649="",K649="",L649="",M649=""),"Ошибка: заполните обязательные поля",IF(AND(LEFT(H649,7)&lt;&gt;"http://",LEFT(H649,8)&lt;&gt;"https://"),"Ошибка: некорректная ссылка",IF(COUNTIF($H$6:$H$1005,H649)&gt;1,"Ошибка: дубликат URL",IF(E649&gt;TODAY(),"Ошибка: дата публикации в будущем",IF(S649="Да","Ошибка: подтверждённый дубль",IF(S649="","Проверить: отметьте дубль",IF(S649="Нужно проверить","Проверить возможный дубль",IF(TODAY()-E649&gt;30,"Проверить: старше 30 дней",IF(COUNTIFS(#REF!,G649,#REF!,"Готово")=0,"Проверить источник","Готово"))))))))))</f>
        <v/>
      </c>
    </row>
    <row r="650" spans="1:21" ht="25.5" customHeight="1">
      <c r="A650" s="21"/>
      <c r="B650" s="22"/>
      <c r="C650" s="21"/>
      <c r="D650" s="23"/>
      <c r="E650" s="22"/>
      <c r="F650" s="22"/>
      <c r="G650" s="23"/>
      <c r="H650" s="24"/>
      <c r="I650" s="24"/>
      <c r="J650" s="23"/>
      <c r="K650" s="23"/>
      <c r="L650" s="23"/>
      <c r="M650" s="23"/>
      <c r="N650" s="23"/>
      <c r="O650" s="23"/>
      <c r="P650" s="23"/>
      <c r="Q650" s="25"/>
      <c r="R650" s="23"/>
      <c r="S650" s="23"/>
      <c r="T650" s="23"/>
      <c r="U650" s="20" t="str">
        <f ca="1">IF(COUNTA(A650:T650)=0,"",IF(OR(A650="",B650="",C650="",E650="",G650="",H650="",J650="",K650="",L650="",M650=""),"Ошибка: заполните обязательные поля",IF(AND(LEFT(H650,7)&lt;&gt;"http://",LEFT(H650,8)&lt;&gt;"https://"),"Ошибка: некорректная ссылка",IF(COUNTIF($H$6:$H$1005,H650)&gt;1,"Ошибка: дубликат URL",IF(E650&gt;TODAY(),"Ошибка: дата публикации в будущем",IF(S650="Да","Ошибка: подтверждённый дубль",IF(S650="","Проверить: отметьте дубль",IF(S650="Нужно проверить","Проверить возможный дубль",IF(TODAY()-E650&gt;30,"Проверить: старше 30 дней",IF(COUNTIFS(#REF!,G650,#REF!,"Готово")=0,"Проверить источник","Готово"))))))))))</f>
        <v/>
      </c>
    </row>
    <row r="651" spans="1:21" ht="25.5" customHeight="1">
      <c r="A651" s="21"/>
      <c r="B651" s="22"/>
      <c r="C651" s="21"/>
      <c r="D651" s="23"/>
      <c r="E651" s="22"/>
      <c r="F651" s="22"/>
      <c r="G651" s="23"/>
      <c r="H651" s="24"/>
      <c r="I651" s="24"/>
      <c r="J651" s="23"/>
      <c r="K651" s="23"/>
      <c r="L651" s="23"/>
      <c r="M651" s="23"/>
      <c r="N651" s="23"/>
      <c r="O651" s="23"/>
      <c r="P651" s="23"/>
      <c r="Q651" s="25"/>
      <c r="R651" s="23"/>
      <c r="S651" s="23"/>
      <c r="T651" s="23"/>
      <c r="U651" s="20" t="str">
        <f ca="1">IF(COUNTA(A651:T651)=0,"",IF(OR(A651="",B651="",C651="",E651="",G651="",H651="",J651="",K651="",L651="",M651=""),"Ошибка: заполните обязательные поля",IF(AND(LEFT(H651,7)&lt;&gt;"http://",LEFT(H651,8)&lt;&gt;"https://"),"Ошибка: некорректная ссылка",IF(COUNTIF($H$6:$H$1005,H651)&gt;1,"Ошибка: дубликат URL",IF(E651&gt;TODAY(),"Ошибка: дата публикации в будущем",IF(S651="Да","Ошибка: подтверждённый дубль",IF(S651="","Проверить: отметьте дубль",IF(S651="Нужно проверить","Проверить возможный дубль",IF(TODAY()-E651&gt;30,"Проверить: старше 30 дней",IF(COUNTIFS(#REF!,G651,#REF!,"Готово")=0,"Проверить источник","Готово"))))))))))</f>
        <v/>
      </c>
    </row>
    <row r="652" spans="1:21" ht="25.5" customHeight="1">
      <c r="A652" s="21"/>
      <c r="B652" s="22"/>
      <c r="C652" s="21"/>
      <c r="D652" s="23"/>
      <c r="E652" s="22"/>
      <c r="F652" s="22"/>
      <c r="G652" s="23"/>
      <c r="H652" s="24"/>
      <c r="I652" s="24"/>
      <c r="J652" s="23"/>
      <c r="K652" s="23"/>
      <c r="L652" s="23"/>
      <c r="M652" s="23"/>
      <c r="N652" s="23"/>
      <c r="O652" s="23"/>
      <c r="P652" s="23"/>
      <c r="Q652" s="25"/>
      <c r="R652" s="23"/>
      <c r="S652" s="23"/>
      <c r="T652" s="23"/>
      <c r="U652" s="20" t="str">
        <f ca="1">IF(COUNTA(A652:T652)=0,"",IF(OR(A652="",B652="",C652="",E652="",G652="",H652="",J652="",K652="",L652="",M652=""),"Ошибка: заполните обязательные поля",IF(AND(LEFT(H652,7)&lt;&gt;"http://",LEFT(H652,8)&lt;&gt;"https://"),"Ошибка: некорректная ссылка",IF(COUNTIF($H$6:$H$1005,H652)&gt;1,"Ошибка: дубликат URL",IF(E652&gt;TODAY(),"Ошибка: дата публикации в будущем",IF(S652="Да","Ошибка: подтверждённый дубль",IF(S652="","Проверить: отметьте дубль",IF(S652="Нужно проверить","Проверить возможный дубль",IF(TODAY()-E652&gt;30,"Проверить: старше 30 дней",IF(COUNTIFS(#REF!,G652,#REF!,"Готово")=0,"Проверить источник","Готово"))))))))))</f>
        <v/>
      </c>
    </row>
    <row r="653" spans="1:21" ht="25.5" customHeight="1">
      <c r="A653" s="21"/>
      <c r="B653" s="22"/>
      <c r="C653" s="21"/>
      <c r="D653" s="23"/>
      <c r="E653" s="22"/>
      <c r="F653" s="22"/>
      <c r="G653" s="23"/>
      <c r="H653" s="24"/>
      <c r="I653" s="24"/>
      <c r="J653" s="23"/>
      <c r="K653" s="23"/>
      <c r="L653" s="23"/>
      <c r="M653" s="23"/>
      <c r="N653" s="23"/>
      <c r="O653" s="23"/>
      <c r="P653" s="23"/>
      <c r="Q653" s="25"/>
      <c r="R653" s="23"/>
      <c r="S653" s="23"/>
      <c r="T653" s="23"/>
      <c r="U653" s="20" t="str">
        <f ca="1">IF(COUNTA(A653:T653)=0,"",IF(OR(A653="",B653="",C653="",E653="",G653="",H653="",J653="",K653="",L653="",M653=""),"Ошибка: заполните обязательные поля",IF(AND(LEFT(H653,7)&lt;&gt;"http://",LEFT(H653,8)&lt;&gt;"https://"),"Ошибка: некорректная ссылка",IF(COUNTIF($H$6:$H$1005,H653)&gt;1,"Ошибка: дубликат URL",IF(E653&gt;TODAY(),"Ошибка: дата публикации в будущем",IF(S653="Да","Ошибка: подтверждённый дубль",IF(S653="","Проверить: отметьте дубль",IF(S653="Нужно проверить","Проверить возможный дубль",IF(TODAY()-E653&gt;30,"Проверить: старше 30 дней",IF(COUNTIFS(#REF!,G653,#REF!,"Готово")=0,"Проверить источник","Готово"))))))))))</f>
        <v/>
      </c>
    </row>
    <row r="654" spans="1:21" ht="25.5" customHeight="1">
      <c r="A654" s="21"/>
      <c r="B654" s="22"/>
      <c r="C654" s="21"/>
      <c r="D654" s="23"/>
      <c r="E654" s="22"/>
      <c r="F654" s="22"/>
      <c r="G654" s="23"/>
      <c r="H654" s="24"/>
      <c r="I654" s="24"/>
      <c r="J654" s="23"/>
      <c r="K654" s="23"/>
      <c r="L654" s="23"/>
      <c r="M654" s="23"/>
      <c r="N654" s="23"/>
      <c r="O654" s="23"/>
      <c r="P654" s="23"/>
      <c r="Q654" s="25"/>
      <c r="R654" s="23"/>
      <c r="S654" s="23"/>
      <c r="T654" s="23"/>
      <c r="U654" s="20" t="str">
        <f ca="1">IF(COUNTA(A654:T654)=0,"",IF(OR(A654="",B654="",C654="",E654="",G654="",H654="",J654="",K654="",L654="",M654=""),"Ошибка: заполните обязательные поля",IF(AND(LEFT(H654,7)&lt;&gt;"http://",LEFT(H654,8)&lt;&gt;"https://"),"Ошибка: некорректная ссылка",IF(COUNTIF($H$6:$H$1005,H654)&gt;1,"Ошибка: дубликат URL",IF(E654&gt;TODAY(),"Ошибка: дата публикации в будущем",IF(S654="Да","Ошибка: подтверждённый дубль",IF(S654="","Проверить: отметьте дубль",IF(S654="Нужно проверить","Проверить возможный дубль",IF(TODAY()-E654&gt;30,"Проверить: старше 30 дней",IF(COUNTIFS(#REF!,G654,#REF!,"Готово")=0,"Проверить источник","Готово"))))))))))</f>
        <v/>
      </c>
    </row>
    <row r="655" spans="1:21" ht="25.5" customHeight="1">
      <c r="A655" s="21"/>
      <c r="B655" s="22"/>
      <c r="C655" s="21"/>
      <c r="D655" s="23"/>
      <c r="E655" s="22"/>
      <c r="F655" s="22"/>
      <c r="G655" s="23"/>
      <c r="H655" s="24"/>
      <c r="I655" s="24"/>
      <c r="J655" s="23"/>
      <c r="K655" s="23"/>
      <c r="L655" s="23"/>
      <c r="M655" s="23"/>
      <c r="N655" s="23"/>
      <c r="O655" s="23"/>
      <c r="P655" s="23"/>
      <c r="Q655" s="25"/>
      <c r="R655" s="23"/>
      <c r="S655" s="23"/>
      <c r="T655" s="23"/>
      <c r="U655" s="20" t="str">
        <f ca="1">IF(COUNTA(A655:T655)=0,"",IF(OR(A655="",B655="",C655="",E655="",G655="",H655="",J655="",K655="",L655="",M655=""),"Ошибка: заполните обязательные поля",IF(AND(LEFT(H655,7)&lt;&gt;"http://",LEFT(H655,8)&lt;&gt;"https://"),"Ошибка: некорректная ссылка",IF(COUNTIF($H$6:$H$1005,H655)&gt;1,"Ошибка: дубликат URL",IF(E655&gt;TODAY(),"Ошибка: дата публикации в будущем",IF(S655="Да","Ошибка: подтверждённый дубль",IF(S655="","Проверить: отметьте дубль",IF(S655="Нужно проверить","Проверить возможный дубль",IF(TODAY()-E655&gt;30,"Проверить: старше 30 дней",IF(COUNTIFS(#REF!,G655,#REF!,"Готово")=0,"Проверить источник","Готово"))))))))))</f>
        <v/>
      </c>
    </row>
    <row r="656" spans="1:21" ht="25.5" customHeight="1">
      <c r="A656" s="21"/>
      <c r="B656" s="22"/>
      <c r="C656" s="21"/>
      <c r="D656" s="23"/>
      <c r="E656" s="22"/>
      <c r="F656" s="22"/>
      <c r="G656" s="23"/>
      <c r="H656" s="24"/>
      <c r="I656" s="24"/>
      <c r="J656" s="23"/>
      <c r="K656" s="23"/>
      <c r="L656" s="23"/>
      <c r="M656" s="23"/>
      <c r="N656" s="23"/>
      <c r="O656" s="23"/>
      <c r="P656" s="23"/>
      <c r="Q656" s="25"/>
      <c r="R656" s="23"/>
      <c r="S656" s="23"/>
      <c r="T656" s="23"/>
      <c r="U656" s="20" t="str">
        <f ca="1">IF(COUNTA(A656:T656)=0,"",IF(OR(A656="",B656="",C656="",E656="",G656="",H656="",J656="",K656="",L656="",M656=""),"Ошибка: заполните обязательные поля",IF(AND(LEFT(H656,7)&lt;&gt;"http://",LEFT(H656,8)&lt;&gt;"https://"),"Ошибка: некорректная ссылка",IF(COUNTIF($H$6:$H$1005,H656)&gt;1,"Ошибка: дубликат URL",IF(E656&gt;TODAY(),"Ошибка: дата публикации в будущем",IF(S656="Да","Ошибка: подтверждённый дубль",IF(S656="","Проверить: отметьте дубль",IF(S656="Нужно проверить","Проверить возможный дубль",IF(TODAY()-E656&gt;30,"Проверить: старше 30 дней",IF(COUNTIFS(#REF!,G656,#REF!,"Готово")=0,"Проверить источник","Готово"))))))))))</f>
        <v/>
      </c>
    </row>
    <row r="657" spans="1:21" ht="25.5" customHeight="1">
      <c r="A657" s="21"/>
      <c r="B657" s="22"/>
      <c r="C657" s="21"/>
      <c r="D657" s="23"/>
      <c r="E657" s="22"/>
      <c r="F657" s="22"/>
      <c r="G657" s="23"/>
      <c r="H657" s="24"/>
      <c r="I657" s="24"/>
      <c r="J657" s="23"/>
      <c r="K657" s="23"/>
      <c r="L657" s="23"/>
      <c r="M657" s="23"/>
      <c r="N657" s="23"/>
      <c r="O657" s="23"/>
      <c r="P657" s="23"/>
      <c r="Q657" s="25"/>
      <c r="R657" s="23"/>
      <c r="S657" s="23"/>
      <c r="T657" s="23"/>
      <c r="U657" s="20" t="str">
        <f ca="1">IF(COUNTA(A657:T657)=0,"",IF(OR(A657="",B657="",C657="",E657="",G657="",H657="",J657="",K657="",L657="",M657=""),"Ошибка: заполните обязательные поля",IF(AND(LEFT(H657,7)&lt;&gt;"http://",LEFT(H657,8)&lt;&gt;"https://"),"Ошибка: некорректная ссылка",IF(COUNTIF($H$6:$H$1005,H657)&gt;1,"Ошибка: дубликат URL",IF(E657&gt;TODAY(),"Ошибка: дата публикации в будущем",IF(S657="Да","Ошибка: подтверждённый дубль",IF(S657="","Проверить: отметьте дубль",IF(S657="Нужно проверить","Проверить возможный дубль",IF(TODAY()-E657&gt;30,"Проверить: старше 30 дней",IF(COUNTIFS(#REF!,G657,#REF!,"Готово")=0,"Проверить источник","Готово"))))))))))</f>
        <v/>
      </c>
    </row>
    <row r="658" spans="1:21" ht="25.5" customHeight="1">
      <c r="A658" s="21"/>
      <c r="B658" s="22"/>
      <c r="C658" s="21"/>
      <c r="D658" s="23"/>
      <c r="E658" s="22"/>
      <c r="F658" s="22"/>
      <c r="G658" s="23"/>
      <c r="H658" s="24"/>
      <c r="I658" s="24"/>
      <c r="J658" s="23"/>
      <c r="K658" s="23"/>
      <c r="L658" s="23"/>
      <c r="M658" s="23"/>
      <c r="N658" s="23"/>
      <c r="O658" s="23"/>
      <c r="P658" s="23"/>
      <c r="Q658" s="25"/>
      <c r="R658" s="23"/>
      <c r="S658" s="23"/>
      <c r="T658" s="23"/>
      <c r="U658" s="20" t="str">
        <f ca="1">IF(COUNTA(A658:T658)=0,"",IF(OR(A658="",B658="",C658="",E658="",G658="",H658="",J658="",K658="",L658="",M658=""),"Ошибка: заполните обязательные поля",IF(AND(LEFT(H658,7)&lt;&gt;"http://",LEFT(H658,8)&lt;&gt;"https://"),"Ошибка: некорректная ссылка",IF(COUNTIF($H$6:$H$1005,H658)&gt;1,"Ошибка: дубликат URL",IF(E658&gt;TODAY(),"Ошибка: дата публикации в будущем",IF(S658="Да","Ошибка: подтверждённый дубль",IF(S658="","Проверить: отметьте дубль",IF(S658="Нужно проверить","Проверить возможный дубль",IF(TODAY()-E658&gt;30,"Проверить: старше 30 дней",IF(COUNTIFS(#REF!,G658,#REF!,"Готово")=0,"Проверить источник","Готово"))))))))))</f>
        <v/>
      </c>
    </row>
    <row r="659" spans="1:21" ht="25.5" customHeight="1">
      <c r="A659" s="21"/>
      <c r="B659" s="22"/>
      <c r="C659" s="21"/>
      <c r="D659" s="23"/>
      <c r="E659" s="22"/>
      <c r="F659" s="22"/>
      <c r="G659" s="23"/>
      <c r="H659" s="24"/>
      <c r="I659" s="24"/>
      <c r="J659" s="23"/>
      <c r="K659" s="23"/>
      <c r="L659" s="23"/>
      <c r="M659" s="23"/>
      <c r="N659" s="23"/>
      <c r="O659" s="23"/>
      <c r="P659" s="23"/>
      <c r="Q659" s="25"/>
      <c r="R659" s="23"/>
      <c r="S659" s="23"/>
      <c r="T659" s="23"/>
      <c r="U659" s="20" t="str">
        <f ca="1">IF(COUNTA(A659:T659)=0,"",IF(OR(A659="",B659="",C659="",E659="",G659="",H659="",J659="",K659="",L659="",M659=""),"Ошибка: заполните обязательные поля",IF(AND(LEFT(H659,7)&lt;&gt;"http://",LEFT(H659,8)&lt;&gt;"https://"),"Ошибка: некорректная ссылка",IF(COUNTIF($H$6:$H$1005,H659)&gt;1,"Ошибка: дубликат URL",IF(E659&gt;TODAY(),"Ошибка: дата публикации в будущем",IF(S659="Да","Ошибка: подтверждённый дубль",IF(S659="","Проверить: отметьте дубль",IF(S659="Нужно проверить","Проверить возможный дубль",IF(TODAY()-E659&gt;30,"Проверить: старше 30 дней",IF(COUNTIFS(#REF!,G659,#REF!,"Готово")=0,"Проверить источник","Готово"))))))))))</f>
        <v/>
      </c>
    </row>
    <row r="660" spans="1:21" ht="25.5" customHeight="1">
      <c r="A660" s="21"/>
      <c r="B660" s="22"/>
      <c r="C660" s="21"/>
      <c r="D660" s="23"/>
      <c r="E660" s="22"/>
      <c r="F660" s="22"/>
      <c r="G660" s="23"/>
      <c r="H660" s="24"/>
      <c r="I660" s="24"/>
      <c r="J660" s="23"/>
      <c r="K660" s="23"/>
      <c r="L660" s="23"/>
      <c r="M660" s="23"/>
      <c r="N660" s="23"/>
      <c r="O660" s="23"/>
      <c r="P660" s="23"/>
      <c r="Q660" s="25"/>
      <c r="R660" s="23"/>
      <c r="S660" s="23"/>
      <c r="T660" s="23"/>
      <c r="U660" s="20" t="str">
        <f ca="1">IF(COUNTA(A660:T660)=0,"",IF(OR(A660="",B660="",C660="",E660="",G660="",H660="",J660="",K660="",L660="",M660=""),"Ошибка: заполните обязательные поля",IF(AND(LEFT(H660,7)&lt;&gt;"http://",LEFT(H660,8)&lt;&gt;"https://"),"Ошибка: некорректная ссылка",IF(COUNTIF($H$6:$H$1005,H660)&gt;1,"Ошибка: дубликат URL",IF(E660&gt;TODAY(),"Ошибка: дата публикации в будущем",IF(S660="Да","Ошибка: подтверждённый дубль",IF(S660="","Проверить: отметьте дубль",IF(S660="Нужно проверить","Проверить возможный дубль",IF(TODAY()-E660&gt;30,"Проверить: старше 30 дней",IF(COUNTIFS(#REF!,G660,#REF!,"Готово")=0,"Проверить источник","Готово"))))))))))</f>
        <v/>
      </c>
    </row>
    <row r="661" spans="1:21" ht="25.5" customHeight="1">
      <c r="A661" s="21"/>
      <c r="B661" s="22"/>
      <c r="C661" s="21"/>
      <c r="D661" s="23"/>
      <c r="E661" s="22"/>
      <c r="F661" s="22"/>
      <c r="G661" s="23"/>
      <c r="H661" s="24"/>
      <c r="I661" s="24"/>
      <c r="J661" s="23"/>
      <c r="K661" s="23"/>
      <c r="L661" s="23"/>
      <c r="M661" s="23"/>
      <c r="N661" s="23"/>
      <c r="O661" s="23"/>
      <c r="P661" s="23"/>
      <c r="Q661" s="25"/>
      <c r="R661" s="23"/>
      <c r="S661" s="23"/>
      <c r="T661" s="23"/>
      <c r="U661" s="20" t="str">
        <f ca="1">IF(COUNTA(A661:T661)=0,"",IF(OR(A661="",B661="",C661="",E661="",G661="",H661="",J661="",K661="",L661="",M661=""),"Ошибка: заполните обязательные поля",IF(AND(LEFT(H661,7)&lt;&gt;"http://",LEFT(H661,8)&lt;&gt;"https://"),"Ошибка: некорректная ссылка",IF(COUNTIF($H$6:$H$1005,H661)&gt;1,"Ошибка: дубликат URL",IF(E661&gt;TODAY(),"Ошибка: дата публикации в будущем",IF(S661="Да","Ошибка: подтверждённый дубль",IF(S661="","Проверить: отметьте дубль",IF(S661="Нужно проверить","Проверить возможный дубль",IF(TODAY()-E661&gt;30,"Проверить: старше 30 дней",IF(COUNTIFS(#REF!,G661,#REF!,"Готово")=0,"Проверить источник","Готово"))))))))))</f>
        <v/>
      </c>
    </row>
    <row r="662" spans="1:21" ht="25.5" customHeight="1">
      <c r="A662" s="21"/>
      <c r="B662" s="22"/>
      <c r="C662" s="21"/>
      <c r="D662" s="23"/>
      <c r="E662" s="22"/>
      <c r="F662" s="22"/>
      <c r="G662" s="23"/>
      <c r="H662" s="24"/>
      <c r="I662" s="24"/>
      <c r="J662" s="23"/>
      <c r="K662" s="23"/>
      <c r="L662" s="23"/>
      <c r="M662" s="23"/>
      <c r="N662" s="23"/>
      <c r="O662" s="23"/>
      <c r="P662" s="23"/>
      <c r="Q662" s="25"/>
      <c r="R662" s="23"/>
      <c r="S662" s="23"/>
      <c r="T662" s="23"/>
      <c r="U662" s="20" t="str">
        <f ca="1">IF(COUNTA(A662:T662)=0,"",IF(OR(A662="",B662="",C662="",E662="",G662="",H662="",J662="",K662="",L662="",M662=""),"Ошибка: заполните обязательные поля",IF(AND(LEFT(H662,7)&lt;&gt;"http://",LEFT(H662,8)&lt;&gt;"https://"),"Ошибка: некорректная ссылка",IF(COUNTIF($H$6:$H$1005,H662)&gt;1,"Ошибка: дубликат URL",IF(E662&gt;TODAY(),"Ошибка: дата публикации в будущем",IF(S662="Да","Ошибка: подтверждённый дубль",IF(S662="","Проверить: отметьте дубль",IF(S662="Нужно проверить","Проверить возможный дубль",IF(TODAY()-E662&gt;30,"Проверить: старше 30 дней",IF(COUNTIFS(#REF!,G662,#REF!,"Готово")=0,"Проверить источник","Готово"))))))))))</f>
        <v/>
      </c>
    </row>
    <row r="663" spans="1:21" ht="25.5" customHeight="1">
      <c r="A663" s="21"/>
      <c r="B663" s="22"/>
      <c r="C663" s="21"/>
      <c r="D663" s="23"/>
      <c r="E663" s="22"/>
      <c r="F663" s="22"/>
      <c r="G663" s="23"/>
      <c r="H663" s="24"/>
      <c r="I663" s="24"/>
      <c r="J663" s="23"/>
      <c r="K663" s="23"/>
      <c r="L663" s="23"/>
      <c r="M663" s="23"/>
      <c r="N663" s="23"/>
      <c r="O663" s="23"/>
      <c r="P663" s="23"/>
      <c r="Q663" s="25"/>
      <c r="R663" s="23"/>
      <c r="S663" s="23"/>
      <c r="T663" s="23"/>
      <c r="U663" s="20" t="str">
        <f ca="1">IF(COUNTA(A663:T663)=0,"",IF(OR(A663="",B663="",C663="",E663="",G663="",H663="",J663="",K663="",L663="",M663=""),"Ошибка: заполните обязательные поля",IF(AND(LEFT(H663,7)&lt;&gt;"http://",LEFT(H663,8)&lt;&gt;"https://"),"Ошибка: некорректная ссылка",IF(COUNTIF($H$6:$H$1005,H663)&gt;1,"Ошибка: дубликат URL",IF(E663&gt;TODAY(),"Ошибка: дата публикации в будущем",IF(S663="Да","Ошибка: подтверждённый дубль",IF(S663="","Проверить: отметьте дубль",IF(S663="Нужно проверить","Проверить возможный дубль",IF(TODAY()-E663&gt;30,"Проверить: старше 30 дней",IF(COUNTIFS(#REF!,G663,#REF!,"Готово")=0,"Проверить источник","Готово"))))))))))</f>
        <v/>
      </c>
    </row>
    <row r="664" spans="1:21" ht="25.5" customHeight="1">
      <c r="A664" s="21"/>
      <c r="B664" s="22"/>
      <c r="C664" s="21"/>
      <c r="D664" s="23"/>
      <c r="E664" s="22"/>
      <c r="F664" s="22"/>
      <c r="G664" s="23"/>
      <c r="H664" s="24"/>
      <c r="I664" s="24"/>
      <c r="J664" s="23"/>
      <c r="K664" s="23"/>
      <c r="L664" s="23"/>
      <c r="M664" s="23"/>
      <c r="N664" s="23"/>
      <c r="O664" s="23"/>
      <c r="P664" s="23"/>
      <c r="Q664" s="25"/>
      <c r="R664" s="23"/>
      <c r="S664" s="23"/>
      <c r="T664" s="23"/>
      <c r="U664" s="20" t="str">
        <f ca="1">IF(COUNTA(A664:T664)=0,"",IF(OR(A664="",B664="",C664="",E664="",G664="",H664="",J664="",K664="",L664="",M664=""),"Ошибка: заполните обязательные поля",IF(AND(LEFT(H664,7)&lt;&gt;"http://",LEFT(H664,8)&lt;&gt;"https://"),"Ошибка: некорректная ссылка",IF(COUNTIF($H$6:$H$1005,H664)&gt;1,"Ошибка: дубликат URL",IF(E664&gt;TODAY(),"Ошибка: дата публикации в будущем",IF(S664="Да","Ошибка: подтверждённый дубль",IF(S664="","Проверить: отметьте дубль",IF(S664="Нужно проверить","Проверить возможный дубль",IF(TODAY()-E664&gt;30,"Проверить: старше 30 дней",IF(COUNTIFS(#REF!,G664,#REF!,"Готово")=0,"Проверить источник","Готово"))))))))))</f>
        <v/>
      </c>
    </row>
    <row r="665" spans="1:21" ht="25.5" customHeight="1">
      <c r="A665" s="21"/>
      <c r="B665" s="22"/>
      <c r="C665" s="21"/>
      <c r="D665" s="23"/>
      <c r="E665" s="22"/>
      <c r="F665" s="22"/>
      <c r="G665" s="23"/>
      <c r="H665" s="24"/>
      <c r="I665" s="24"/>
      <c r="J665" s="23"/>
      <c r="K665" s="23"/>
      <c r="L665" s="23"/>
      <c r="M665" s="23"/>
      <c r="N665" s="23"/>
      <c r="O665" s="23"/>
      <c r="P665" s="23"/>
      <c r="Q665" s="25"/>
      <c r="R665" s="23"/>
      <c r="S665" s="23"/>
      <c r="T665" s="23"/>
      <c r="U665" s="20" t="str">
        <f ca="1">IF(COUNTA(A665:T665)=0,"",IF(OR(A665="",B665="",C665="",E665="",G665="",H665="",J665="",K665="",L665="",M665=""),"Ошибка: заполните обязательные поля",IF(AND(LEFT(H665,7)&lt;&gt;"http://",LEFT(H665,8)&lt;&gt;"https://"),"Ошибка: некорректная ссылка",IF(COUNTIF($H$6:$H$1005,H665)&gt;1,"Ошибка: дубликат URL",IF(E665&gt;TODAY(),"Ошибка: дата публикации в будущем",IF(S665="Да","Ошибка: подтверждённый дубль",IF(S665="","Проверить: отметьте дубль",IF(S665="Нужно проверить","Проверить возможный дубль",IF(TODAY()-E665&gt;30,"Проверить: старше 30 дней",IF(COUNTIFS(#REF!,G665,#REF!,"Готово")=0,"Проверить источник","Готово"))))))))))</f>
        <v/>
      </c>
    </row>
    <row r="666" spans="1:21" ht="25.5" customHeight="1">
      <c r="A666" s="21"/>
      <c r="B666" s="22"/>
      <c r="C666" s="21"/>
      <c r="D666" s="23"/>
      <c r="E666" s="22"/>
      <c r="F666" s="22"/>
      <c r="G666" s="23"/>
      <c r="H666" s="24"/>
      <c r="I666" s="24"/>
      <c r="J666" s="23"/>
      <c r="K666" s="23"/>
      <c r="L666" s="23"/>
      <c r="M666" s="23"/>
      <c r="N666" s="23"/>
      <c r="O666" s="23"/>
      <c r="P666" s="23"/>
      <c r="Q666" s="25"/>
      <c r="R666" s="23"/>
      <c r="S666" s="23"/>
      <c r="T666" s="23"/>
      <c r="U666" s="20" t="str">
        <f ca="1">IF(COUNTA(A666:T666)=0,"",IF(OR(A666="",B666="",C666="",E666="",G666="",H666="",J666="",K666="",L666="",M666=""),"Ошибка: заполните обязательные поля",IF(AND(LEFT(H666,7)&lt;&gt;"http://",LEFT(H666,8)&lt;&gt;"https://"),"Ошибка: некорректная ссылка",IF(COUNTIF($H$6:$H$1005,H666)&gt;1,"Ошибка: дубликат URL",IF(E666&gt;TODAY(),"Ошибка: дата публикации в будущем",IF(S666="Да","Ошибка: подтверждённый дубль",IF(S666="","Проверить: отметьте дубль",IF(S666="Нужно проверить","Проверить возможный дубль",IF(TODAY()-E666&gt;30,"Проверить: старше 30 дней",IF(COUNTIFS(#REF!,G666,#REF!,"Готово")=0,"Проверить источник","Готово"))))))))))</f>
        <v/>
      </c>
    </row>
    <row r="667" spans="1:21" ht="25.5" customHeight="1">
      <c r="A667" s="21"/>
      <c r="B667" s="22"/>
      <c r="C667" s="21"/>
      <c r="D667" s="23"/>
      <c r="E667" s="22"/>
      <c r="F667" s="22"/>
      <c r="G667" s="23"/>
      <c r="H667" s="24"/>
      <c r="I667" s="24"/>
      <c r="J667" s="23"/>
      <c r="K667" s="23"/>
      <c r="L667" s="23"/>
      <c r="M667" s="23"/>
      <c r="N667" s="23"/>
      <c r="O667" s="23"/>
      <c r="P667" s="23"/>
      <c r="Q667" s="25"/>
      <c r="R667" s="23"/>
      <c r="S667" s="23"/>
      <c r="T667" s="23"/>
      <c r="U667" s="20" t="str">
        <f ca="1">IF(COUNTA(A667:T667)=0,"",IF(OR(A667="",B667="",C667="",E667="",G667="",H667="",J667="",K667="",L667="",M667=""),"Ошибка: заполните обязательные поля",IF(AND(LEFT(H667,7)&lt;&gt;"http://",LEFT(H667,8)&lt;&gt;"https://"),"Ошибка: некорректная ссылка",IF(COUNTIF($H$6:$H$1005,H667)&gt;1,"Ошибка: дубликат URL",IF(E667&gt;TODAY(),"Ошибка: дата публикации в будущем",IF(S667="Да","Ошибка: подтверждённый дубль",IF(S667="","Проверить: отметьте дубль",IF(S667="Нужно проверить","Проверить возможный дубль",IF(TODAY()-E667&gt;30,"Проверить: старше 30 дней",IF(COUNTIFS(#REF!,G667,#REF!,"Готово")=0,"Проверить источник","Готово"))))))))))</f>
        <v/>
      </c>
    </row>
    <row r="668" spans="1:21" ht="25.5" customHeight="1">
      <c r="A668" s="21"/>
      <c r="B668" s="22"/>
      <c r="C668" s="21"/>
      <c r="D668" s="23"/>
      <c r="E668" s="22"/>
      <c r="F668" s="22"/>
      <c r="G668" s="23"/>
      <c r="H668" s="24"/>
      <c r="I668" s="24"/>
      <c r="J668" s="23"/>
      <c r="K668" s="23"/>
      <c r="L668" s="23"/>
      <c r="M668" s="23"/>
      <c r="N668" s="23"/>
      <c r="O668" s="23"/>
      <c r="P668" s="23"/>
      <c r="Q668" s="25"/>
      <c r="R668" s="23"/>
      <c r="S668" s="23"/>
      <c r="T668" s="23"/>
      <c r="U668" s="20" t="str">
        <f ca="1">IF(COUNTA(A668:T668)=0,"",IF(OR(A668="",B668="",C668="",E668="",G668="",H668="",J668="",K668="",L668="",M668=""),"Ошибка: заполните обязательные поля",IF(AND(LEFT(H668,7)&lt;&gt;"http://",LEFT(H668,8)&lt;&gt;"https://"),"Ошибка: некорректная ссылка",IF(COUNTIF($H$6:$H$1005,H668)&gt;1,"Ошибка: дубликат URL",IF(E668&gt;TODAY(),"Ошибка: дата публикации в будущем",IF(S668="Да","Ошибка: подтверждённый дубль",IF(S668="","Проверить: отметьте дубль",IF(S668="Нужно проверить","Проверить возможный дубль",IF(TODAY()-E668&gt;30,"Проверить: старше 30 дней",IF(COUNTIFS(#REF!,G668,#REF!,"Готово")=0,"Проверить источник","Готово"))))))))))</f>
        <v/>
      </c>
    </row>
    <row r="669" spans="1:21" ht="25.5" customHeight="1">
      <c r="A669" s="21"/>
      <c r="B669" s="22"/>
      <c r="C669" s="21"/>
      <c r="D669" s="23"/>
      <c r="E669" s="22"/>
      <c r="F669" s="22"/>
      <c r="G669" s="23"/>
      <c r="H669" s="24"/>
      <c r="I669" s="24"/>
      <c r="J669" s="23"/>
      <c r="K669" s="23"/>
      <c r="L669" s="23"/>
      <c r="M669" s="23"/>
      <c r="N669" s="23"/>
      <c r="O669" s="23"/>
      <c r="P669" s="23"/>
      <c r="Q669" s="25"/>
      <c r="R669" s="23"/>
      <c r="S669" s="23"/>
      <c r="T669" s="23"/>
      <c r="U669" s="20" t="str">
        <f ca="1">IF(COUNTA(A669:T669)=0,"",IF(OR(A669="",B669="",C669="",E669="",G669="",H669="",J669="",K669="",L669="",M669=""),"Ошибка: заполните обязательные поля",IF(AND(LEFT(H669,7)&lt;&gt;"http://",LEFT(H669,8)&lt;&gt;"https://"),"Ошибка: некорректная ссылка",IF(COUNTIF($H$6:$H$1005,H669)&gt;1,"Ошибка: дубликат URL",IF(E669&gt;TODAY(),"Ошибка: дата публикации в будущем",IF(S669="Да","Ошибка: подтверждённый дубль",IF(S669="","Проверить: отметьте дубль",IF(S669="Нужно проверить","Проверить возможный дубль",IF(TODAY()-E669&gt;30,"Проверить: старше 30 дней",IF(COUNTIFS(#REF!,G669,#REF!,"Готово")=0,"Проверить источник","Готово"))))))))))</f>
        <v/>
      </c>
    </row>
    <row r="670" spans="1:21" ht="25.5" customHeight="1">
      <c r="A670" s="21"/>
      <c r="B670" s="22"/>
      <c r="C670" s="21"/>
      <c r="D670" s="23"/>
      <c r="E670" s="22"/>
      <c r="F670" s="22"/>
      <c r="G670" s="23"/>
      <c r="H670" s="24"/>
      <c r="I670" s="24"/>
      <c r="J670" s="23"/>
      <c r="K670" s="23"/>
      <c r="L670" s="23"/>
      <c r="M670" s="23"/>
      <c r="N670" s="23"/>
      <c r="O670" s="23"/>
      <c r="P670" s="23"/>
      <c r="Q670" s="25"/>
      <c r="R670" s="23"/>
      <c r="S670" s="23"/>
      <c r="T670" s="23"/>
      <c r="U670" s="20" t="str">
        <f ca="1">IF(COUNTA(A670:T670)=0,"",IF(OR(A670="",B670="",C670="",E670="",G670="",H670="",J670="",K670="",L670="",M670=""),"Ошибка: заполните обязательные поля",IF(AND(LEFT(H670,7)&lt;&gt;"http://",LEFT(H670,8)&lt;&gt;"https://"),"Ошибка: некорректная ссылка",IF(COUNTIF($H$6:$H$1005,H670)&gt;1,"Ошибка: дубликат URL",IF(E670&gt;TODAY(),"Ошибка: дата публикации в будущем",IF(S670="Да","Ошибка: подтверждённый дубль",IF(S670="","Проверить: отметьте дубль",IF(S670="Нужно проверить","Проверить возможный дубль",IF(TODAY()-E670&gt;30,"Проверить: старше 30 дней",IF(COUNTIFS(#REF!,G670,#REF!,"Готово")=0,"Проверить источник","Готово"))))))))))</f>
        <v/>
      </c>
    </row>
    <row r="671" spans="1:21" ht="25.5" customHeight="1">
      <c r="A671" s="21"/>
      <c r="B671" s="22"/>
      <c r="C671" s="21"/>
      <c r="D671" s="23"/>
      <c r="E671" s="22"/>
      <c r="F671" s="22"/>
      <c r="G671" s="23"/>
      <c r="H671" s="24"/>
      <c r="I671" s="24"/>
      <c r="J671" s="23"/>
      <c r="K671" s="23"/>
      <c r="L671" s="23"/>
      <c r="M671" s="23"/>
      <c r="N671" s="23"/>
      <c r="O671" s="23"/>
      <c r="P671" s="23"/>
      <c r="Q671" s="25"/>
      <c r="R671" s="23"/>
      <c r="S671" s="23"/>
      <c r="T671" s="23"/>
      <c r="U671" s="20" t="str">
        <f ca="1">IF(COUNTA(A671:T671)=0,"",IF(OR(A671="",B671="",C671="",E671="",G671="",H671="",J671="",K671="",L671="",M671=""),"Ошибка: заполните обязательные поля",IF(AND(LEFT(H671,7)&lt;&gt;"http://",LEFT(H671,8)&lt;&gt;"https://"),"Ошибка: некорректная ссылка",IF(COUNTIF($H$6:$H$1005,H671)&gt;1,"Ошибка: дубликат URL",IF(E671&gt;TODAY(),"Ошибка: дата публикации в будущем",IF(S671="Да","Ошибка: подтверждённый дубль",IF(S671="","Проверить: отметьте дубль",IF(S671="Нужно проверить","Проверить возможный дубль",IF(TODAY()-E671&gt;30,"Проверить: старше 30 дней",IF(COUNTIFS(#REF!,G671,#REF!,"Готово")=0,"Проверить источник","Готово"))))))))))</f>
        <v/>
      </c>
    </row>
    <row r="672" spans="1:21" ht="25.5" customHeight="1">
      <c r="A672" s="21"/>
      <c r="B672" s="22"/>
      <c r="C672" s="21"/>
      <c r="D672" s="23"/>
      <c r="E672" s="22"/>
      <c r="F672" s="22"/>
      <c r="G672" s="23"/>
      <c r="H672" s="24"/>
      <c r="I672" s="24"/>
      <c r="J672" s="23"/>
      <c r="K672" s="23"/>
      <c r="L672" s="23"/>
      <c r="M672" s="23"/>
      <c r="N672" s="23"/>
      <c r="O672" s="23"/>
      <c r="P672" s="23"/>
      <c r="Q672" s="25"/>
      <c r="R672" s="23"/>
      <c r="S672" s="23"/>
      <c r="T672" s="23"/>
      <c r="U672" s="20" t="str">
        <f ca="1">IF(COUNTA(A672:T672)=0,"",IF(OR(A672="",B672="",C672="",E672="",G672="",H672="",J672="",K672="",L672="",M672=""),"Ошибка: заполните обязательные поля",IF(AND(LEFT(H672,7)&lt;&gt;"http://",LEFT(H672,8)&lt;&gt;"https://"),"Ошибка: некорректная ссылка",IF(COUNTIF($H$6:$H$1005,H672)&gt;1,"Ошибка: дубликат URL",IF(E672&gt;TODAY(),"Ошибка: дата публикации в будущем",IF(S672="Да","Ошибка: подтверждённый дубль",IF(S672="","Проверить: отметьте дубль",IF(S672="Нужно проверить","Проверить возможный дубль",IF(TODAY()-E672&gt;30,"Проверить: старше 30 дней",IF(COUNTIFS(#REF!,G672,#REF!,"Готово")=0,"Проверить источник","Готово"))))))))))</f>
        <v/>
      </c>
    </row>
    <row r="673" spans="1:21" ht="25.5" customHeight="1">
      <c r="A673" s="21"/>
      <c r="B673" s="22"/>
      <c r="C673" s="21"/>
      <c r="D673" s="23"/>
      <c r="E673" s="22"/>
      <c r="F673" s="22"/>
      <c r="G673" s="23"/>
      <c r="H673" s="24"/>
      <c r="I673" s="24"/>
      <c r="J673" s="23"/>
      <c r="K673" s="23"/>
      <c r="L673" s="23"/>
      <c r="M673" s="23"/>
      <c r="N673" s="23"/>
      <c r="O673" s="23"/>
      <c r="P673" s="23"/>
      <c r="Q673" s="25"/>
      <c r="R673" s="23"/>
      <c r="S673" s="23"/>
      <c r="T673" s="23"/>
      <c r="U673" s="20" t="str">
        <f ca="1">IF(COUNTA(A673:T673)=0,"",IF(OR(A673="",B673="",C673="",E673="",G673="",H673="",J673="",K673="",L673="",M673=""),"Ошибка: заполните обязательные поля",IF(AND(LEFT(H673,7)&lt;&gt;"http://",LEFT(H673,8)&lt;&gt;"https://"),"Ошибка: некорректная ссылка",IF(COUNTIF($H$6:$H$1005,H673)&gt;1,"Ошибка: дубликат URL",IF(E673&gt;TODAY(),"Ошибка: дата публикации в будущем",IF(S673="Да","Ошибка: подтверждённый дубль",IF(S673="","Проверить: отметьте дубль",IF(S673="Нужно проверить","Проверить возможный дубль",IF(TODAY()-E673&gt;30,"Проверить: старше 30 дней",IF(COUNTIFS(#REF!,G673,#REF!,"Готово")=0,"Проверить источник","Готово"))))))))))</f>
        <v/>
      </c>
    </row>
    <row r="674" spans="1:21" ht="25.5" customHeight="1">
      <c r="A674" s="21"/>
      <c r="B674" s="22"/>
      <c r="C674" s="21"/>
      <c r="D674" s="23"/>
      <c r="E674" s="22"/>
      <c r="F674" s="22"/>
      <c r="G674" s="23"/>
      <c r="H674" s="24"/>
      <c r="I674" s="24"/>
      <c r="J674" s="23"/>
      <c r="K674" s="23"/>
      <c r="L674" s="23"/>
      <c r="M674" s="23"/>
      <c r="N674" s="23"/>
      <c r="O674" s="23"/>
      <c r="P674" s="23"/>
      <c r="Q674" s="25"/>
      <c r="R674" s="23"/>
      <c r="S674" s="23"/>
      <c r="T674" s="23"/>
      <c r="U674" s="20" t="str">
        <f ca="1">IF(COUNTA(A674:T674)=0,"",IF(OR(A674="",B674="",C674="",E674="",G674="",H674="",J674="",K674="",L674="",M674=""),"Ошибка: заполните обязательные поля",IF(AND(LEFT(H674,7)&lt;&gt;"http://",LEFT(H674,8)&lt;&gt;"https://"),"Ошибка: некорректная ссылка",IF(COUNTIF($H$6:$H$1005,H674)&gt;1,"Ошибка: дубликат URL",IF(E674&gt;TODAY(),"Ошибка: дата публикации в будущем",IF(S674="Да","Ошибка: подтверждённый дубль",IF(S674="","Проверить: отметьте дубль",IF(S674="Нужно проверить","Проверить возможный дубль",IF(TODAY()-E674&gt;30,"Проверить: старше 30 дней",IF(COUNTIFS(#REF!,G674,#REF!,"Готово")=0,"Проверить источник","Готово"))))))))))</f>
        <v/>
      </c>
    </row>
    <row r="675" spans="1:21" ht="25.5" customHeight="1">
      <c r="A675" s="21"/>
      <c r="B675" s="22"/>
      <c r="C675" s="21"/>
      <c r="D675" s="23"/>
      <c r="E675" s="22"/>
      <c r="F675" s="22"/>
      <c r="G675" s="23"/>
      <c r="H675" s="24"/>
      <c r="I675" s="24"/>
      <c r="J675" s="23"/>
      <c r="K675" s="23"/>
      <c r="L675" s="23"/>
      <c r="M675" s="23"/>
      <c r="N675" s="23"/>
      <c r="O675" s="23"/>
      <c r="P675" s="23"/>
      <c r="Q675" s="25"/>
      <c r="R675" s="23"/>
      <c r="S675" s="23"/>
      <c r="T675" s="23"/>
      <c r="U675" s="20" t="str">
        <f ca="1">IF(COUNTA(A675:T675)=0,"",IF(OR(A675="",B675="",C675="",E675="",G675="",H675="",J675="",K675="",L675="",M675=""),"Ошибка: заполните обязательные поля",IF(AND(LEFT(H675,7)&lt;&gt;"http://",LEFT(H675,8)&lt;&gt;"https://"),"Ошибка: некорректная ссылка",IF(COUNTIF($H$6:$H$1005,H675)&gt;1,"Ошибка: дубликат URL",IF(E675&gt;TODAY(),"Ошибка: дата публикации в будущем",IF(S675="Да","Ошибка: подтверждённый дубль",IF(S675="","Проверить: отметьте дубль",IF(S675="Нужно проверить","Проверить возможный дубль",IF(TODAY()-E675&gt;30,"Проверить: старше 30 дней",IF(COUNTIFS(#REF!,G675,#REF!,"Готово")=0,"Проверить источник","Готово"))))))))))</f>
        <v/>
      </c>
    </row>
    <row r="676" spans="1:21" ht="25.5" customHeight="1">
      <c r="A676" s="21"/>
      <c r="B676" s="22"/>
      <c r="C676" s="21"/>
      <c r="D676" s="23"/>
      <c r="E676" s="22"/>
      <c r="F676" s="22"/>
      <c r="G676" s="23"/>
      <c r="H676" s="24"/>
      <c r="I676" s="24"/>
      <c r="J676" s="23"/>
      <c r="K676" s="23"/>
      <c r="L676" s="23"/>
      <c r="M676" s="23"/>
      <c r="N676" s="23"/>
      <c r="O676" s="23"/>
      <c r="P676" s="23"/>
      <c r="Q676" s="25"/>
      <c r="R676" s="23"/>
      <c r="S676" s="23"/>
      <c r="T676" s="23"/>
      <c r="U676" s="20" t="str">
        <f ca="1">IF(COUNTA(A676:T676)=0,"",IF(OR(A676="",B676="",C676="",E676="",G676="",H676="",J676="",K676="",L676="",M676=""),"Ошибка: заполните обязательные поля",IF(AND(LEFT(H676,7)&lt;&gt;"http://",LEFT(H676,8)&lt;&gt;"https://"),"Ошибка: некорректная ссылка",IF(COUNTIF($H$6:$H$1005,H676)&gt;1,"Ошибка: дубликат URL",IF(E676&gt;TODAY(),"Ошибка: дата публикации в будущем",IF(S676="Да","Ошибка: подтверждённый дубль",IF(S676="","Проверить: отметьте дубль",IF(S676="Нужно проверить","Проверить возможный дубль",IF(TODAY()-E676&gt;30,"Проверить: старше 30 дней",IF(COUNTIFS(#REF!,G676,#REF!,"Готово")=0,"Проверить источник","Готово"))))))))))</f>
        <v/>
      </c>
    </row>
    <row r="677" spans="1:21" ht="25.5" customHeight="1">
      <c r="A677" s="21"/>
      <c r="B677" s="22"/>
      <c r="C677" s="21"/>
      <c r="D677" s="23"/>
      <c r="E677" s="22"/>
      <c r="F677" s="22"/>
      <c r="G677" s="23"/>
      <c r="H677" s="24"/>
      <c r="I677" s="24"/>
      <c r="J677" s="23"/>
      <c r="K677" s="23"/>
      <c r="L677" s="23"/>
      <c r="M677" s="23"/>
      <c r="N677" s="23"/>
      <c r="O677" s="23"/>
      <c r="P677" s="23"/>
      <c r="Q677" s="25"/>
      <c r="R677" s="23"/>
      <c r="S677" s="23"/>
      <c r="T677" s="23"/>
      <c r="U677" s="20" t="str">
        <f ca="1">IF(COUNTA(A677:T677)=0,"",IF(OR(A677="",B677="",C677="",E677="",G677="",H677="",J677="",K677="",L677="",M677=""),"Ошибка: заполните обязательные поля",IF(AND(LEFT(H677,7)&lt;&gt;"http://",LEFT(H677,8)&lt;&gt;"https://"),"Ошибка: некорректная ссылка",IF(COUNTIF($H$6:$H$1005,H677)&gt;1,"Ошибка: дубликат URL",IF(E677&gt;TODAY(),"Ошибка: дата публикации в будущем",IF(S677="Да","Ошибка: подтверждённый дубль",IF(S677="","Проверить: отметьте дубль",IF(S677="Нужно проверить","Проверить возможный дубль",IF(TODAY()-E677&gt;30,"Проверить: старше 30 дней",IF(COUNTIFS(#REF!,G677,#REF!,"Готово")=0,"Проверить источник","Готово"))))))))))</f>
        <v/>
      </c>
    </row>
    <row r="678" spans="1:21" ht="25.5" customHeight="1">
      <c r="A678" s="21"/>
      <c r="B678" s="22"/>
      <c r="C678" s="21"/>
      <c r="D678" s="23"/>
      <c r="E678" s="22"/>
      <c r="F678" s="22"/>
      <c r="G678" s="23"/>
      <c r="H678" s="24"/>
      <c r="I678" s="24"/>
      <c r="J678" s="23"/>
      <c r="K678" s="23"/>
      <c r="L678" s="23"/>
      <c r="M678" s="23"/>
      <c r="N678" s="23"/>
      <c r="O678" s="23"/>
      <c r="P678" s="23"/>
      <c r="Q678" s="25"/>
      <c r="R678" s="23"/>
      <c r="S678" s="23"/>
      <c r="T678" s="23"/>
      <c r="U678" s="20" t="str">
        <f ca="1">IF(COUNTA(A678:T678)=0,"",IF(OR(A678="",B678="",C678="",E678="",G678="",H678="",J678="",K678="",L678="",M678=""),"Ошибка: заполните обязательные поля",IF(AND(LEFT(H678,7)&lt;&gt;"http://",LEFT(H678,8)&lt;&gt;"https://"),"Ошибка: некорректная ссылка",IF(COUNTIF($H$6:$H$1005,H678)&gt;1,"Ошибка: дубликат URL",IF(E678&gt;TODAY(),"Ошибка: дата публикации в будущем",IF(S678="Да","Ошибка: подтверждённый дубль",IF(S678="","Проверить: отметьте дубль",IF(S678="Нужно проверить","Проверить возможный дубль",IF(TODAY()-E678&gt;30,"Проверить: старше 30 дней",IF(COUNTIFS(#REF!,G678,#REF!,"Готово")=0,"Проверить источник","Готово"))))))))))</f>
        <v/>
      </c>
    </row>
    <row r="679" spans="1:21" ht="25.5" customHeight="1">
      <c r="A679" s="21"/>
      <c r="B679" s="22"/>
      <c r="C679" s="21"/>
      <c r="D679" s="23"/>
      <c r="E679" s="22"/>
      <c r="F679" s="22"/>
      <c r="G679" s="23"/>
      <c r="H679" s="24"/>
      <c r="I679" s="24"/>
      <c r="J679" s="23"/>
      <c r="K679" s="23"/>
      <c r="L679" s="23"/>
      <c r="M679" s="23"/>
      <c r="N679" s="23"/>
      <c r="O679" s="23"/>
      <c r="P679" s="23"/>
      <c r="Q679" s="25"/>
      <c r="R679" s="23"/>
      <c r="S679" s="23"/>
      <c r="T679" s="23"/>
      <c r="U679" s="20" t="str">
        <f ca="1">IF(COUNTA(A679:T679)=0,"",IF(OR(A679="",B679="",C679="",E679="",G679="",H679="",J679="",K679="",L679="",M679=""),"Ошибка: заполните обязательные поля",IF(AND(LEFT(H679,7)&lt;&gt;"http://",LEFT(H679,8)&lt;&gt;"https://"),"Ошибка: некорректная ссылка",IF(COUNTIF($H$6:$H$1005,H679)&gt;1,"Ошибка: дубликат URL",IF(E679&gt;TODAY(),"Ошибка: дата публикации в будущем",IF(S679="Да","Ошибка: подтверждённый дубль",IF(S679="","Проверить: отметьте дубль",IF(S679="Нужно проверить","Проверить возможный дубль",IF(TODAY()-E679&gt;30,"Проверить: старше 30 дней",IF(COUNTIFS(#REF!,G679,#REF!,"Готово")=0,"Проверить источник","Готово"))))))))))</f>
        <v/>
      </c>
    </row>
    <row r="680" spans="1:21" ht="25.5" customHeight="1">
      <c r="A680" s="21"/>
      <c r="B680" s="22"/>
      <c r="C680" s="21"/>
      <c r="D680" s="23"/>
      <c r="E680" s="22"/>
      <c r="F680" s="22"/>
      <c r="G680" s="23"/>
      <c r="H680" s="24"/>
      <c r="I680" s="24"/>
      <c r="J680" s="23"/>
      <c r="K680" s="23"/>
      <c r="L680" s="23"/>
      <c r="M680" s="23"/>
      <c r="N680" s="23"/>
      <c r="O680" s="23"/>
      <c r="P680" s="23"/>
      <c r="Q680" s="25"/>
      <c r="R680" s="23"/>
      <c r="S680" s="23"/>
      <c r="T680" s="23"/>
      <c r="U680" s="20" t="str">
        <f ca="1">IF(COUNTA(A680:T680)=0,"",IF(OR(A680="",B680="",C680="",E680="",G680="",H680="",J680="",K680="",L680="",M680=""),"Ошибка: заполните обязательные поля",IF(AND(LEFT(H680,7)&lt;&gt;"http://",LEFT(H680,8)&lt;&gt;"https://"),"Ошибка: некорректная ссылка",IF(COUNTIF($H$6:$H$1005,H680)&gt;1,"Ошибка: дубликат URL",IF(E680&gt;TODAY(),"Ошибка: дата публикации в будущем",IF(S680="Да","Ошибка: подтверждённый дубль",IF(S680="","Проверить: отметьте дубль",IF(S680="Нужно проверить","Проверить возможный дубль",IF(TODAY()-E680&gt;30,"Проверить: старше 30 дней",IF(COUNTIFS(#REF!,G680,#REF!,"Готово")=0,"Проверить источник","Готово"))))))))))</f>
        <v/>
      </c>
    </row>
    <row r="681" spans="1:21" ht="25.5" customHeight="1">
      <c r="A681" s="21"/>
      <c r="B681" s="22"/>
      <c r="C681" s="21"/>
      <c r="D681" s="23"/>
      <c r="E681" s="22"/>
      <c r="F681" s="22"/>
      <c r="G681" s="23"/>
      <c r="H681" s="24"/>
      <c r="I681" s="24"/>
      <c r="J681" s="23"/>
      <c r="K681" s="23"/>
      <c r="L681" s="23"/>
      <c r="M681" s="23"/>
      <c r="N681" s="23"/>
      <c r="O681" s="23"/>
      <c r="P681" s="23"/>
      <c r="Q681" s="25"/>
      <c r="R681" s="23"/>
      <c r="S681" s="23"/>
      <c r="T681" s="23"/>
      <c r="U681" s="20" t="str">
        <f ca="1">IF(COUNTA(A681:T681)=0,"",IF(OR(A681="",B681="",C681="",E681="",G681="",H681="",J681="",K681="",L681="",M681=""),"Ошибка: заполните обязательные поля",IF(AND(LEFT(H681,7)&lt;&gt;"http://",LEFT(H681,8)&lt;&gt;"https://"),"Ошибка: некорректная ссылка",IF(COUNTIF($H$6:$H$1005,H681)&gt;1,"Ошибка: дубликат URL",IF(E681&gt;TODAY(),"Ошибка: дата публикации в будущем",IF(S681="Да","Ошибка: подтверждённый дубль",IF(S681="","Проверить: отметьте дубль",IF(S681="Нужно проверить","Проверить возможный дубль",IF(TODAY()-E681&gt;30,"Проверить: старше 30 дней",IF(COUNTIFS(#REF!,G681,#REF!,"Готово")=0,"Проверить источник","Готово"))))))))))</f>
        <v/>
      </c>
    </row>
    <row r="682" spans="1:21" ht="25.5" customHeight="1">
      <c r="A682" s="21"/>
      <c r="B682" s="22"/>
      <c r="C682" s="21"/>
      <c r="D682" s="23"/>
      <c r="E682" s="22"/>
      <c r="F682" s="22"/>
      <c r="G682" s="23"/>
      <c r="H682" s="24"/>
      <c r="I682" s="24"/>
      <c r="J682" s="23"/>
      <c r="K682" s="23"/>
      <c r="L682" s="23"/>
      <c r="M682" s="23"/>
      <c r="N682" s="23"/>
      <c r="O682" s="23"/>
      <c r="P682" s="23"/>
      <c r="Q682" s="25"/>
      <c r="R682" s="23"/>
      <c r="S682" s="23"/>
      <c r="T682" s="23"/>
      <c r="U682" s="20" t="str">
        <f ca="1">IF(COUNTA(A682:T682)=0,"",IF(OR(A682="",B682="",C682="",E682="",G682="",H682="",J682="",K682="",L682="",M682=""),"Ошибка: заполните обязательные поля",IF(AND(LEFT(H682,7)&lt;&gt;"http://",LEFT(H682,8)&lt;&gt;"https://"),"Ошибка: некорректная ссылка",IF(COUNTIF($H$6:$H$1005,H682)&gt;1,"Ошибка: дубликат URL",IF(E682&gt;TODAY(),"Ошибка: дата публикации в будущем",IF(S682="Да","Ошибка: подтверждённый дубль",IF(S682="","Проверить: отметьте дубль",IF(S682="Нужно проверить","Проверить возможный дубль",IF(TODAY()-E682&gt;30,"Проверить: старше 30 дней",IF(COUNTIFS(#REF!,G682,#REF!,"Готово")=0,"Проверить источник","Готово"))))))))))</f>
        <v/>
      </c>
    </row>
    <row r="683" spans="1:21" ht="25.5" customHeight="1">
      <c r="A683" s="21"/>
      <c r="B683" s="22"/>
      <c r="C683" s="21"/>
      <c r="D683" s="23"/>
      <c r="E683" s="22"/>
      <c r="F683" s="22"/>
      <c r="G683" s="23"/>
      <c r="H683" s="24"/>
      <c r="I683" s="24"/>
      <c r="J683" s="23"/>
      <c r="K683" s="23"/>
      <c r="L683" s="23"/>
      <c r="M683" s="23"/>
      <c r="N683" s="23"/>
      <c r="O683" s="23"/>
      <c r="P683" s="23"/>
      <c r="Q683" s="25"/>
      <c r="R683" s="23"/>
      <c r="S683" s="23"/>
      <c r="T683" s="23"/>
      <c r="U683" s="20" t="str">
        <f ca="1">IF(COUNTA(A683:T683)=0,"",IF(OR(A683="",B683="",C683="",E683="",G683="",H683="",J683="",K683="",L683="",M683=""),"Ошибка: заполните обязательные поля",IF(AND(LEFT(H683,7)&lt;&gt;"http://",LEFT(H683,8)&lt;&gt;"https://"),"Ошибка: некорректная ссылка",IF(COUNTIF($H$6:$H$1005,H683)&gt;1,"Ошибка: дубликат URL",IF(E683&gt;TODAY(),"Ошибка: дата публикации в будущем",IF(S683="Да","Ошибка: подтверждённый дубль",IF(S683="","Проверить: отметьте дубль",IF(S683="Нужно проверить","Проверить возможный дубль",IF(TODAY()-E683&gt;30,"Проверить: старше 30 дней",IF(COUNTIFS(#REF!,G683,#REF!,"Готово")=0,"Проверить источник","Готово"))))))))))</f>
        <v/>
      </c>
    </row>
    <row r="684" spans="1:21" ht="25.5" customHeight="1">
      <c r="A684" s="21"/>
      <c r="B684" s="22"/>
      <c r="C684" s="21"/>
      <c r="D684" s="23"/>
      <c r="E684" s="22"/>
      <c r="F684" s="22"/>
      <c r="G684" s="23"/>
      <c r="H684" s="24"/>
      <c r="I684" s="24"/>
      <c r="J684" s="23"/>
      <c r="K684" s="23"/>
      <c r="L684" s="23"/>
      <c r="M684" s="23"/>
      <c r="N684" s="23"/>
      <c r="O684" s="23"/>
      <c r="P684" s="23"/>
      <c r="Q684" s="25"/>
      <c r="R684" s="23"/>
      <c r="S684" s="23"/>
      <c r="T684" s="23"/>
      <c r="U684" s="20" t="str">
        <f ca="1">IF(COUNTA(A684:T684)=0,"",IF(OR(A684="",B684="",C684="",E684="",G684="",H684="",J684="",K684="",L684="",M684=""),"Ошибка: заполните обязательные поля",IF(AND(LEFT(H684,7)&lt;&gt;"http://",LEFT(H684,8)&lt;&gt;"https://"),"Ошибка: некорректная ссылка",IF(COUNTIF($H$6:$H$1005,H684)&gt;1,"Ошибка: дубликат URL",IF(E684&gt;TODAY(),"Ошибка: дата публикации в будущем",IF(S684="Да","Ошибка: подтверждённый дубль",IF(S684="","Проверить: отметьте дубль",IF(S684="Нужно проверить","Проверить возможный дубль",IF(TODAY()-E684&gt;30,"Проверить: старше 30 дней",IF(COUNTIFS(#REF!,G684,#REF!,"Готово")=0,"Проверить источник","Готово"))))))))))</f>
        <v/>
      </c>
    </row>
    <row r="685" spans="1:21" ht="25.5" customHeight="1">
      <c r="A685" s="21"/>
      <c r="B685" s="22"/>
      <c r="C685" s="21"/>
      <c r="D685" s="23"/>
      <c r="E685" s="22"/>
      <c r="F685" s="22"/>
      <c r="G685" s="23"/>
      <c r="H685" s="24"/>
      <c r="I685" s="24"/>
      <c r="J685" s="23"/>
      <c r="K685" s="23"/>
      <c r="L685" s="23"/>
      <c r="M685" s="23"/>
      <c r="N685" s="23"/>
      <c r="O685" s="23"/>
      <c r="P685" s="23"/>
      <c r="Q685" s="25"/>
      <c r="R685" s="23"/>
      <c r="S685" s="23"/>
      <c r="T685" s="23"/>
      <c r="U685" s="20" t="str">
        <f ca="1">IF(COUNTA(A685:T685)=0,"",IF(OR(A685="",B685="",C685="",E685="",G685="",H685="",J685="",K685="",L685="",M685=""),"Ошибка: заполните обязательные поля",IF(AND(LEFT(H685,7)&lt;&gt;"http://",LEFT(H685,8)&lt;&gt;"https://"),"Ошибка: некорректная ссылка",IF(COUNTIF($H$6:$H$1005,H685)&gt;1,"Ошибка: дубликат URL",IF(E685&gt;TODAY(),"Ошибка: дата публикации в будущем",IF(S685="Да","Ошибка: подтверждённый дубль",IF(S685="","Проверить: отметьте дубль",IF(S685="Нужно проверить","Проверить возможный дубль",IF(TODAY()-E685&gt;30,"Проверить: старше 30 дней",IF(COUNTIFS(#REF!,G685,#REF!,"Готово")=0,"Проверить источник","Готово"))))))))))</f>
        <v/>
      </c>
    </row>
    <row r="686" spans="1:21" ht="25.5" customHeight="1">
      <c r="A686" s="21"/>
      <c r="B686" s="22"/>
      <c r="C686" s="21"/>
      <c r="D686" s="23"/>
      <c r="E686" s="22"/>
      <c r="F686" s="22"/>
      <c r="G686" s="23"/>
      <c r="H686" s="24"/>
      <c r="I686" s="24"/>
      <c r="J686" s="23"/>
      <c r="K686" s="23"/>
      <c r="L686" s="23"/>
      <c r="M686" s="23"/>
      <c r="N686" s="23"/>
      <c r="O686" s="23"/>
      <c r="P686" s="23"/>
      <c r="Q686" s="25"/>
      <c r="R686" s="23"/>
      <c r="S686" s="23"/>
      <c r="T686" s="23"/>
      <c r="U686" s="20" t="str">
        <f ca="1">IF(COUNTA(A686:T686)=0,"",IF(OR(A686="",B686="",C686="",E686="",G686="",H686="",J686="",K686="",L686="",M686=""),"Ошибка: заполните обязательные поля",IF(AND(LEFT(H686,7)&lt;&gt;"http://",LEFT(H686,8)&lt;&gt;"https://"),"Ошибка: некорректная ссылка",IF(COUNTIF($H$6:$H$1005,H686)&gt;1,"Ошибка: дубликат URL",IF(E686&gt;TODAY(),"Ошибка: дата публикации в будущем",IF(S686="Да","Ошибка: подтверждённый дубль",IF(S686="","Проверить: отметьте дубль",IF(S686="Нужно проверить","Проверить возможный дубль",IF(TODAY()-E686&gt;30,"Проверить: старше 30 дней",IF(COUNTIFS(#REF!,G686,#REF!,"Готово")=0,"Проверить источник","Готово"))))))))))</f>
        <v/>
      </c>
    </row>
    <row r="687" spans="1:21" ht="25.5" customHeight="1">
      <c r="A687" s="21"/>
      <c r="B687" s="22"/>
      <c r="C687" s="21"/>
      <c r="D687" s="23"/>
      <c r="E687" s="22"/>
      <c r="F687" s="22"/>
      <c r="G687" s="23"/>
      <c r="H687" s="24"/>
      <c r="I687" s="24"/>
      <c r="J687" s="23"/>
      <c r="K687" s="23"/>
      <c r="L687" s="23"/>
      <c r="M687" s="23"/>
      <c r="N687" s="23"/>
      <c r="O687" s="23"/>
      <c r="P687" s="23"/>
      <c r="Q687" s="25"/>
      <c r="R687" s="23"/>
      <c r="S687" s="23"/>
      <c r="T687" s="23"/>
      <c r="U687" s="20" t="str">
        <f ca="1">IF(COUNTA(A687:T687)=0,"",IF(OR(A687="",B687="",C687="",E687="",G687="",H687="",J687="",K687="",L687="",M687=""),"Ошибка: заполните обязательные поля",IF(AND(LEFT(H687,7)&lt;&gt;"http://",LEFT(H687,8)&lt;&gt;"https://"),"Ошибка: некорректная ссылка",IF(COUNTIF($H$6:$H$1005,H687)&gt;1,"Ошибка: дубликат URL",IF(E687&gt;TODAY(),"Ошибка: дата публикации в будущем",IF(S687="Да","Ошибка: подтверждённый дубль",IF(S687="","Проверить: отметьте дубль",IF(S687="Нужно проверить","Проверить возможный дубль",IF(TODAY()-E687&gt;30,"Проверить: старше 30 дней",IF(COUNTIFS(#REF!,G687,#REF!,"Готово")=0,"Проверить источник","Готово"))))))))))</f>
        <v/>
      </c>
    </row>
    <row r="688" spans="1:21" ht="25.5" customHeight="1">
      <c r="A688" s="21"/>
      <c r="B688" s="22"/>
      <c r="C688" s="21"/>
      <c r="D688" s="23"/>
      <c r="E688" s="22"/>
      <c r="F688" s="22"/>
      <c r="G688" s="23"/>
      <c r="H688" s="24"/>
      <c r="I688" s="24"/>
      <c r="J688" s="23"/>
      <c r="K688" s="23"/>
      <c r="L688" s="23"/>
      <c r="M688" s="23"/>
      <c r="N688" s="23"/>
      <c r="O688" s="23"/>
      <c r="P688" s="23"/>
      <c r="Q688" s="25"/>
      <c r="R688" s="23"/>
      <c r="S688" s="23"/>
      <c r="T688" s="23"/>
      <c r="U688" s="20" t="str">
        <f ca="1">IF(COUNTA(A688:T688)=0,"",IF(OR(A688="",B688="",C688="",E688="",G688="",H688="",J688="",K688="",L688="",M688=""),"Ошибка: заполните обязательные поля",IF(AND(LEFT(H688,7)&lt;&gt;"http://",LEFT(H688,8)&lt;&gt;"https://"),"Ошибка: некорректная ссылка",IF(COUNTIF($H$6:$H$1005,H688)&gt;1,"Ошибка: дубликат URL",IF(E688&gt;TODAY(),"Ошибка: дата публикации в будущем",IF(S688="Да","Ошибка: подтверждённый дубль",IF(S688="","Проверить: отметьте дубль",IF(S688="Нужно проверить","Проверить возможный дубль",IF(TODAY()-E688&gt;30,"Проверить: старше 30 дней",IF(COUNTIFS(#REF!,G688,#REF!,"Готово")=0,"Проверить источник","Готово"))))))))))</f>
        <v/>
      </c>
    </row>
    <row r="689" spans="1:21" ht="25.5" customHeight="1">
      <c r="A689" s="21"/>
      <c r="B689" s="22"/>
      <c r="C689" s="21"/>
      <c r="D689" s="23"/>
      <c r="E689" s="22"/>
      <c r="F689" s="22"/>
      <c r="G689" s="23"/>
      <c r="H689" s="24"/>
      <c r="I689" s="24"/>
      <c r="J689" s="23"/>
      <c r="K689" s="23"/>
      <c r="L689" s="23"/>
      <c r="M689" s="23"/>
      <c r="N689" s="23"/>
      <c r="O689" s="23"/>
      <c r="P689" s="23"/>
      <c r="Q689" s="25"/>
      <c r="R689" s="23"/>
      <c r="S689" s="23"/>
      <c r="T689" s="23"/>
      <c r="U689" s="20" t="str">
        <f ca="1">IF(COUNTA(A689:T689)=0,"",IF(OR(A689="",B689="",C689="",E689="",G689="",H689="",J689="",K689="",L689="",M689=""),"Ошибка: заполните обязательные поля",IF(AND(LEFT(H689,7)&lt;&gt;"http://",LEFT(H689,8)&lt;&gt;"https://"),"Ошибка: некорректная ссылка",IF(COUNTIF($H$6:$H$1005,H689)&gt;1,"Ошибка: дубликат URL",IF(E689&gt;TODAY(),"Ошибка: дата публикации в будущем",IF(S689="Да","Ошибка: подтверждённый дубль",IF(S689="","Проверить: отметьте дубль",IF(S689="Нужно проверить","Проверить возможный дубль",IF(TODAY()-E689&gt;30,"Проверить: старше 30 дней",IF(COUNTIFS(#REF!,G689,#REF!,"Готово")=0,"Проверить источник","Готово"))))))))))</f>
        <v/>
      </c>
    </row>
    <row r="690" spans="1:21" ht="25.5" customHeight="1">
      <c r="A690" s="21"/>
      <c r="B690" s="22"/>
      <c r="C690" s="21"/>
      <c r="D690" s="23"/>
      <c r="E690" s="22"/>
      <c r="F690" s="22"/>
      <c r="G690" s="23"/>
      <c r="H690" s="24"/>
      <c r="I690" s="24"/>
      <c r="J690" s="23"/>
      <c r="K690" s="23"/>
      <c r="L690" s="23"/>
      <c r="M690" s="23"/>
      <c r="N690" s="23"/>
      <c r="O690" s="23"/>
      <c r="P690" s="23"/>
      <c r="Q690" s="25"/>
      <c r="R690" s="23"/>
      <c r="S690" s="23"/>
      <c r="T690" s="23"/>
      <c r="U690" s="20" t="str">
        <f ca="1">IF(COUNTA(A690:T690)=0,"",IF(OR(A690="",B690="",C690="",E690="",G690="",H690="",J690="",K690="",L690="",M690=""),"Ошибка: заполните обязательные поля",IF(AND(LEFT(H690,7)&lt;&gt;"http://",LEFT(H690,8)&lt;&gt;"https://"),"Ошибка: некорректная ссылка",IF(COUNTIF($H$6:$H$1005,H690)&gt;1,"Ошибка: дубликат URL",IF(E690&gt;TODAY(),"Ошибка: дата публикации в будущем",IF(S690="Да","Ошибка: подтверждённый дубль",IF(S690="","Проверить: отметьте дубль",IF(S690="Нужно проверить","Проверить возможный дубль",IF(TODAY()-E690&gt;30,"Проверить: старше 30 дней",IF(COUNTIFS(#REF!,G690,#REF!,"Готово")=0,"Проверить источник","Готово"))))))))))</f>
        <v/>
      </c>
    </row>
    <row r="691" spans="1:21" ht="25.5" customHeight="1">
      <c r="A691" s="21"/>
      <c r="B691" s="22"/>
      <c r="C691" s="21"/>
      <c r="D691" s="23"/>
      <c r="E691" s="22"/>
      <c r="F691" s="22"/>
      <c r="G691" s="23"/>
      <c r="H691" s="24"/>
      <c r="I691" s="24"/>
      <c r="J691" s="23"/>
      <c r="K691" s="23"/>
      <c r="L691" s="23"/>
      <c r="M691" s="23"/>
      <c r="N691" s="23"/>
      <c r="O691" s="23"/>
      <c r="P691" s="23"/>
      <c r="Q691" s="25"/>
      <c r="R691" s="23"/>
      <c r="S691" s="23"/>
      <c r="T691" s="23"/>
      <c r="U691" s="20" t="str">
        <f ca="1">IF(COUNTA(A691:T691)=0,"",IF(OR(A691="",B691="",C691="",E691="",G691="",H691="",J691="",K691="",L691="",M691=""),"Ошибка: заполните обязательные поля",IF(AND(LEFT(H691,7)&lt;&gt;"http://",LEFT(H691,8)&lt;&gt;"https://"),"Ошибка: некорректная ссылка",IF(COUNTIF($H$6:$H$1005,H691)&gt;1,"Ошибка: дубликат URL",IF(E691&gt;TODAY(),"Ошибка: дата публикации в будущем",IF(S691="Да","Ошибка: подтверждённый дубль",IF(S691="","Проверить: отметьте дубль",IF(S691="Нужно проверить","Проверить возможный дубль",IF(TODAY()-E691&gt;30,"Проверить: старше 30 дней",IF(COUNTIFS(#REF!,G691,#REF!,"Готово")=0,"Проверить источник","Готово"))))))))))</f>
        <v/>
      </c>
    </row>
    <row r="692" spans="1:21" ht="25.5" customHeight="1">
      <c r="A692" s="21"/>
      <c r="B692" s="22"/>
      <c r="C692" s="21"/>
      <c r="D692" s="23"/>
      <c r="E692" s="22"/>
      <c r="F692" s="22"/>
      <c r="G692" s="23"/>
      <c r="H692" s="24"/>
      <c r="I692" s="24"/>
      <c r="J692" s="23"/>
      <c r="K692" s="23"/>
      <c r="L692" s="23"/>
      <c r="M692" s="23"/>
      <c r="N692" s="23"/>
      <c r="O692" s="23"/>
      <c r="P692" s="23"/>
      <c r="Q692" s="25"/>
      <c r="R692" s="23"/>
      <c r="S692" s="23"/>
      <c r="T692" s="23"/>
      <c r="U692" s="20" t="str">
        <f ca="1">IF(COUNTA(A692:T692)=0,"",IF(OR(A692="",B692="",C692="",E692="",G692="",H692="",J692="",K692="",L692="",M692=""),"Ошибка: заполните обязательные поля",IF(AND(LEFT(H692,7)&lt;&gt;"http://",LEFT(H692,8)&lt;&gt;"https://"),"Ошибка: некорректная ссылка",IF(COUNTIF($H$6:$H$1005,H692)&gt;1,"Ошибка: дубликат URL",IF(E692&gt;TODAY(),"Ошибка: дата публикации в будущем",IF(S692="Да","Ошибка: подтверждённый дубль",IF(S692="","Проверить: отметьте дубль",IF(S692="Нужно проверить","Проверить возможный дубль",IF(TODAY()-E692&gt;30,"Проверить: старше 30 дней",IF(COUNTIFS(#REF!,G692,#REF!,"Готово")=0,"Проверить источник","Готово"))))))))))</f>
        <v/>
      </c>
    </row>
    <row r="693" spans="1:21" ht="25.5" customHeight="1">
      <c r="A693" s="21"/>
      <c r="B693" s="22"/>
      <c r="C693" s="21"/>
      <c r="D693" s="23"/>
      <c r="E693" s="22"/>
      <c r="F693" s="22"/>
      <c r="G693" s="23"/>
      <c r="H693" s="24"/>
      <c r="I693" s="24"/>
      <c r="J693" s="23"/>
      <c r="K693" s="23"/>
      <c r="L693" s="23"/>
      <c r="M693" s="23"/>
      <c r="N693" s="23"/>
      <c r="O693" s="23"/>
      <c r="P693" s="23"/>
      <c r="Q693" s="25"/>
      <c r="R693" s="23"/>
      <c r="S693" s="23"/>
      <c r="T693" s="23"/>
      <c r="U693" s="20" t="str">
        <f ca="1">IF(COUNTA(A693:T693)=0,"",IF(OR(A693="",B693="",C693="",E693="",G693="",H693="",J693="",K693="",L693="",M693=""),"Ошибка: заполните обязательные поля",IF(AND(LEFT(H693,7)&lt;&gt;"http://",LEFT(H693,8)&lt;&gt;"https://"),"Ошибка: некорректная ссылка",IF(COUNTIF($H$6:$H$1005,H693)&gt;1,"Ошибка: дубликат URL",IF(E693&gt;TODAY(),"Ошибка: дата публикации в будущем",IF(S693="Да","Ошибка: подтверждённый дубль",IF(S693="","Проверить: отметьте дубль",IF(S693="Нужно проверить","Проверить возможный дубль",IF(TODAY()-E693&gt;30,"Проверить: старше 30 дней",IF(COUNTIFS(#REF!,G693,#REF!,"Готово")=0,"Проверить источник","Готово"))))))))))</f>
        <v/>
      </c>
    </row>
    <row r="694" spans="1:21" ht="25.5" customHeight="1">
      <c r="A694" s="21"/>
      <c r="B694" s="22"/>
      <c r="C694" s="21"/>
      <c r="D694" s="23"/>
      <c r="E694" s="22"/>
      <c r="F694" s="22"/>
      <c r="G694" s="23"/>
      <c r="H694" s="24"/>
      <c r="I694" s="24"/>
      <c r="J694" s="23"/>
      <c r="K694" s="23"/>
      <c r="L694" s="23"/>
      <c r="M694" s="23"/>
      <c r="N694" s="23"/>
      <c r="O694" s="23"/>
      <c r="P694" s="23"/>
      <c r="Q694" s="25"/>
      <c r="R694" s="23"/>
      <c r="S694" s="23"/>
      <c r="T694" s="23"/>
      <c r="U694" s="20" t="str">
        <f ca="1">IF(COUNTA(A694:T694)=0,"",IF(OR(A694="",B694="",C694="",E694="",G694="",H694="",J694="",K694="",L694="",M694=""),"Ошибка: заполните обязательные поля",IF(AND(LEFT(H694,7)&lt;&gt;"http://",LEFT(H694,8)&lt;&gt;"https://"),"Ошибка: некорректная ссылка",IF(COUNTIF($H$6:$H$1005,H694)&gt;1,"Ошибка: дубликат URL",IF(E694&gt;TODAY(),"Ошибка: дата публикации в будущем",IF(S694="Да","Ошибка: подтверждённый дубль",IF(S694="","Проверить: отметьте дубль",IF(S694="Нужно проверить","Проверить возможный дубль",IF(TODAY()-E694&gt;30,"Проверить: старше 30 дней",IF(COUNTIFS(#REF!,G694,#REF!,"Готово")=0,"Проверить источник","Готово"))))))))))</f>
        <v/>
      </c>
    </row>
    <row r="695" spans="1:21" ht="25.5" customHeight="1">
      <c r="A695" s="21"/>
      <c r="B695" s="22"/>
      <c r="C695" s="21"/>
      <c r="D695" s="23"/>
      <c r="E695" s="22"/>
      <c r="F695" s="22"/>
      <c r="G695" s="23"/>
      <c r="H695" s="24"/>
      <c r="I695" s="24"/>
      <c r="J695" s="23"/>
      <c r="K695" s="23"/>
      <c r="L695" s="23"/>
      <c r="M695" s="23"/>
      <c r="N695" s="23"/>
      <c r="O695" s="23"/>
      <c r="P695" s="23"/>
      <c r="Q695" s="25"/>
      <c r="R695" s="23"/>
      <c r="S695" s="23"/>
      <c r="T695" s="23"/>
      <c r="U695" s="20" t="str">
        <f ca="1">IF(COUNTA(A695:T695)=0,"",IF(OR(A695="",B695="",C695="",E695="",G695="",H695="",J695="",K695="",L695="",M695=""),"Ошибка: заполните обязательные поля",IF(AND(LEFT(H695,7)&lt;&gt;"http://",LEFT(H695,8)&lt;&gt;"https://"),"Ошибка: некорректная ссылка",IF(COUNTIF($H$6:$H$1005,H695)&gt;1,"Ошибка: дубликат URL",IF(E695&gt;TODAY(),"Ошибка: дата публикации в будущем",IF(S695="Да","Ошибка: подтверждённый дубль",IF(S695="","Проверить: отметьте дубль",IF(S695="Нужно проверить","Проверить возможный дубль",IF(TODAY()-E695&gt;30,"Проверить: старше 30 дней",IF(COUNTIFS(#REF!,G695,#REF!,"Готово")=0,"Проверить источник","Готово"))))))))))</f>
        <v/>
      </c>
    </row>
    <row r="696" spans="1:21" ht="25.5" customHeight="1">
      <c r="A696" s="21"/>
      <c r="B696" s="22"/>
      <c r="C696" s="21"/>
      <c r="D696" s="23"/>
      <c r="E696" s="22"/>
      <c r="F696" s="22"/>
      <c r="G696" s="23"/>
      <c r="H696" s="24"/>
      <c r="I696" s="24"/>
      <c r="J696" s="23"/>
      <c r="K696" s="23"/>
      <c r="L696" s="23"/>
      <c r="M696" s="23"/>
      <c r="N696" s="23"/>
      <c r="O696" s="23"/>
      <c r="P696" s="23"/>
      <c r="Q696" s="25"/>
      <c r="R696" s="23"/>
      <c r="S696" s="23"/>
      <c r="T696" s="23"/>
      <c r="U696" s="20" t="str">
        <f ca="1">IF(COUNTA(A696:T696)=0,"",IF(OR(A696="",B696="",C696="",E696="",G696="",H696="",J696="",K696="",L696="",M696=""),"Ошибка: заполните обязательные поля",IF(AND(LEFT(H696,7)&lt;&gt;"http://",LEFT(H696,8)&lt;&gt;"https://"),"Ошибка: некорректная ссылка",IF(COUNTIF($H$6:$H$1005,H696)&gt;1,"Ошибка: дубликат URL",IF(E696&gt;TODAY(),"Ошибка: дата публикации в будущем",IF(S696="Да","Ошибка: подтверждённый дубль",IF(S696="","Проверить: отметьте дубль",IF(S696="Нужно проверить","Проверить возможный дубль",IF(TODAY()-E696&gt;30,"Проверить: старше 30 дней",IF(COUNTIFS(#REF!,G696,#REF!,"Готово")=0,"Проверить источник","Готово"))))))))))</f>
        <v/>
      </c>
    </row>
    <row r="697" spans="1:21" ht="25.5" customHeight="1">
      <c r="A697" s="21"/>
      <c r="B697" s="22"/>
      <c r="C697" s="21"/>
      <c r="D697" s="23"/>
      <c r="E697" s="22"/>
      <c r="F697" s="22"/>
      <c r="G697" s="23"/>
      <c r="H697" s="24"/>
      <c r="I697" s="24"/>
      <c r="J697" s="23"/>
      <c r="K697" s="23"/>
      <c r="L697" s="23"/>
      <c r="M697" s="23"/>
      <c r="N697" s="23"/>
      <c r="O697" s="23"/>
      <c r="P697" s="23"/>
      <c r="Q697" s="25"/>
      <c r="R697" s="23"/>
      <c r="S697" s="23"/>
      <c r="T697" s="23"/>
      <c r="U697" s="20" t="str">
        <f ca="1">IF(COUNTA(A697:T697)=0,"",IF(OR(A697="",B697="",C697="",E697="",G697="",H697="",J697="",K697="",L697="",M697=""),"Ошибка: заполните обязательные поля",IF(AND(LEFT(H697,7)&lt;&gt;"http://",LEFT(H697,8)&lt;&gt;"https://"),"Ошибка: некорректная ссылка",IF(COUNTIF($H$6:$H$1005,H697)&gt;1,"Ошибка: дубликат URL",IF(E697&gt;TODAY(),"Ошибка: дата публикации в будущем",IF(S697="Да","Ошибка: подтверждённый дубль",IF(S697="","Проверить: отметьте дубль",IF(S697="Нужно проверить","Проверить возможный дубль",IF(TODAY()-E697&gt;30,"Проверить: старше 30 дней",IF(COUNTIFS(#REF!,G697,#REF!,"Готово")=0,"Проверить источник","Готово"))))))))))</f>
        <v/>
      </c>
    </row>
    <row r="698" spans="1:21" ht="25.5" customHeight="1">
      <c r="A698" s="21"/>
      <c r="B698" s="22"/>
      <c r="C698" s="21"/>
      <c r="D698" s="23"/>
      <c r="E698" s="22"/>
      <c r="F698" s="22"/>
      <c r="G698" s="23"/>
      <c r="H698" s="24"/>
      <c r="I698" s="24"/>
      <c r="J698" s="23"/>
      <c r="K698" s="23"/>
      <c r="L698" s="23"/>
      <c r="M698" s="23"/>
      <c r="N698" s="23"/>
      <c r="O698" s="23"/>
      <c r="P698" s="23"/>
      <c r="Q698" s="25"/>
      <c r="R698" s="23"/>
      <c r="S698" s="23"/>
      <c r="T698" s="23"/>
      <c r="U698" s="20" t="str">
        <f ca="1">IF(COUNTA(A698:T698)=0,"",IF(OR(A698="",B698="",C698="",E698="",G698="",H698="",J698="",K698="",L698="",M698=""),"Ошибка: заполните обязательные поля",IF(AND(LEFT(H698,7)&lt;&gt;"http://",LEFT(H698,8)&lt;&gt;"https://"),"Ошибка: некорректная ссылка",IF(COUNTIF($H$6:$H$1005,H698)&gt;1,"Ошибка: дубликат URL",IF(E698&gt;TODAY(),"Ошибка: дата публикации в будущем",IF(S698="Да","Ошибка: подтверждённый дубль",IF(S698="","Проверить: отметьте дубль",IF(S698="Нужно проверить","Проверить возможный дубль",IF(TODAY()-E698&gt;30,"Проверить: старше 30 дней",IF(COUNTIFS(#REF!,G698,#REF!,"Готово")=0,"Проверить источник","Готово"))))))))))</f>
        <v/>
      </c>
    </row>
    <row r="699" spans="1:21" ht="25.5" customHeight="1">
      <c r="A699" s="21"/>
      <c r="B699" s="22"/>
      <c r="C699" s="21"/>
      <c r="D699" s="23"/>
      <c r="E699" s="22"/>
      <c r="F699" s="22"/>
      <c r="G699" s="23"/>
      <c r="H699" s="24"/>
      <c r="I699" s="24"/>
      <c r="J699" s="23"/>
      <c r="K699" s="23"/>
      <c r="L699" s="23"/>
      <c r="M699" s="23"/>
      <c r="N699" s="23"/>
      <c r="O699" s="23"/>
      <c r="P699" s="23"/>
      <c r="Q699" s="25"/>
      <c r="R699" s="23"/>
      <c r="S699" s="23"/>
      <c r="T699" s="23"/>
      <c r="U699" s="20" t="str">
        <f ca="1">IF(COUNTA(A699:T699)=0,"",IF(OR(A699="",B699="",C699="",E699="",G699="",H699="",J699="",K699="",L699="",M699=""),"Ошибка: заполните обязательные поля",IF(AND(LEFT(H699,7)&lt;&gt;"http://",LEFT(H699,8)&lt;&gt;"https://"),"Ошибка: некорректная ссылка",IF(COUNTIF($H$6:$H$1005,H699)&gt;1,"Ошибка: дубликат URL",IF(E699&gt;TODAY(),"Ошибка: дата публикации в будущем",IF(S699="Да","Ошибка: подтверждённый дубль",IF(S699="","Проверить: отметьте дубль",IF(S699="Нужно проверить","Проверить возможный дубль",IF(TODAY()-E699&gt;30,"Проверить: старше 30 дней",IF(COUNTIFS(#REF!,G699,#REF!,"Готово")=0,"Проверить источник","Готово"))))))))))</f>
        <v/>
      </c>
    </row>
    <row r="700" spans="1:21" ht="25.5" customHeight="1">
      <c r="A700" s="21"/>
      <c r="B700" s="22"/>
      <c r="C700" s="21"/>
      <c r="D700" s="23"/>
      <c r="E700" s="22"/>
      <c r="F700" s="22"/>
      <c r="G700" s="23"/>
      <c r="H700" s="24"/>
      <c r="I700" s="24"/>
      <c r="J700" s="23"/>
      <c r="K700" s="23"/>
      <c r="L700" s="23"/>
      <c r="M700" s="23"/>
      <c r="N700" s="23"/>
      <c r="O700" s="23"/>
      <c r="P700" s="23"/>
      <c r="Q700" s="25"/>
      <c r="R700" s="23"/>
      <c r="S700" s="23"/>
      <c r="T700" s="23"/>
      <c r="U700" s="20" t="str">
        <f ca="1">IF(COUNTA(A700:T700)=0,"",IF(OR(A700="",B700="",C700="",E700="",G700="",H700="",J700="",K700="",L700="",M700=""),"Ошибка: заполните обязательные поля",IF(AND(LEFT(H700,7)&lt;&gt;"http://",LEFT(H700,8)&lt;&gt;"https://"),"Ошибка: некорректная ссылка",IF(COUNTIF($H$6:$H$1005,H700)&gt;1,"Ошибка: дубликат URL",IF(E700&gt;TODAY(),"Ошибка: дата публикации в будущем",IF(S700="Да","Ошибка: подтверждённый дубль",IF(S700="","Проверить: отметьте дубль",IF(S700="Нужно проверить","Проверить возможный дубль",IF(TODAY()-E700&gt;30,"Проверить: старше 30 дней",IF(COUNTIFS(#REF!,G700,#REF!,"Готово")=0,"Проверить источник","Готово"))))))))))</f>
        <v/>
      </c>
    </row>
    <row r="701" spans="1:21" ht="25.5" customHeight="1">
      <c r="A701" s="21"/>
      <c r="B701" s="22"/>
      <c r="C701" s="21"/>
      <c r="D701" s="23"/>
      <c r="E701" s="22"/>
      <c r="F701" s="22"/>
      <c r="G701" s="23"/>
      <c r="H701" s="24"/>
      <c r="I701" s="24"/>
      <c r="J701" s="23"/>
      <c r="K701" s="23"/>
      <c r="L701" s="23"/>
      <c r="M701" s="23"/>
      <c r="N701" s="23"/>
      <c r="O701" s="23"/>
      <c r="P701" s="23"/>
      <c r="Q701" s="25"/>
      <c r="R701" s="23"/>
      <c r="S701" s="23"/>
      <c r="T701" s="23"/>
      <c r="U701" s="20" t="str">
        <f ca="1">IF(COUNTA(A701:T701)=0,"",IF(OR(A701="",B701="",C701="",E701="",G701="",H701="",J701="",K701="",L701="",M701=""),"Ошибка: заполните обязательные поля",IF(AND(LEFT(H701,7)&lt;&gt;"http://",LEFT(H701,8)&lt;&gt;"https://"),"Ошибка: некорректная ссылка",IF(COUNTIF($H$6:$H$1005,H701)&gt;1,"Ошибка: дубликат URL",IF(E701&gt;TODAY(),"Ошибка: дата публикации в будущем",IF(S701="Да","Ошибка: подтверждённый дубль",IF(S701="","Проверить: отметьте дубль",IF(S701="Нужно проверить","Проверить возможный дубль",IF(TODAY()-E701&gt;30,"Проверить: старше 30 дней",IF(COUNTIFS(#REF!,G701,#REF!,"Готово")=0,"Проверить источник","Готово"))))))))))</f>
        <v/>
      </c>
    </row>
    <row r="702" spans="1:21" ht="25.5" customHeight="1">
      <c r="A702" s="21"/>
      <c r="B702" s="22"/>
      <c r="C702" s="21"/>
      <c r="D702" s="23"/>
      <c r="E702" s="22"/>
      <c r="F702" s="22"/>
      <c r="G702" s="23"/>
      <c r="H702" s="24"/>
      <c r="I702" s="24"/>
      <c r="J702" s="23"/>
      <c r="K702" s="23"/>
      <c r="L702" s="23"/>
      <c r="M702" s="23"/>
      <c r="N702" s="23"/>
      <c r="O702" s="23"/>
      <c r="P702" s="23"/>
      <c r="Q702" s="25"/>
      <c r="R702" s="23"/>
      <c r="S702" s="23"/>
      <c r="T702" s="23"/>
      <c r="U702" s="20" t="str">
        <f ca="1">IF(COUNTA(A702:T702)=0,"",IF(OR(A702="",B702="",C702="",E702="",G702="",H702="",J702="",K702="",L702="",M702=""),"Ошибка: заполните обязательные поля",IF(AND(LEFT(H702,7)&lt;&gt;"http://",LEFT(H702,8)&lt;&gt;"https://"),"Ошибка: некорректная ссылка",IF(COUNTIF($H$6:$H$1005,H702)&gt;1,"Ошибка: дубликат URL",IF(E702&gt;TODAY(),"Ошибка: дата публикации в будущем",IF(S702="Да","Ошибка: подтверждённый дубль",IF(S702="","Проверить: отметьте дубль",IF(S702="Нужно проверить","Проверить возможный дубль",IF(TODAY()-E702&gt;30,"Проверить: старше 30 дней",IF(COUNTIFS(#REF!,G702,#REF!,"Готово")=0,"Проверить источник","Готово"))))))))))</f>
        <v/>
      </c>
    </row>
    <row r="703" spans="1:21" ht="25.5" customHeight="1">
      <c r="A703" s="21"/>
      <c r="B703" s="22"/>
      <c r="C703" s="21"/>
      <c r="D703" s="23"/>
      <c r="E703" s="22"/>
      <c r="F703" s="22"/>
      <c r="G703" s="23"/>
      <c r="H703" s="24"/>
      <c r="I703" s="24"/>
      <c r="J703" s="23"/>
      <c r="K703" s="23"/>
      <c r="L703" s="23"/>
      <c r="M703" s="23"/>
      <c r="N703" s="23"/>
      <c r="O703" s="23"/>
      <c r="P703" s="23"/>
      <c r="Q703" s="25"/>
      <c r="R703" s="23"/>
      <c r="S703" s="23"/>
      <c r="T703" s="23"/>
      <c r="U703" s="20" t="str">
        <f ca="1">IF(COUNTA(A703:T703)=0,"",IF(OR(A703="",B703="",C703="",E703="",G703="",H703="",J703="",K703="",L703="",M703=""),"Ошибка: заполните обязательные поля",IF(AND(LEFT(H703,7)&lt;&gt;"http://",LEFT(H703,8)&lt;&gt;"https://"),"Ошибка: некорректная ссылка",IF(COUNTIF($H$6:$H$1005,H703)&gt;1,"Ошибка: дубликат URL",IF(E703&gt;TODAY(),"Ошибка: дата публикации в будущем",IF(S703="Да","Ошибка: подтверждённый дубль",IF(S703="","Проверить: отметьте дубль",IF(S703="Нужно проверить","Проверить возможный дубль",IF(TODAY()-E703&gt;30,"Проверить: старше 30 дней",IF(COUNTIFS(#REF!,G703,#REF!,"Готово")=0,"Проверить источник","Готово"))))))))))</f>
        <v/>
      </c>
    </row>
    <row r="704" spans="1:21" ht="25.5" customHeight="1">
      <c r="A704" s="21"/>
      <c r="B704" s="22"/>
      <c r="C704" s="21"/>
      <c r="D704" s="23"/>
      <c r="E704" s="22"/>
      <c r="F704" s="22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5"/>
      <c r="R704" s="23"/>
      <c r="S704" s="23"/>
      <c r="T704" s="23"/>
      <c r="U704" s="20" t="str">
        <f ca="1">IF(COUNTA(A704:T704)=0,"",IF(OR(A704="",B704="",C704="",E704="",G704="",H704="",J704="",K704="",L704="",M704=""),"Ошибка: заполните обязательные поля",IF(AND(LEFT(H704,7)&lt;&gt;"http://",LEFT(H704,8)&lt;&gt;"https://"),"Ошибка: некорректная ссылка",IF(COUNTIF($H$6:$H$1005,H704)&gt;1,"Ошибка: дубликат URL",IF(E704&gt;TODAY(),"Ошибка: дата публикации в будущем",IF(S704="Да","Ошибка: подтверждённый дубль",IF(S704="","Проверить: отметьте дубль",IF(S704="Нужно проверить","Проверить возможный дубль",IF(TODAY()-E704&gt;30,"Проверить: старше 30 дней",IF(COUNTIFS(#REF!,G704,#REF!,"Готово")=0,"Проверить источник","Готово"))))))))))</f>
        <v/>
      </c>
    </row>
    <row r="705" spans="1:21" ht="25.5" customHeight="1">
      <c r="A705" s="21"/>
      <c r="B705" s="22"/>
      <c r="C705" s="21"/>
      <c r="D705" s="23"/>
      <c r="E705" s="22"/>
      <c r="F705" s="22"/>
      <c r="G705" s="23"/>
      <c r="H705" s="24"/>
      <c r="I705" s="24"/>
      <c r="J705" s="23"/>
      <c r="K705" s="23"/>
      <c r="L705" s="23"/>
      <c r="M705" s="23"/>
      <c r="N705" s="23"/>
      <c r="O705" s="23"/>
      <c r="P705" s="23"/>
      <c r="Q705" s="25"/>
      <c r="R705" s="23"/>
      <c r="S705" s="23"/>
      <c r="T705" s="23"/>
      <c r="U705" s="20" t="str">
        <f ca="1">IF(COUNTA(A705:T705)=0,"",IF(OR(A705="",B705="",C705="",E705="",G705="",H705="",J705="",K705="",L705="",M705=""),"Ошибка: заполните обязательные поля",IF(AND(LEFT(H705,7)&lt;&gt;"http://",LEFT(H705,8)&lt;&gt;"https://"),"Ошибка: некорректная ссылка",IF(COUNTIF($H$6:$H$1005,H705)&gt;1,"Ошибка: дубликат URL",IF(E705&gt;TODAY(),"Ошибка: дата публикации в будущем",IF(S705="Да","Ошибка: подтверждённый дубль",IF(S705="","Проверить: отметьте дубль",IF(S705="Нужно проверить","Проверить возможный дубль",IF(TODAY()-E705&gt;30,"Проверить: старше 30 дней",IF(COUNTIFS(#REF!,G705,#REF!,"Готово")=0,"Проверить источник","Готово"))))))))))</f>
        <v/>
      </c>
    </row>
    <row r="706" spans="1:21" ht="25.5" customHeight="1">
      <c r="A706" s="21"/>
      <c r="B706" s="22"/>
      <c r="C706" s="21"/>
      <c r="D706" s="23"/>
      <c r="E706" s="22"/>
      <c r="F706" s="22"/>
      <c r="G706" s="23"/>
      <c r="H706" s="24"/>
      <c r="I706" s="24"/>
      <c r="J706" s="23"/>
      <c r="K706" s="23"/>
      <c r="L706" s="23"/>
      <c r="M706" s="23"/>
      <c r="N706" s="23"/>
      <c r="O706" s="23"/>
      <c r="P706" s="23"/>
      <c r="Q706" s="25"/>
      <c r="R706" s="23"/>
      <c r="S706" s="23"/>
      <c r="T706" s="23"/>
      <c r="U706" s="20" t="str">
        <f ca="1">IF(COUNTA(A706:T706)=0,"",IF(OR(A706="",B706="",C706="",E706="",G706="",H706="",J706="",K706="",L706="",M706=""),"Ошибка: заполните обязательные поля",IF(AND(LEFT(H706,7)&lt;&gt;"http://",LEFT(H706,8)&lt;&gt;"https://"),"Ошибка: некорректная ссылка",IF(COUNTIF($H$6:$H$1005,H706)&gt;1,"Ошибка: дубликат URL",IF(E706&gt;TODAY(),"Ошибка: дата публикации в будущем",IF(S706="Да","Ошибка: подтверждённый дубль",IF(S706="","Проверить: отметьте дубль",IF(S706="Нужно проверить","Проверить возможный дубль",IF(TODAY()-E706&gt;30,"Проверить: старше 30 дней",IF(COUNTIFS(#REF!,G706,#REF!,"Готово")=0,"Проверить источник","Готово"))))))))))</f>
        <v/>
      </c>
    </row>
    <row r="707" spans="1:21" ht="25.5" customHeight="1">
      <c r="A707" s="21"/>
      <c r="B707" s="22"/>
      <c r="C707" s="21"/>
      <c r="D707" s="23"/>
      <c r="E707" s="22"/>
      <c r="F707" s="22"/>
      <c r="G707" s="23"/>
      <c r="H707" s="24"/>
      <c r="I707" s="24"/>
      <c r="J707" s="23"/>
      <c r="K707" s="23"/>
      <c r="L707" s="23"/>
      <c r="M707" s="23"/>
      <c r="N707" s="23"/>
      <c r="O707" s="23"/>
      <c r="P707" s="23"/>
      <c r="Q707" s="25"/>
      <c r="R707" s="23"/>
      <c r="S707" s="23"/>
      <c r="T707" s="23"/>
      <c r="U707" s="20" t="str">
        <f ca="1">IF(COUNTA(A707:T707)=0,"",IF(OR(A707="",B707="",C707="",E707="",G707="",H707="",J707="",K707="",L707="",M707=""),"Ошибка: заполните обязательные поля",IF(AND(LEFT(H707,7)&lt;&gt;"http://",LEFT(H707,8)&lt;&gt;"https://"),"Ошибка: некорректная ссылка",IF(COUNTIF($H$6:$H$1005,H707)&gt;1,"Ошибка: дубликат URL",IF(E707&gt;TODAY(),"Ошибка: дата публикации в будущем",IF(S707="Да","Ошибка: подтверждённый дубль",IF(S707="","Проверить: отметьте дубль",IF(S707="Нужно проверить","Проверить возможный дубль",IF(TODAY()-E707&gt;30,"Проверить: старше 30 дней",IF(COUNTIFS(#REF!,G707,#REF!,"Готово")=0,"Проверить источник","Готово"))))))))))</f>
        <v/>
      </c>
    </row>
    <row r="708" spans="1:21" ht="25.5" customHeight="1">
      <c r="A708" s="21"/>
      <c r="B708" s="22"/>
      <c r="C708" s="21"/>
      <c r="D708" s="23"/>
      <c r="E708" s="22"/>
      <c r="F708" s="22"/>
      <c r="G708" s="23"/>
      <c r="H708" s="24"/>
      <c r="I708" s="24"/>
      <c r="J708" s="23"/>
      <c r="K708" s="23"/>
      <c r="L708" s="23"/>
      <c r="M708" s="23"/>
      <c r="N708" s="23"/>
      <c r="O708" s="23"/>
      <c r="P708" s="23"/>
      <c r="Q708" s="25"/>
      <c r="R708" s="23"/>
      <c r="S708" s="23"/>
      <c r="T708" s="23"/>
      <c r="U708" s="20" t="str">
        <f ca="1">IF(COUNTA(A708:T708)=0,"",IF(OR(A708="",B708="",C708="",E708="",G708="",H708="",J708="",K708="",L708="",M708=""),"Ошибка: заполните обязательные поля",IF(AND(LEFT(H708,7)&lt;&gt;"http://",LEFT(H708,8)&lt;&gt;"https://"),"Ошибка: некорректная ссылка",IF(COUNTIF($H$6:$H$1005,H708)&gt;1,"Ошибка: дубликат URL",IF(E708&gt;TODAY(),"Ошибка: дата публикации в будущем",IF(S708="Да","Ошибка: подтверждённый дубль",IF(S708="","Проверить: отметьте дубль",IF(S708="Нужно проверить","Проверить возможный дубль",IF(TODAY()-E708&gt;30,"Проверить: старше 30 дней",IF(COUNTIFS(#REF!,G708,#REF!,"Готово")=0,"Проверить источник","Готово"))))))))))</f>
        <v/>
      </c>
    </row>
    <row r="709" spans="1:21" ht="25.5" customHeight="1">
      <c r="A709" s="21"/>
      <c r="B709" s="22"/>
      <c r="C709" s="21"/>
      <c r="D709" s="23"/>
      <c r="E709" s="22"/>
      <c r="F709" s="22"/>
      <c r="G709" s="23"/>
      <c r="H709" s="24"/>
      <c r="I709" s="24"/>
      <c r="J709" s="23"/>
      <c r="K709" s="23"/>
      <c r="L709" s="23"/>
      <c r="M709" s="23"/>
      <c r="N709" s="23"/>
      <c r="O709" s="23"/>
      <c r="P709" s="23"/>
      <c r="Q709" s="25"/>
      <c r="R709" s="23"/>
      <c r="S709" s="23"/>
      <c r="T709" s="23"/>
      <c r="U709" s="20" t="str">
        <f ca="1">IF(COUNTA(A709:T709)=0,"",IF(OR(A709="",B709="",C709="",E709="",G709="",H709="",J709="",K709="",L709="",M709=""),"Ошибка: заполните обязательные поля",IF(AND(LEFT(H709,7)&lt;&gt;"http://",LEFT(H709,8)&lt;&gt;"https://"),"Ошибка: некорректная ссылка",IF(COUNTIF($H$6:$H$1005,H709)&gt;1,"Ошибка: дубликат URL",IF(E709&gt;TODAY(),"Ошибка: дата публикации в будущем",IF(S709="Да","Ошибка: подтверждённый дубль",IF(S709="","Проверить: отметьте дубль",IF(S709="Нужно проверить","Проверить возможный дубль",IF(TODAY()-E709&gt;30,"Проверить: старше 30 дней",IF(COUNTIFS(#REF!,G709,#REF!,"Готово")=0,"Проверить источник","Готово"))))))))))</f>
        <v/>
      </c>
    </row>
    <row r="710" spans="1:21" ht="25.5" customHeight="1">
      <c r="A710" s="21"/>
      <c r="B710" s="22"/>
      <c r="C710" s="21"/>
      <c r="D710" s="23"/>
      <c r="E710" s="22"/>
      <c r="F710" s="22"/>
      <c r="G710" s="23"/>
      <c r="H710" s="24"/>
      <c r="I710" s="24"/>
      <c r="J710" s="23"/>
      <c r="K710" s="23"/>
      <c r="L710" s="23"/>
      <c r="M710" s="23"/>
      <c r="N710" s="23"/>
      <c r="O710" s="23"/>
      <c r="P710" s="23"/>
      <c r="Q710" s="25"/>
      <c r="R710" s="23"/>
      <c r="S710" s="23"/>
      <c r="T710" s="23"/>
      <c r="U710" s="20" t="str">
        <f ca="1">IF(COUNTA(A710:T710)=0,"",IF(OR(A710="",B710="",C710="",E710="",G710="",H710="",J710="",K710="",L710="",M710=""),"Ошибка: заполните обязательные поля",IF(AND(LEFT(H710,7)&lt;&gt;"http://",LEFT(H710,8)&lt;&gt;"https://"),"Ошибка: некорректная ссылка",IF(COUNTIF($H$6:$H$1005,H710)&gt;1,"Ошибка: дубликат URL",IF(E710&gt;TODAY(),"Ошибка: дата публикации в будущем",IF(S710="Да","Ошибка: подтверждённый дубль",IF(S710="","Проверить: отметьте дубль",IF(S710="Нужно проверить","Проверить возможный дубль",IF(TODAY()-E710&gt;30,"Проверить: старше 30 дней",IF(COUNTIFS(#REF!,G710,#REF!,"Готово")=0,"Проверить источник","Готово"))))))))))</f>
        <v/>
      </c>
    </row>
    <row r="711" spans="1:21" ht="25.5" customHeight="1">
      <c r="A711" s="21"/>
      <c r="B711" s="22"/>
      <c r="C711" s="21"/>
      <c r="D711" s="23"/>
      <c r="E711" s="22"/>
      <c r="F711" s="22"/>
      <c r="G711" s="23"/>
      <c r="H711" s="24"/>
      <c r="I711" s="24"/>
      <c r="J711" s="23"/>
      <c r="K711" s="23"/>
      <c r="L711" s="23"/>
      <c r="M711" s="23"/>
      <c r="N711" s="23"/>
      <c r="O711" s="23"/>
      <c r="P711" s="23"/>
      <c r="Q711" s="25"/>
      <c r="R711" s="23"/>
      <c r="S711" s="23"/>
      <c r="T711" s="23"/>
      <c r="U711" s="20" t="str">
        <f ca="1">IF(COUNTA(A711:T711)=0,"",IF(OR(A711="",B711="",C711="",E711="",G711="",H711="",J711="",K711="",L711="",M711=""),"Ошибка: заполните обязательные поля",IF(AND(LEFT(H711,7)&lt;&gt;"http://",LEFT(H711,8)&lt;&gt;"https://"),"Ошибка: некорректная ссылка",IF(COUNTIF($H$6:$H$1005,H711)&gt;1,"Ошибка: дубликат URL",IF(E711&gt;TODAY(),"Ошибка: дата публикации в будущем",IF(S711="Да","Ошибка: подтверждённый дубль",IF(S711="","Проверить: отметьте дубль",IF(S711="Нужно проверить","Проверить возможный дубль",IF(TODAY()-E711&gt;30,"Проверить: старше 30 дней",IF(COUNTIFS(#REF!,G711,#REF!,"Готово")=0,"Проверить источник","Готово"))))))))))</f>
        <v/>
      </c>
    </row>
    <row r="712" spans="1:21" ht="25.5" customHeight="1">
      <c r="A712" s="21"/>
      <c r="B712" s="22"/>
      <c r="C712" s="21"/>
      <c r="D712" s="23"/>
      <c r="E712" s="22"/>
      <c r="F712" s="22"/>
      <c r="G712" s="23"/>
      <c r="H712" s="24"/>
      <c r="I712" s="24"/>
      <c r="J712" s="23"/>
      <c r="K712" s="23"/>
      <c r="L712" s="23"/>
      <c r="M712" s="23"/>
      <c r="N712" s="23"/>
      <c r="O712" s="23"/>
      <c r="P712" s="23"/>
      <c r="Q712" s="25"/>
      <c r="R712" s="23"/>
      <c r="S712" s="23"/>
      <c r="T712" s="23"/>
      <c r="U712" s="20" t="str">
        <f ca="1">IF(COUNTA(A712:T712)=0,"",IF(OR(A712="",B712="",C712="",E712="",G712="",H712="",J712="",K712="",L712="",M712=""),"Ошибка: заполните обязательные поля",IF(AND(LEFT(H712,7)&lt;&gt;"http://",LEFT(H712,8)&lt;&gt;"https://"),"Ошибка: некорректная ссылка",IF(COUNTIF($H$6:$H$1005,H712)&gt;1,"Ошибка: дубликат URL",IF(E712&gt;TODAY(),"Ошибка: дата публикации в будущем",IF(S712="Да","Ошибка: подтверждённый дубль",IF(S712="","Проверить: отметьте дубль",IF(S712="Нужно проверить","Проверить возможный дубль",IF(TODAY()-E712&gt;30,"Проверить: старше 30 дней",IF(COUNTIFS(#REF!,G712,#REF!,"Готово")=0,"Проверить источник","Готово"))))))))))</f>
        <v/>
      </c>
    </row>
    <row r="713" spans="1:21" ht="25.5" customHeight="1">
      <c r="A713" s="21"/>
      <c r="B713" s="22"/>
      <c r="C713" s="21"/>
      <c r="D713" s="23"/>
      <c r="E713" s="22"/>
      <c r="F713" s="22"/>
      <c r="G713" s="23"/>
      <c r="H713" s="24"/>
      <c r="I713" s="24"/>
      <c r="J713" s="23"/>
      <c r="K713" s="23"/>
      <c r="L713" s="23"/>
      <c r="M713" s="23"/>
      <c r="N713" s="23"/>
      <c r="O713" s="23"/>
      <c r="P713" s="23"/>
      <c r="Q713" s="25"/>
      <c r="R713" s="23"/>
      <c r="S713" s="23"/>
      <c r="T713" s="23"/>
      <c r="U713" s="20" t="str">
        <f ca="1">IF(COUNTA(A713:T713)=0,"",IF(OR(A713="",B713="",C713="",E713="",G713="",H713="",J713="",K713="",L713="",M713=""),"Ошибка: заполните обязательные поля",IF(AND(LEFT(H713,7)&lt;&gt;"http://",LEFT(H713,8)&lt;&gt;"https://"),"Ошибка: некорректная ссылка",IF(COUNTIF($H$6:$H$1005,H713)&gt;1,"Ошибка: дубликат URL",IF(E713&gt;TODAY(),"Ошибка: дата публикации в будущем",IF(S713="Да","Ошибка: подтверждённый дубль",IF(S713="","Проверить: отметьте дубль",IF(S713="Нужно проверить","Проверить возможный дубль",IF(TODAY()-E713&gt;30,"Проверить: старше 30 дней",IF(COUNTIFS(#REF!,G713,#REF!,"Готово")=0,"Проверить источник","Готово"))))))))))</f>
        <v/>
      </c>
    </row>
    <row r="714" spans="1:21" ht="25.5" customHeight="1">
      <c r="A714" s="21"/>
      <c r="B714" s="22"/>
      <c r="C714" s="21"/>
      <c r="D714" s="23"/>
      <c r="E714" s="22"/>
      <c r="F714" s="22"/>
      <c r="G714" s="23"/>
      <c r="H714" s="24"/>
      <c r="I714" s="24"/>
      <c r="J714" s="23"/>
      <c r="K714" s="23"/>
      <c r="L714" s="23"/>
      <c r="M714" s="23"/>
      <c r="N714" s="23"/>
      <c r="O714" s="23"/>
      <c r="P714" s="23"/>
      <c r="Q714" s="25"/>
      <c r="R714" s="23"/>
      <c r="S714" s="23"/>
      <c r="T714" s="23"/>
      <c r="U714" s="20" t="str">
        <f ca="1">IF(COUNTA(A714:T714)=0,"",IF(OR(A714="",B714="",C714="",E714="",G714="",H714="",J714="",K714="",L714="",M714=""),"Ошибка: заполните обязательные поля",IF(AND(LEFT(H714,7)&lt;&gt;"http://",LEFT(H714,8)&lt;&gt;"https://"),"Ошибка: некорректная ссылка",IF(COUNTIF($H$6:$H$1005,H714)&gt;1,"Ошибка: дубликат URL",IF(E714&gt;TODAY(),"Ошибка: дата публикации в будущем",IF(S714="Да","Ошибка: подтверждённый дубль",IF(S714="","Проверить: отметьте дубль",IF(S714="Нужно проверить","Проверить возможный дубль",IF(TODAY()-E714&gt;30,"Проверить: старше 30 дней",IF(COUNTIFS(#REF!,G714,#REF!,"Готово")=0,"Проверить источник","Готово"))))))))))</f>
        <v/>
      </c>
    </row>
    <row r="715" spans="1:21" ht="25.5" customHeight="1">
      <c r="A715" s="21"/>
      <c r="B715" s="22"/>
      <c r="C715" s="21"/>
      <c r="D715" s="23"/>
      <c r="E715" s="22"/>
      <c r="F715" s="22"/>
      <c r="G715" s="23"/>
      <c r="H715" s="24"/>
      <c r="I715" s="24"/>
      <c r="J715" s="23"/>
      <c r="K715" s="23"/>
      <c r="L715" s="23"/>
      <c r="M715" s="23"/>
      <c r="N715" s="23"/>
      <c r="O715" s="23"/>
      <c r="P715" s="23"/>
      <c r="Q715" s="25"/>
      <c r="R715" s="23"/>
      <c r="S715" s="23"/>
      <c r="T715" s="23"/>
      <c r="U715" s="20" t="str">
        <f ca="1">IF(COUNTA(A715:T715)=0,"",IF(OR(A715="",B715="",C715="",E715="",G715="",H715="",J715="",K715="",L715="",M715=""),"Ошибка: заполните обязательные поля",IF(AND(LEFT(H715,7)&lt;&gt;"http://",LEFT(H715,8)&lt;&gt;"https://"),"Ошибка: некорректная ссылка",IF(COUNTIF($H$6:$H$1005,H715)&gt;1,"Ошибка: дубликат URL",IF(E715&gt;TODAY(),"Ошибка: дата публикации в будущем",IF(S715="Да","Ошибка: подтверждённый дубль",IF(S715="","Проверить: отметьте дубль",IF(S715="Нужно проверить","Проверить возможный дубль",IF(TODAY()-E715&gt;30,"Проверить: старше 30 дней",IF(COUNTIFS(#REF!,G715,#REF!,"Готово")=0,"Проверить источник","Готово"))))))))))</f>
        <v/>
      </c>
    </row>
    <row r="716" spans="1:21" ht="25.5" customHeight="1">
      <c r="A716" s="21"/>
      <c r="B716" s="22"/>
      <c r="C716" s="21"/>
      <c r="D716" s="23"/>
      <c r="E716" s="22"/>
      <c r="F716" s="22"/>
      <c r="G716" s="23"/>
      <c r="H716" s="24"/>
      <c r="I716" s="24"/>
      <c r="J716" s="23"/>
      <c r="K716" s="23"/>
      <c r="L716" s="23"/>
      <c r="M716" s="23"/>
      <c r="N716" s="23"/>
      <c r="O716" s="23"/>
      <c r="P716" s="23"/>
      <c r="Q716" s="25"/>
      <c r="R716" s="23"/>
      <c r="S716" s="23"/>
      <c r="T716" s="23"/>
      <c r="U716" s="20" t="str">
        <f ca="1">IF(COUNTA(A716:T716)=0,"",IF(OR(A716="",B716="",C716="",E716="",G716="",H716="",J716="",K716="",L716="",M716=""),"Ошибка: заполните обязательные поля",IF(AND(LEFT(H716,7)&lt;&gt;"http://",LEFT(H716,8)&lt;&gt;"https://"),"Ошибка: некорректная ссылка",IF(COUNTIF($H$6:$H$1005,H716)&gt;1,"Ошибка: дубликат URL",IF(E716&gt;TODAY(),"Ошибка: дата публикации в будущем",IF(S716="Да","Ошибка: подтверждённый дубль",IF(S716="","Проверить: отметьте дубль",IF(S716="Нужно проверить","Проверить возможный дубль",IF(TODAY()-E716&gt;30,"Проверить: старше 30 дней",IF(COUNTIFS(#REF!,G716,#REF!,"Готово")=0,"Проверить источник","Готово"))))))))))</f>
        <v/>
      </c>
    </row>
    <row r="717" spans="1:21" ht="25.5" customHeight="1">
      <c r="A717" s="21"/>
      <c r="B717" s="22"/>
      <c r="C717" s="21"/>
      <c r="D717" s="23"/>
      <c r="E717" s="22"/>
      <c r="F717" s="22"/>
      <c r="G717" s="23"/>
      <c r="H717" s="24"/>
      <c r="I717" s="24"/>
      <c r="J717" s="23"/>
      <c r="K717" s="23"/>
      <c r="L717" s="23"/>
      <c r="M717" s="23"/>
      <c r="N717" s="23"/>
      <c r="O717" s="23"/>
      <c r="P717" s="23"/>
      <c r="Q717" s="25"/>
      <c r="R717" s="23"/>
      <c r="S717" s="23"/>
      <c r="T717" s="23"/>
      <c r="U717" s="20" t="str">
        <f ca="1">IF(COUNTA(A717:T717)=0,"",IF(OR(A717="",B717="",C717="",E717="",G717="",H717="",J717="",K717="",L717="",M717=""),"Ошибка: заполните обязательные поля",IF(AND(LEFT(H717,7)&lt;&gt;"http://",LEFT(H717,8)&lt;&gt;"https://"),"Ошибка: некорректная ссылка",IF(COUNTIF($H$6:$H$1005,H717)&gt;1,"Ошибка: дубликат URL",IF(E717&gt;TODAY(),"Ошибка: дата публикации в будущем",IF(S717="Да","Ошибка: подтверждённый дубль",IF(S717="","Проверить: отметьте дубль",IF(S717="Нужно проверить","Проверить возможный дубль",IF(TODAY()-E717&gt;30,"Проверить: старше 30 дней",IF(COUNTIFS(#REF!,G717,#REF!,"Готово")=0,"Проверить источник","Готово"))))))))))</f>
        <v/>
      </c>
    </row>
    <row r="718" spans="1:21" ht="25.5" customHeight="1">
      <c r="A718" s="21"/>
      <c r="B718" s="22"/>
      <c r="C718" s="21"/>
      <c r="D718" s="23"/>
      <c r="E718" s="22"/>
      <c r="F718" s="22"/>
      <c r="G718" s="23"/>
      <c r="H718" s="24"/>
      <c r="I718" s="24"/>
      <c r="J718" s="23"/>
      <c r="K718" s="23"/>
      <c r="L718" s="23"/>
      <c r="M718" s="23"/>
      <c r="N718" s="23"/>
      <c r="O718" s="23"/>
      <c r="P718" s="23"/>
      <c r="Q718" s="25"/>
      <c r="R718" s="23"/>
      <c r="S718" s="23"/>
      <c r="T718" s="23"/>
      <c r="U718" s="20" t="str">
        <f ca="1">IF(COUNTA(A718:T718)=0,"",IF(OR(A718="",B718="",C718="",E718="",G718="",H718="",J718="",K718="",L718="",M718=""),"Ошибка: заполните обязательные поля",IF(AND(LEFT(H718,7)&lt;&gt;"http://",LEFT(H718,8)&lt;&gt;"https://"),"Ошибка: некорректная ссылка",IF(COUNTIF($H$6:$H$1005,H718)&gt;1,"Ошибка: дубликат URL",IF(E718&gt;TODAY(),"Ошибка: дата публикации в будущем",IF(S718="Да","Ошибка: подтверждённый дубль",IF(S718="","Проверить: отметьте дубль",IF(S718="Нужно проверить","Проверить возможный дубль",IF(TODAY()-E718&gt;30,"Проверить: старше 30 дней",IF(COUNTIFS(#REF!,G718,#REF!,"Готово")=0,"Проверить источник","Готово"))))))))))</f>
        <v/>
      </c>
    </row>
    <row r="719" spans="1:21" ht="25.5" customHeight="1">
      <c r="A719" s="21"/>
      <c r="B719" s="22"/>
      <c r="C719" s="21"/>
      <c r="D719" s="23"/>
      <c r="E719" s="22"/>
      <c r="F719" s="22"/>
      <c r="G719" s="23"/>
      <c r="H719" s="24"/>
      <c r="I719" s="24"/>
      <c r="J719" s="23"/>
      <c r="K719" s="23"/>
      <c r="L719" s="23"/>
      <c r="M719" s="23"/>
      <c r="N719" s="23"/>
      <c r="O719" s="23"/>
      <c r="P719" s="23"/>
      <c r="Q719" s="25"/>
      <c r="R719" s="23"/>
      <c r="S719" s="23"/>
      <c r="T719" s="23"/>
      <c r="U719" s="20" t="str">
        <f ca="1">IF(COUNTA(A719:T719)=0,"",IF(OR(A719="",B719="",C719="",E719="",G719="",H719="",J719="",K719="",L719="",M719=""),"Ошибка: заполните обязательные поля",IF(AND(LEFT(H719,7)&lt;&gt;"http://",LEFT(H719,8)&lt;&gt;"https://"),"Ошибка: некорректная ссылка",IF(COUNTIF($H$6:$H$1005,H719)&gt;1,"Ошибка: дубликат URL",IF(E719&gt;TODAY(),"Ошибка: дата публикации в будущем",IF(S719="Да","Ошибка: подтверждённый дубль",IF(S719="","Проверить: отметьте дубль",IF(S719="Нужно проверить","Проверить возможный дубль",IF(TODAY()-E719&gt;30,"Проверить: старше 30 дней",IF(COUNTIFS(#REF!,G719,#REF!,"Готово")=0,"Проверить источник","Готово"))))))))))</f>
        <v/>
      </c>
    </row>
    <row r="720" spans="1:21" ht="25.5" customHeight="1">
      <c r="A720" s="21"/>
      <c r="B720" s="22"/>
      <c r="C720" s="21"/>
      <c r="D720" s="23"/>
      <c r="E720" s="22"/>
      <c r="F720" s="22"/>
      <c r="G720" s="23"/>
      <c r="H720" s="24"/>
      <c r="I720" s="24"/>
      <c r="J720" s="23"/>
      <c r="K720" s="23"/>
      <c r="L720" s="23"/>
      <c r="M720" s="23"/>
      <c r="N720" s="23"/>
      <c r="O720" s="23"/>
      <c r="P720" s="23"/>
      <c r="Q720" s="25"/>
      <c r="R720" s="23"/>
      <c r="S720" s="23"/>
      <c r="T720" s="23"/>
      <c r="U720" s="20" t="str">
        <f ca="1">IF(COUNTA(A720:T720)=0,"",IF(OR(A720="",B720="",C720="",E720="",G720="",H720="",J720="",K720="",L720="",M720=""),"Ошибка: заполните обязательные поля",IF(AND(LEFT(H720,7)&lt;&gt;"http://",LEFT(H720,8)&lt;&gt;"https://"),"Ошибка: некорректная ссылка",IF(COUNTIF($H$6:$H$1005,H720)&gt;1,"Ошибка: дубликат URL",IF(E720&gt;TODAY(),"Ошибка: дата публикации в будущем",IF(S720="Да","Ошибка: подтверждённый дубль",IF(S720="","Проверить: отметьте дубль",IF(S720="Нужно проверить","Проверить возможный дубль",IF(TODAY()-E720&gt;30,"Проверить: старше 30 дней",IF(COUNTIFS(#REF!,G720,#REF!,"Готово")=0,"Проверить источник","Готово"))))))))))</f>
        <v/>
      </c>
    </row>
    <row r="721" spans="1:21" ht="25.5" customHeight="1">
      <c r="A721" s="21"/>
      <c r="B721" s="22"/>
      <c r="C721" s="21"/>
      <c r="D721" s="23"/>
      <c r="E721" s="22"/>
      <c r="F721" s="22"/>
      <c r="G721" s="23"/>
      <c r="H721" s="24"/>
      <c r="I721" s="24"/>
      <c r="J721" s="23"/>
      <c r="K721" s="23"/>
      <c r="L721" s="23"/>
      <c r="M721" s="23"/>
      <c r="N721" s="23"/>
      <c r="O721" s="23"/>
      <c r="P721" s="23"/>
      <c r="Q721" s="25"/>
      <c r="R721" s="23"/>
      <c r="S721" s="23"/>
      <c r="T721" s="23"/>
      <c r="U721" s="20" t="str">
        <f ca="1">IF(COUNTA(A721:T721)=0,"",IF(OR(A721="",B721="",C721="",E721="",G721="",H721="",J721="",K721="",L721="",M721=""),"Ошибка: заполните обязательные поля",IF(AND(LEFT(H721,7)&lt;&gt;"http://",LEFT(H721,8)&lt;&gt;"https://"),"Ошибка: некорректная ссылка",IF(COUNTIF($H$6:$H$1005,H721)&gt;1,"Ошибка: дубликат URL",IF(E721&gt;TODAY(),"Ошибка: дата публикации в будущем",IF(S721="Да","Ошибка: подтверждённый дубль",IF(S721="","Проверить: отметьте дубль",IF(S721="Нужно проверить","Проверить возможный дубль",IF(TODAY()-E721&gt;30,"Проверить: старше 30 дней",IF(COUNTIFS(#REF!,G721,#REF!,"Готово")=0,"Проверить источник","Готово"))))))))))</f>
        <v/>
      </c>
    </row>
    <row r="722" spans="1:21" ht="25.5" customHeight="1">
      <c r="A722" s="21"/>
      <c r="B722" s="22"/>
      <c r="C722" s="21"/>
      <c r="D722" s="23"/>
      <c r="E722" s="22"/>
      <c r="F722" s="22"/>
      <c r="G722" s="23"/>
      <c r="H722" s="24"/>
      <c r="I722" s="24"/>
      <c r="J722" s="23"/>
      <c r="K722" s="23"/>
      <c r="L722" s="23"/>
      <c r="M722" s="23"/>
      <c r="N722" s="23"/>
      <c r="O722" s="23"/>
      <c r="P722" s="23"/>
      <c r="Q722" s="25"/>
      <c r="R722" s="23"/>
      <c r="S722" s="23"/>
      <c r="T722" s="23"/>
      <c r="U722" s="20" t="str">
        <f ca="1">IF(COUNTA(A722:T722)=0,"",IF(OR(A722="",B722="",C722="",E722="",G722="",H722="",J722="",K722="",L722="",M722=""),"Ошибка: заполните обязательные поля",IF(AND(LEFT(H722,7)&lt;&gt;"http://",LEFT(H722,8)&lt;&gt;"https://"),"Ошибка: некорректная ссылка",IF(COUNTIF($H$6:$H$1005,H722)&gt;1,"Ошибка: дубликат URL",IF(E722&gt;TODAY(),"Ошибка: дата публикации в будущем",IF(S722="Да","Ошибка: подтверждённый дубль",IF(S722="","Проверить: отметьте дубль",IF(S722="Нужно проверить","Проверить возможный дубль",IF(TODAY()-E722&gt;30,"Проверить: старше 30 дней",IF(COUNTIFS(#REF!,G722,#REF!,"Готово")=0,"Проверить источник","Готово"))))))))))</f>
        <v/>
      </c>
    </row>
    <row r="723" spans="1:21" ht="25.5" customHeight="1">
      <c r="A723" s="21"/>
      <c r="B723" s="22"/>
      <c r="C723" s="21"/>
      <c r="D723" s="23"/>
      <c r="E723" s="22"/>
      <c r="F723" s="22"/>
      <c r="G723" s="23"/>
      <c r="H723" s="24"/>
      <c r="I723" s="24"/>
      <c r="J723" s="23"/>
      <c r="K723" s="23"/>
      <c r="L723" s="23"/>
      <c r="M723" s="23"/>
      <c r="N723" s="23"/>
      <c r="O723" s="23"/>
      <c r="P723" s="23"/>
      <c r="Q723" s="25"/>
      <c r="R723" s="23"/>
      <c r="S723" s="23"/>
      <c r="T723" s="23"/>
      <c r="U723" s="20" t="str">
        <f ca="1">IF(COUNTA(A723:T723)=0,"",IF(OR(A723="",B723="",C723="",E723="",G723="",H723="",J723="",K723="",L723="",M723=""),"Ошибка: заполните обязательные поля",IF(AND(LEFT(H723,7)&lt;&gt;"http://",LEFT(H723,8)&lt;&gt;"https://"),"Ошибка: некорректная ссылка",IF(COUNTIF($H$6:$H$1005,H723)&gt;1,"Ошибка: дубликат URL",IF(E723&gt;TODAY(),"Ошибка: дата публикации в будущем",IF(S723="Да","Ошибка: подтверждённый дубль",IF(S723="","Проверить: отметьте дубль",IF(S723="Нужно проверить","Проверить возможный дубль",IF(TODAY()-E723&gt;30,"Проверить: старше 30 дней",IF(COUNTIFS(#REF!,G723,#REF!,"Готово")=0,"Проверить источник","Готово"))))))))))</f>
        <v/>
      </c>
    </row>
    <row r="724" spans="1:21" ht="25.5" customHeight="1">
      <c r="A724" s="21"/>
      <c r="B724" s="22"/>
      <c r="C724" s="21"/>
      <c r="D724" s="23"/>
      <c r="E724" s="22"/>
      <c r="F724" s="22"/>
      <c r="G724" s="23"/>
      <c r="H724" s="24"/>
      <c r="I724" s="24"/>
      <c r="J724" s="23"/>
      <c r="K724" s="23"/>
      <c r="L724" s="23"/>
      <c r="M724" s="23"/>
      <c r="N724" s="23"/>
      <c r="O724" s="23"/>
      <c r="P724" s="23"/>
      <c r="Q724" s="25"/>
      <c r="R724" s="23"/>
      <c r="S724" s="23"/>
      <c r="T724" s="23"/>
      <c r="U724" s="20" t="str">
        <f ca="1">IF(COUNTA(A724:T724)=0,"",IF(OR(A724="",B724="",C724="",E724="",G724="",H724="",J724="",K724="",L724="",M724=""),"Ошибка: заполните обязательные поля",IF(AND(LEFT(H724,7)&lt;&gt;"http://",LEFT(H724,8)&lt;&gt;"https://"),"Ошибка: некорректная ссылка",IF(COUNTIF($H$6:$H$1005,H724)&gt;1,"Ошибка: дубликат URL",IF(E724&gt;TODAY(),"Ошибка: дата публикации в будущем",IF(S724="Да","Ошибка: подтверждённый дубль",IF(S724="","Проверить: отметьте дубль",IF(S724="Нужно проверить","Проверить возможный дубль",IF(TODAY()-E724&gt;30,"Проверить: старше 30 дней",IF(COUNTIFS(#REF!,G724,#REF!,"Готово")=0,"Проверить источник","Готово"))))))))))</f>
        <v/>
      </c>
    </row>
    <row r="725" spans="1:21" ht="25.5" customHeight="1">
      <c r="A725" s="21"/>
      <c r="B725" s="22"/>
      <c r="C725" s="21"/>
      <c r="D725" s="23"/>
      <c r="E725" s="22"/>
      <c r="F725" s="22"/>
      <c r="G725" s="23"/>
      <c r="H725" s="24"/>
      <c r="I725" s="24"/>
      <c r="J725" s="23"/>
      <c r="K725" s="23"/>
      <c r="L725" s="23"/>
      <c r="M725" s="23"/>
      <c r="N725" s="23"/>
      <c r="O725" s="23"/>
      <c r="P725" s="23"/>
      <c r="Q725" s="25"/>
      <c r="R725" s="23"/>
      <c r="S725" s="23"/>
      <c r="T725" s="23"/>
      <c r="U725" s="20" t="str">
        <f ca="1">IF(COUNTA(A725:T725)=0,"",IF(OR(A725="",B725="",C725="",E725="",G725="",H725="",J725="",K725="",L725="",M725=""),"Ошибка: заполните обязательные поля",IF(AND(LEFT(H725,7)&lt;&gt;"http://",LEFT(H725,8)&lt;&gt;"https://"),"Ошибка: некорректная ссылка",IF(COUNTIF($H$6:$H$1005,H725)&gt;1,"Ошибка: дубликат URL",IF(E725&gt;TODAY(),"Ошибка: дата публикации в будущем",IF(S725="Да","Ошибка: подтверждённый дубль",IF(S725="","Проверить: отметьте дубль",IF(S725="Нужно проверить","Проверить возможный дубль",IF(TODAY()-E725&gt;30,"Проверить: старше 30 дней",IF(COUNTIFS(#REF!,G725,#REF!,"Готово")=0,"Проверить источник","Готово"))))))))))</f>
        <v/>
      </c>
    </row>
    <row r="726" spans="1:21" ht="25.5" customHeight="1">
      <c r="A726" s="21"/>
      <c r="B726" s="22"/>
      <c r="C726" s="21"/>
      <c r="D726" s="23"/>
      <c r="E726" s="22"/>
      <c r="F726" s="22"/>
      <c r="G726" s="23"/>
      <c r="H726" s="24"/>
      <c r="I726" s="24"/>
      <c r="J726" s="23"/>
      <c r="K726" s="23"/>
      <c r="L726" s="23"/>
      <c r="M726" s="23"/>
      <c r="N726" s="23"/>
      <c r="O726" s="23"/>
      <c r="P726" s="23"/>
      <c r="Q726" s="25"/>
      <c r="R726" s="23"/>
      <c r="S726" s="23"/>
      <c r="T726" s="23"/>
      <c r="U726" s="20" t="str">
        <f ca="1">IF(COUNTA(A726:T726)=0,"",IF(OR(A726="",B726="",C726="",E726="",G726="",H726="",J726="",K726="",L726="",M726=""),"Ошибка: заполните обязательные поля",IF(AND(LEFT(H726,7)&lt;&gt;"http://",LEFT(H726,8)&lt;&gt;"https://"),"Ошибка: некорректная ссылка",IF(COUNTIF($H$6:$H$1005,H726)&gt;1,"Ошибка: дубликат URL",IF(E726&gt;TODAY(),"Ошибка: дата публикации в будущем",IF(S726="Да","Ошибка: подтверждённый дубль",IF(S726="","Проверить: отметьте дубль",IF(S726="Нужно проверить","Проверить возможный дубль",IF(TODAY()-E726&gt;30,"Проверить: старше 30 дней",IF(COUNTIFS(#REF!,G726,#REF!,"Готово")=0,"Проверить источник","Готово"))))))))))</f>
        <v/>
      </c>
    </row>
    <row r="727" spans="1:21" ht="25.5" customHeight="1">
      <c r="A727" s="21"/>
      <c r="B727" s="22"/>
      <c r="C727" s="21"/>
      <c r="D727" s="23"/>
      <c r="E727" s="22"/>
      <c r="F727" s="22"/>
      <c r="G727" s="23"/>
      <c r="H727" s="24"/>
      <c r="I727" s="24"/>
      <c r="J727" s="23"/>
      <c r="K727" s="23"/>
      <c r="L727" s="23"/>
      <c r="M727" s="23"/>
      <c r="N727" s="23"/>
      <c r="O727" s="23"/>
      <c r="P727" s="23"/>
      <c r="Q727" s="25"/>
      <c r="R727" s="23"/>
      <c r="S727" s="23"/>
      <c r="T727" s="23"/>
      <c r="U727" s="20" t="str">
        <f ca="1">IF(COUNTA(A727:T727)=0,"",IF(OR(A727="",B727="",C727="",E727="",G727="",H727="",J727="",K727="",L727="",M727=""),"Ошибка: заполните обязательные поля",IF(AND(LEFT(H727,7)&lt;&gt;"http://",LEFT(H727,8)&lt;&gt;"https://"),"Ошибка: некорректная ссылка",IF(COUNTIF($H$6:$H$1005,H727)&gt;1,"Ошибка: дубликат URL",IF(E727&gt;TODAY(),"Ошибка: дата публикации в будущем",IF(S727="Да","Ошибка: подтверждённый дубль",IF(S727="","Проверить: отметьте дубль",IF(S727="Нужно проверить","Проверить возможный дубль",IF(TODAY()-E727&gt;30,"Проверить: старше 30 дней",IF(COUNTIFS(#REF!,G727,#REF!,"Готово")=0,"Проверить источник","Готово"))))))))))</f>
        <v/>
      </c>
    </row>
    <row r="728" spans="1:21" ht="25.5" customHeight="1">
      <c r="A728" s="21"/>
      <c r="B728" s="22"/>
      <c r="C728" s="21"/>
      <c r="D728" s="23"/>
      <c r="E728" s="22"/>
      <c r="F728" s="22"/>
      <c r="G728" s="23"/>
      <c r="H728" s="24"/>
      <c r="I728" s="24"/>
      <c r="J728" s="23"/>
      <c r="K728" s="23"/>
      <c r="L728" s="23"/>
      <c r="M728" s="23"/>
      <c r="N728" s="23"/>
      <c r="O728" s="23"/>
      <c r="P728" s="23"/>
      <c r="Q728" s="25"/>
      <c r="R728" s="23"/>
      <c r="S728" s="23"/>
      <c r="T728" s="23"/>
      <c r="U728" s="20" t="str">
        <f ca="1">IF(COUNTA(A728:T728)=0,"",IF(OR(A728="",B728="",C728="",E728="",G728="",H728="",J728="",K728="",L728="",M728=""),"Ошибка: заполните обязательные поля",IF(AND(LEFT(H728,7)&lt;&gt;"http://",LEFT(H728,8)&lt;&gt;"https://"),"Ошибка: некорректная ссылка",IF(COUNTIF($H$6:$H$1005,H728)&gt;1,"Ошибка: дубликат URL",IF(E728&gt;TODAY(),"Ошибка: дата публикации в будущем",IF(S728="Да","Ошибка: подтверждённый дубль",IF(S728="","Проверить: отметьте дубль",IF(S728="Нужно проверить","Проверить возможный дубль",IF(TODAY()-E728&gt;30,"Проверить: старше 30 дней",IF(COUNTIFS(#REF!,G728,#REF!,"Готово")=0,"Проверить источник","Готово"))))))))))</f>
        <v/>
      </c>
    </row>
    <row r="729" spans="1:21" ht="25.5" customHeight="1">
      <c r="A729" s="21"/>
      <c r="B729" s="22"/>
      <c r="C729" s="21"/>
      <c r="D729" s="23"/>
      <c r="E729" s="22"/>
      <c r="F729" s="22"/>
      <c r="G729" s="23"/>
      <c r="H729" s="24"/>
      <c r="I729" s="24"/>
      <c r="J729" s="23"/>
      <c r="K729" s="23"/>
      <c r="L729" s="23"/>
      <c r="M729" s="23"/>
      <c r="N729" s="23"/>
      <c r="O729" s="23"/>
      <c r="P729" s="23"/>
      <c r="Q729" s="25"/>
      <c r="R729" s="23"/>
      <c r="S729" s="23"/>
      <c r="T729" s="23"/>
      <c r="U729" s="20" t="str">
        <f ca="1">IF(COUNTA(A729:T729)=0,"",IF(OR(A729="",B729="",C729="",E729="",G729="",H729="",J729="",K729="",L729="",M729=""),"Ошибка: заполните обязательные поля",IF(AND(LEFT(H729,7)&lt;&gt;"http://",LEFT(H729,8)&lt;&gt;"https://"),"Ошибка: некорректная ссылка",IF(COUNTIF($H$6:$H$1005,H729)&gt;1,"Ошибка: дубликат URL",IF(E729&gt;TODAY(),"Ошибка: дата публикации в будущем",IF(S729="Да","Ошибка: подтверждённый дубль",IF(S729="","Проверить: отметьте дубль",IF(S729="Нужно проверить","Проверить возможный дубль",IF(TODAY()-E729&gt;30,"Проверить: старше 30 дней",IF(COUNTIFS(#REF!,G729,#REF!,"Готово")=0,"Проверить источник","Готово"))))))))))</f>
        <v/>
      </c>
    </row>
    <row r="730" spans="1:21" ht="25.5" customHeight="1">
      <c r="A730" s="21"/>
      <c r="B730" s="22"/>
      <c r="C730" s="21"/>
      <c r="D730" s="23"/>
      <c r="E730" s="22"/>
      <c r="F730" s="22"/>
      <c r="G730" s="23"/>
      <c r="H730" s="24"/>
      <c r="I730" s="24"/>
      <c r="J730" s="23"/>
      <c r="K730" s="23"/>
      <c r="L730" s="23"/>
      <c r="M730" s="23"/>
      <c r="N730" s="23"/>
      <c r="O730" s="23"/>
      <c r="P730" s="23"/>
      <c r="Q730" s="25"/>
      <c r="R730" s="23"/>
      <c r="S730" s="23"/>
      <c r="T730" s="23"/>
      <c r="U730" s="20" t="str">
        <f ca="1">IF(COUNTA(A730:T730)=0,"",IF(OR(A730="",B730="",C730="",E730="",G730="",H730="",J730="",K730="",L730="",M730=""),"Ошибка: заполните обязательные поля",IF(AND(LEFT(H730,7)&lt;&gt;"http://",LEFT(H730,8)&lt;&gt;"https://"),"Ошибка: некорректная ссылка",IF(COUNTIF($H$6:$H$1005,H730)&gt;1,"Ошибка: дубликат URL",IF(E730&gt;TODAY(),"Ошибка: дата публикации в будущем",IF(S730="Да","Ошибка: подтверждённый дубль",IF(S730="","Проверить: отметьте дубль",IF(S730="Нужно проверить","Проверить возможный дубль",IF(TODAY()-E730&gt;30,"Проверить: старше 30 дней",IF(COUNTIFS(#REF!,G730,#REF!,"Готово")=0,"Проверить источник","Готово"))))))))))</f>
        <v/>
      </c>
    </row>
    <row r="731" spans="1:21" ht="25.5" customHeight="1">
      <c r="A731" s="21"/>
      <c r="B731" s="22"/>
      <c r="C731" s="21"/>
      <c r="D731" s="23"/>
      <c r="E731" s="22"/>
      <c r="F731" s="22"/>
      <c r="G731" s="23"/>
      <c r="H731" s="24"/>
      <c r="I731" s="24"/>
      <c r="J731" s="23"/>
      <c r="K731" s="23"/>
      <c r="L731" s="23"/>
      <c r="M731" s="23"/>
      <c r="N731" s="23"/>
      <c r="O731" s="23"/>
      <c r="P731" s="23"/>
      <c r="Q731" s="25"/>
      <c r="R731" s="23"/>
      <c r="S731" s="23"/>
      <c r="T731" s="23"/>
      <c r="U731" s="20" t="str">
        <f ca="1">IF(COUNTA(A731:T731)=0,"",IF(OR(A731="",B731="",C731="",E731="",G731="",H731="",J731="",K731="",L731="",M731=""),"Ошибка: заполните обязательные поля",IF(AND(LEFT(H731,7)&lt;&gt;"http://",LEFT(H731,8)&lt;&gt;"https://"),"Ошибка: некорректная ссылка",IF(COUNTIF($H$6:$H$1005,H731)&gt;1,"Ошибка: дубликат URL",IF(E731&gt;TODAY(),"Ошибка: дата публикации в будущем",IF(S731="Да","Ошибка: подтверждённый дубль",IF(S731="","Проверить: отметьте дубль",IF(S731="Нужно проверить","Проверить возможный дубль",IF(TODAY()-E731&gt;30,"Проверить: старше 30 дней",IF(COUNTIFS(#REF!,G731,#REF!,"Готово")=0,"Проверить источник","Готово"))))))))))</f>
        <v/>
      </c>
    </row>
    <row r="732" spans="1:21" ht="25.5" customHeight="1">
      <c r="A732" s="21"/>
      <c r="B732" s="22"/>
      <c r="C732" s="21"/>
      <c r="D732" s="23"/>
      <c r="E732" s="22"/>
      <c r="F732" s="22"/>
      <c r="G732" s="23"/>
      <c r="H732" s="24"/>
      <c r="I732" s="24"/>
      <c r="J732" s="23"/>
      <c r="K732" s="23"/>
      <c r="L732" s="23"/>
      <c r="M732" s="23"/>
      <c r="N732" s="23"/>
      <c r="O732" s="23"/>
      <c r="P732" s="23"/>
      <c r="Q732" s="25"/>
      <c r="R732" s="23"/>
      <c r="S732" s="23"/>
      <c r="T732" s="23"/>
      <c r="U732" s="20" t="str">
        <f ca="1">IF(COUNTA(A732:T732)=0,"",IF(OR(A732="",B732="",C732="",E732="",G732="",H732="",J732="",K732="",L732="",M732=""),"Ошибка: заполните обязательные поля",IF(AND(LEFT(H732,7)&lt;&gt;"http://",LEFT(H732,8)&lt;&gt;"https://"),"Ошибка: некорректная ссылка",IF(COUNTIF($H$6:$H$1005,H732)&gt;1,"Ошибка: дубликат URL",IF(E732&gt;TODAY(),"Ошибка: дата публикации в будущем",IF(S732="Да","Ошибка: подтверждённый дубль",IF(S732="","Проверить: отметьте дубль",IF(S732="Нужно проверить","Проверить возможный дубль",IF(TODAY()-E732&gt;30,"Проверить: старше 30 дней",IF(COUNTIFS(#REF!,G732,#REF!,"Готово")=0,"Проверить источник","Готово"))))))))))</f>
        <v/>
      </c>
    </row>
    <row r="733" spans="1:21" ht="25.5" customHeight="1">
      <c r="A733" s="21"/>
      <c r="B733" s="22"/>
      <c r="C733" s="21"/>
      <c r="D733" s="23"/>
      <c r="E733" s="22"/>
      <c r="F733" s="22"/>
      <c r="G733" s="23"/>
      <c r="H733" s="24"/>
      <c r="I733" s="24"/>
      <c r="J733" s="23"/>
      <c r="K733" s="23"/>
      <c r="L733" s="23"/>
      <c r="M733" s="23"/>
      <c r="N733" s="23"/>
      <c r="O733" s="23"/>
      <c r="P733" s="23"/>
      <c r="Q733" s="25"/>
      <c r="R733" s="23"/>
      <c r="S733" s="23"/>
      <c r="T733" s="23"/>
      <c r="U733" s="20" t="str">
        <f ca="1">IF(COUNTA(A733:T733)=0,"",IF(OR(A733="",B733="",C733="",E733="",G733="",H733="",J733="",K733="",L733="",M733=""),"Ошибка: заполните обязательные поля",IF(AND(LEFT(H733,7)&lt;&gt;"http://",LEFT(H733,8)&lt;&gt;"https://"),"Ошибка: некорректная ссылка",IF(COUNTIF($H$6:$H$1005,H733)&gt;1,"Ошибка: дубликат URL",IF(E733&gt;TODAY(),"Ошибка: дата публикации в будущем",IF(S733="Да","Ошибка: подтверждённый дубль",IF(S733="","Проверить: отметьте дубль",IF(S733="Нужно проверить","Проверить возможный дубль",IF(TODAY()-E733&gt;30,"Проверить: старше 30 дней",IF(COUNTIFS(#REF!,G733,#REF!,"Готово")=0,"Проверить источник","Готово"))))))))))</f>
        <v/>
      </c>
    </row>
    <row r="734" spans="1:21" ht="25.5" customHeight="1">
      <c r="A734" s="21"/>
      <c r="B734" s="22"/>
      <c r="C734" s="21"/>
      <c r="D734" s="23"/>
      <c r="E734" s="22"/>
      <c r="F734" s="22"/>
      <c r="G734" s="23"/>
      <c r="H734" s="24"/>
      <c r="I734" s="24"/>
      <c r="J734" s="23"/>
      <c r="K734" s="23"/>
      <c r="L734" s="23"/>
      <c r="M734" s="23"/>
      <c r="N734" s="23"/>
      <c r="O734" s="23"/>
      <c r="P734" s="23"/>
      <c r="Q734" s="25"/>
      <c r="R734" s="23"/>
      <c r="S734" s="23"/>
      <c r="T734" s="23"/>
      <c r="U734" s="20" t="str">
        <f ca="1">IF(COUNTA(A734:T734)=0,"",IF(OR(A734="",B734="",C734="",E734="",G734="",H734="",J734="",K734="",L734="",M734=""),"Ошибка: заполните обязательные поля",IF(AND(LEFT(H734,7)&lt;&gt;"http://",LEFT(H734,8)&lt;&gt;"https://"),"Ошибка: некорректная ссылка",IF(COUNTIF($H$6:$H$1005,H734)&gt;1,"Ошибка: дубликат URL",IF(E734&gt;TODAY(),"Ошибка: дата публикации в будущем",IF(S734="Да","Ошибка: подтверждённый дубль",IF(S734="","Проверить: отметьте дубль",IF(S734="Нужно проверить","Проверить возможный дубль",IF(TODAY()-E734&gt;30,"Проверить: старше 30 дней",IF(COUNTIFS(#REF!,G734,#REF!,"Готово")=0,"Проверить источник","Готово"))))))))))</f>
        <v/>
      </c>
    </row>
    <row r="735" spans="1:21" ht="25.5" customHeight="1">
      <c r="A735" s="21"/>
      <c r="B735" s="22"/>
      <c r="C735" s="21"/>
      <c r="D735" s="23"/>
      <c r="E735" s="22"/>
      <c r="F735" s="22"/>
      <c r="G735" s="23"/>
      <c r="H735" s="24"/>
      <c r="I735" s="24"/>
      <c r="J735" s="23"/>
      <c r="K735" s="23"/>
      <c r="L735" s="23"/>
      <c r="M735" s="23"/>
      <c r="N735" s="23"/>
      <c r="O735" s="23"/>
      <c r="P735" s="23"/>
      <c r="Q735" s="25"/>
      <c r="R735" s="23"/>
      <c r="S735" s="23"/>
      <c r="T735" s="23"/>
      <c r="U735" s="20" t="str">
        <f ca="1">IF(COUNTA(A735:T735)=0,"",IF(OR(A735="",B735="",C735="",E735="",G735="",H735="",J735="",K735="",L735="",M735=""),"Ошибка: заполните обязательные поля",IF(AND(LEFT(H735,7)&lt;&gt;"http://",LEFT(H735,8)&lt;&gt;"https://"),"Ошибка: некорректная ссылка",IF(COUNTIF($H$6:$H$1005,H735)&gt;1,"Ошибка: дубликат URL",IF(E735&gt;TODAY(),"Ошибка: дата публикации в будущем",IF(S735="Да","Ошибка: подтверждённый дубль",IF(S735="","Проверить: отметьте дубль",IF(S735="Нужно проверить","Проверить возможный дубль",IF(TODAY()-E735&gt;30,"Проверить: старше 30 дней",IF(COUNTIFS(#REF!,G735,#REF!,"Готово")=0,"Проверить источник","Готово"))))))))))</f>
        <v/>
      </c>
    </row>
    <row r="736" spans="1:21" ht="25.5" customHeight="1">
      <c r="A736" s="21"/>
      <c r="B736" s="22"/>
      <c r="C736" s="21"/>
      <c r="D736" s="23"/>
      <c r="E736" s="22"/>
      <c r="F736" s="22"/>
      <c r="G736" s="23"/>
      <c r="H736" s="24"/>
      <c r="I736" s="24"/>
      <c r="J736" s="23"/>
      <c r="K736" s="23"/>
      <c r="L736" s="23"/>
      <c r="M736" s="23"/>
      <c r="N736" s="23"/>
      <c r="O736" s="23"/>
      <c r="P736" s="23"/>
      <c r="Q736" s="25"/>
      <c r="R736" s="23"/>
      <c r="S736" s="23"/>
      <c r="T736" s="23"/>
      <c r="U736" s="20" t="str">
        <f ca="1">IF(COUNTA(A736:T736)=0,"",IF(OR(A736="",B736="",C736="",E736="",G736="",H736="",J736="",K736="",L736="",M736=""),"Ошибка: заполните обязательные поля",IF(AND(LEFT(H736,7)&lt;&gt;"http://",LEFT(H736,8)&lt;&gt;"https://"),"Ошибка: некорректная ссылка",IF(COUNTIF($H$6:$H$1005,H736)&gt;1,"Ошибка: дубликат URL",IF(E736&gt;TODAY(),"Ошибка: дата публикации в будущем",IF(S736="Да","Ошибка: подтверждённый дубль",IF(S736="","Проверить: отметьте дубль",IF(S736="Нужно проверить","Проверить возможный дубль",IF(TODAY()-E736&gt;30,"Проверить: старше 30 дней",IF(COUNTIFS(#REF!,G736,#REF!,"Готово")=0,"Проверить источник","Готово"))))))))))</f>
        <v/>
      </c>
    </row>
    <row r="737" spans="1:21" ht="25.5" customHeight="1">
      <c r="A737" s="21"/>
      <c r="B737" s="22"/>
      <c r="C737" s="21"/>
      <c r="D737" s="23"/>
      <c r="E737" s="22"/>
      <c r="F737" s="22"/>
      <c r="G737" s="23"/>
      <c r="H737" s="24"/>
      <c r="I737" s="24"/>
      <c r="J737" s="23"/>
      <c r="K737" s="23"/>
      <c r="L737" s="23"/>
      <c r="M737" s="23"/>
      <c r="N737" s="23"/>
      <c r="O737" s="23"/>
      <c r="P737" s="23"/>
      <c r="Q737" s="25"/>
      <c r="R737" s="23"/>
      <c r="S737" s="23"/>
      <c r="T737" s="23"/>
      <c r="U737" s="20" t="str">
        <f ca="1">IF(COUNTA(A737:T737)=0,"",IF(OR(A737="",B737="",C737="",E737="",G737="",H737="",J737="",K737="",L737="",M737=""),"Ошибка: заполните обязательные поля",IF(AND(LEFT(H737,7)&lt;&gt;"http://",LEFT(H737,8)&lt;&gt;"https://"),"Ошибка: некорректная ссылка",IF(COUNTIF($H$6:$H$1005,H737)&gt;1,"Ошибка: дубликат URL",IF(E737&gt;TODAY(),"Ошибка: дата публикации в будущем",IF(S737="Да","Ошибка: подтверждённый дубль",IF(S737="","Проверить: отметьте дубль",IF(S737="Нужно проверить","Проверить возможный дубль",IF(TODAY()-E737&gt;30,"Проверить: старше 30 дней",IF(COUNTIFS(#REF!,G737,#REF!,"Готово")=0,"Проверить источник","Готово"))))))))))</f>
        <v/>
      </c>
    </row>
    <row r="738" spans="1:21" ht="25.5" customHeight="1">
      <c r="A738" s="21"/>
      <c r="B738" s="22"/>
      <c r="C738" s="21"/>
      <c r="D738" s="23"/>
      <c r="E738" s="22"/>
      <c r="F738" s="22"/>
      <c r="G738" s="23"/>
      <c r="H738" s="24"/>
      <c r="I738" s="24"/>
      <c r="J738" s="23"/>
      <c r="K738" s="23"/>
      <c r="L738" s="23"/>
      <c r="M738" s="23"/>
      <c r="N738" s="23"/>
      <c r="O738" s="23"/>
      <c r="P738" s="23"/>
      <c r="Q738" s="25"/>
      <c r="R738" s="23"/>
      <c r="S738" s="23"/>
      <c r="T738" s="23"/>
      <c r="U738" s="20" t="str">
        <f ca="1">IF(COUNTA(A738:T738)=0,"",IF(OR(A738="",B738="",C738="",E738="",G738="",H738="",J738="",K738="",L738="",M738=""),"Ошибка: заполните обязательные поля",IF(AND(LEFT(H738,7)&lt;&gt;"http://",LEFT(H738,8)&lt;&gt;"https://"),"Ошибка: некорректная ссылка",IF(COUNTIF($H$6:$H$1005,H738)&gt;1,"Ошибка: дубликат URL",IF(E738&gt;TODAY(),"Ошибка: дата публикации в будущем",IF(S738="Да","Ошибка: подтверждённый дубль",IF(S738="","Проверить: отметьте дубль",IF(S738="Нужно проверить","Проверить возможный дубль",IF(TODAY()-E738&gt;30,"Проверить: старше 30 дней",IF(COUNTIFS(#REF!,G738,#REF!,"Готово")=0,"Проверить источник","Готово"))))))))))</f>
        <v/>
      </c>
    </row>
    <row r="739" spans="1:21" ht="25.5" customHeight="1">
      <c r="A739" s="21"/>
      <c r="B739" s="22"/>
      <c r="C739" s="21"/>
      <c r="D739" s="23"/>
      <c r="E739" s="22"/>
      <c r="F739" s="22"/>
      <c r="G739" s="23"/>
      <c r="H739" s="24"/>
      <c r="I739" s="24"/>
      <c r="J739" s="23"/>
      <c r="K739" s="23"/>
      <c r="L739" s="23"/>
      <c r="M739" s="23"/>
      <c r="N739" s="23"/>
      <c r="O739" s="23"/>
      <c r="P739" s="23"/>
      <c r="Q739" s="25"/>
      <c r="R739" s="23"/>
      <c r="S739" s="23"/>
      <c r="T739" s="23"/>
      <c r="U739" s="20" t="str">
        <f ca="1">IF(COUNTA(A739:T739)=0,"",IF(OR(A739="",B739="",C739="",E739="",G739="",H739="",J739="",K739="",L739="",M739=""),"Ошибка: заполните обязательные поля",IF(AND(LEFT(H739,7)&lt;&gt;"http://",LEFT(H739,8)&lt;&gt;"https://"),"Ошибка: некорректная ссылка",IF(COUNTIF($H$6:$H$1005,H739)&gt;1,"Ошибка: дубликат URL",IF(E739&gt;TODAY(),"Ошибка: дата публикации в будущем",IF(S739="Да","Ошибка: подтверждённый дубль",IF(S739="","Проверить: отметьте дубль",IF(S739="Нужно проверить","Проверить возможный дубль",IF(TODAY()-E739&gt;30,"Проверить: старше 30 дней",IF(COUNTIFS(#REF!,G739,#REF!,"Готово")=0,"Проверить источник","Готово"))))))))))</f>
        <v/>
      </c>
    </row>
    <row r="740" spans="1:21" ht="25.5" customHeight="1">
      <c r="A740" s="21"/>
      <c r="B740" s="22"/>
      <c r="C740" s="21"/>
      <c r="D740" s="23"/>
      <c r="E740" s="22"/>
      <c r="F740" s="22"/>
      <c r="G740" s="23"/>
      <c r="H740" s="24"/>
      <c r="I740" s="24"/>
      <c r="J740" s="23"/>
      <c r="K740" s="23"/>
      <c r="L740" s="23"/>
      <c r="M740" s="23"/>
      <c r="N740" s="23"/>
      <c r="O740" s="23"/>
      <c r="P740" s="23"/>
      <c r="Q740" s="25"/>
      <c r="R740" s="23"/>
      <c r="S740" s="23"/>
      <c r="T740" s="23"/>
      <c r="U740" s="20" t="str">
        <f ca="1">IF(COUNTA(A740:T740)=0,"",IF(OR(A740="",B740="",C740="",E740="",G740="",H740="",J740="",K740="",L740="",M740=""),"Ошибка: заполните обязательные поля",IF(AND(LEFT(H740,7)&lt;&gt;"http://",LEFT(H740,8)&lt;&gt;"https://"),"Ошибка: некорректная ссылка",IF(COUNTIF($H$6:$H$1005,H740)&gt;1,"Ошибка: дубликат URL",IF(E740&gt;TODAY(),"Ошибка: дата публикации в будущем",IF(S740="Да","Ошибка: подтверждённый дубль",IF(S740="","Проверить: отметьте дубль",IF(S740="Нужно проверить","Проверить возможный дубль",IF(TODAY()-E740&gt;30,"Проверить: старше 30 дней",IF(COUNTIFS(#REF!,G740,#REF!,"Готово")=0,"Проверить источник","Готово"))))))))))</f>
        <v/>
      </c>
    </row>
    <row r="741" spans="1:21" ht="25.5" customHeight="1">
      <c r="A741" s="21"/>
      <c r="B741" s="22"/>
      <c r="C741" s="21"/>
      <c r="D741" s="23"/>
      <c r="E741" s="22"/>
      <c r="F741" s="22"/>
      <c r="G741" s="23"/>
      <c r="H741" s="24"/>
      <c r="I741" s="24"/>
      <c r="J741" s="23"/>
      <c r="K741" s="23"/>
      <c r="L741" s="23"/>
      <c r="M741" s="23"/>
      <c r="N741" s="23"/>
      <c r="O741" s="23"/>
      <c r="P741" s="23"/>
      <c r="Q741" s="25"/>
      <c r="R741" s="23"/>
      <c r="S741" s="23"/>
      <c r="T741" s="23"/>
      <c r="U741" s="20" t="str">
        <f ca="1">IF(COUNTA(A741:T741)=0,"",IF(OR(A741="",B741="",C741="",E741="",G741="",H741="",J741="",K741="",L741="",M741=""),"Ошибка: заполните обязательные поля",IF(AND(LEFT(H741,7)&lt;&gt;"http://",LEFT(H741,8)&lt;&gt;"https://"),"Ошибка: некорректная ссылка",IF(COUNTIF($H$6:$H$1005,H741)&gt;1,"Ошибка: дубликат URL",IF(E741&gt;TODAY(),"Ошибка: дата публикации в будущем",IF(S741="Да","Ошибка: подтверждённый дубль",IF(S741="","Проверить: отметьте дубль",IF(S741="Нужно проверить","Проверить возможный дубль",IF(TODAY()-E741&gt;30,"Проверить: старше 30 дней",IF(COUNTIFS(#REF!,G741,#REF!,"Готово")=0,"Проверить источник","Готово"))))))))))</f>
        <v/>
      </c>
    </row>
    <row r="742" spans="1:21" ht="25.5" customHeight="1">
      <c r="A742" s="21"/>
      <c r="B742" s="22"/>
      <c r="C742" s="21"/>
      <c r="D742" s="23"/>
      <c r="E742" s="22"/>
      <c r="F742" s="22"/>
      <c r="G742" s="23"/>
      <c r="H742" s="24"/>
      <c r="I742" s="24"/>
      <c r="J742" s="23"/>
      <c r="K742" s="23"/>
      <c r="L742" s="23"/>
      <c r="M742" s="23"/>
      <c r="N742" s="23"/>
      <c r="O742" s="23"/>
      <c r="P742" s="23"/>
      <c r="Q742" s="25"/>
      <c r="R742" s="23"/>
      <c r="S742" s="23"/>
      <c r="T742" s="23"/>
      <c r="U742" s="20" t="str">
        <f ca="1">IF(COUNTA(A742:T742)=0,"",IF(OR(A742="",B742="",C742="",E742="",G742="",H742="",J742="",K742="",L742="",M742=""),"Ошибка: заполните обязательные поля",IF(AND(LEFT(H742,7)&lt;&gt;"http://",LEFT(H742,8)&lt;&gt;"https://"),"Ошибка: некорректная ссылка",IF(COUNTIF($H$6:$H$1005,H742)&gt;1,"Ошибка: дубликат URL",IF(E742&gt;TODAY(),"Ошибка: дата публикации в будущем",IF(S742="Да","Ошибка: подтверждённый дубль",IF(S742="","Проверить: отметьте дубль",IF(S742="Нужно проверить","Проверить возможный дубль",IF(TODAY()-E742&gt;30,"Проверить: старше 30 дней",IF(COUNTIFS(#REF!,G742,#REF!,"Готово")=0,"Проверить источник","Готово"))))))))))</f>
        <v/>
      </c>
    </row>
    <row r="743" spans="1:21" ht="25.5" customHeight="1">
      <c r="A743" s="21"/>
      <c r="B743" s="22"/>
      <c r="C743" s="21"/>
      <c r="D743" s="23"/>
      <c r="E743" s="22"/>
      <c r="F743" s="22"/>
      <c r="G743" s="23"/>
      <c r="H743" s="24"/>
      <c r="I743" s="24"/>
      <c r="J743" s="23"/>
      <c r="K743" s="23"/>
      <c r="L743" s="23"/>
      <c r="M743" s="23"/>
      <c r="N743" s="23"/>
      <c r="O743" s="23"/>
      <c r="P743" s="23"/>
      <c r="Q743" s="25"/>
      <c r="R743" s="23"/>
      <c r="S743" s="23"/>
      <c r="T743" s="23"/>
      <c r="U743" s="20" t="str">
        <f ca="1">IF(COUNTA(A743:T743)=0,"",IF(OR(A743="",B743="",C743="",E743="",G743="",H743="",J743="",K743="",L743="",M743=""),"Ошибка: заполните обязательные поля",IF(AND(LEFT(H743,7)&lt;&gt;"http://",LEFT(H743,8)&lt;&gt;"https://"),"Ошибка: некорректная ссылка",IF(COUNTIF($H$6:$H$1005,H743)&gt;1,"Ошибка: дубликат URL",IF(E743&gt;TODAY(),"Ошибка: дата публикации в будущем",IF(S743="Да","Ошибка: подтверждённый дубль",IF(S743="","Проверить: отметьте дубль",IF(S743="Нужно проверить","Проверить возможный дубль",IF(TODAY()-E743&gt;30,"Проверить: старше 30 дней",IF(COUNTIFS(#REF!,G743,#REF!,"Готово")=0,"Проверить источник","Готово"))))))))))</f>
        <v/>
      </c>
    </row>
    <row r="744" spans="1:21" ht="25.5" customHeight="1">
      <c r="A744" s="21"/>
      <c r="B744" s="22"/>
      <c r="C744" s="21"/>
      <c r="D744" s="23"/>
      <c r="E744" s="22"/>
      <c r="F744" s="22"/>
      <c r="G744" s="23"/>
      <c r="H744" s="24"/>
      <c r="I744" s="24"/>
      <c r="J744" s="23"/>
      <c r="K744" s="23"/>
      <c r="L744" s="23"/>
      <c r="M744" s="23"/>
      <c r="N744" s="23"/>
      <c r="O744" s="23"/>
      <c r="P744" s="23"/>
      <c r="Q744" s="25"/>
      <c r="R744" s="23"/>
      <c r="S744" s="23"/>
      <c r="T744" s="23"/>
      <c r="U744" s="20" t="str">
        <f ca="1">IF(COUNTA(A744:T744)=0,"",IF(OR(A744="",B744="",C744="",E744="",G744="",H744="",J744="",K744="",L744="",M744=""),"Ошибка: заполните обязательные поля",IF(AND(LEFT(H744,7)&lt;&gt;"http://",LEFT(H744,8)&lt;&gt;"https://"),"Ошибка: некорректная ссылка",IF(COUNTIF($H$6:$H$1005,H744)&gt;1,"Ошибка: дубликат URL",IF(E744&gt;TODAY(),"Ошибка: дата публикации в будущем",IF(S744="Да","Ошибка: подтверждённый дубль",IF(S744="","Проверить: отметьте дубль",IF(S744="Нужно проверить","Проверить возможный дубль",IF(TODAY()-E744&gt;30,"Проверить: старше 30 дней",IF(COUNTIFS(#REF!,G744,#REF!,"Готово")=0,"Проверить источник","Готово"))))))))))</f>
        <v/>
      </c>
    </row>
    <row r="745" spans="1:21" ht="25.5" customHeight="1">
      <c r="A745" s="21"/>
      <c r="B745" s="22"/>
      <c r="C745" s="21"/>
      <c r="D745" s="23"/>
      <c r="E745" s="22"/>
      <c r="F745" s="22"/>
      <c r="G745" s="23"/>
      <c r="H745" s="24"/>
      <c r="I745" s="24"/>
      <c r="J745" s="23"/>
      <c r="K745" s="23"/>
      <c r="L745" s="23"/>
      <c r="M745" s="23"/>
      <c r="N745" s="23"/>
      <c r="O745" s="23"/>
      <c r="P745" s="23"/>
      <c r="Q745" s="25"/>
      <c r="R745" s="23"/>
      <c r="S745" s="23"/>
      <c r="T745" s="23"/>
      <c r="U745" s="20" t="str">
        <f ca="1">IF(COUNTA(A745:T745)=0,"",IF(OR(A745="",B745="",C745="",E745="",G745="",H745="",J745="",K745="",L745="",M745=""),"Ошибка: заполните обязательные поля",IF(AND(LEFT(H745,7)&lt;&gt;"http://",LEFT(H745,8)&lt;&gt;"https://"),"Ошибка: некорректная ссылка",IF(COUNTIF($H$6:$H$1005,H745)&gt;1,"Ошибка: дубликат URL",IF(E745&gt;TODAY(),"Ошибка: дата публикации в будущем",IF(S745="Да","Ошибка: подтверждённый дубль",IF(S745="","Проверить: отметьте дубль",IF(S745="Нужно проверить","Проверить возможный дубль",IF(TODAY()-E745&gt;30,"Проверить: старше 30 дней",IF(COUNTIFS(#REF!,G745,#REF!,"Готово")=0,"Проверить источник","Готово"))))))))))</f>
        <v/>
      </c>
    </row>
    <row r="746" spans="1:21" ht="25.5" customHeight="1">
      <c r="A746" s="21"/>
      <c r="B746" s="22"/>
      <c r="C746" s="21"/>
      <c r="D746" s="23"/>
      <c r="E746" s="22"/>
      <c r="F746" s="22"/>
      <c r="G746" s="23"/>
      <c r="H746" s="24"/>
      <c r="I746" s="24"/>
      <c r="J746" s="23"/>
      <c r="K746" s="23"/>
      <c r="L746" s="23"/>
      <c r="M746" s="23"/>
      <c r="N746" s="23"/>
      <c r="O746" s="23"/>
      <c r="P746" s="23"/>
      <c r="Q746" s="25"/>
      <c r="R746" s="23"/>
      <c r="S746" s="23"/>
      <c r="T746" s="23"/>
      <c r="U746" s="20" t="str">
        <f ca="1">IF(COUNTA(A746:T746)=0,"",IF(OR(A746="",B746="",C746="",E746="",G746="",H746="",J746="",K746="",L746="",M746=""),"Ошибка: заполните обязательные поля",IF(AND(LEFT(H746,7)&lt;&gt;"http://",LEFT(H746,8)&lt;&gt;"https://"),"Ошибка: некорректная ссылка",IF(COUNTIF($H$6:$H$1005,H746)&gt;1,"Ошибка: дубликат URL",IF(E746&gt;TODAY(),"Ошибка: дата публикации в будущем",IF(S746="Да","Ошибка: подтверждённый дубль",IF(S746="","Проверить: отметьте дубль",IF(S746="Нужно проверить","Проверить возможный дубль",IF(TODAY()-E746&gt;30,"Проверить: старше 30 дней",IF(COUNTIFS(#REF!,G746,#REF!,"Готово")=0,"Проверить источник","Готово"))))))))))</f>
        <v/>
      </c>
    </row>
    <row r="747" spans="1:21" ht="25.5" customHeight="1">
      <c r="A747" s="21"/>
      <c r="B747" s="22"/>
      <c r="C747" s="21"/>
      <c r="D747" s="23"/>
      <c r="E747" s="22"/>
      <c r="F747" s="22"/>
      <c r="G747" s="23"/>
      <c r="H747" s="24"/>
      <c r="I747" s="24"/>
      <c r="J747" s="23"/>
      <c r="K747" s="23"/>
      <c r="L747" s="23"/>
      <c r="M747" s="23"/>
      <c r="N747" s="23"/>
      <c r="O747" s="23"/>
      <c r="P747" s="23"/>
      <c r="Q747" s="25"/>
      <c r="R747" s="23"/>
      <c r="S747" s="23"/>
      <c r="T747" s="23"/>
      <c r="U747" s="20" t="str">
        <f ca="1">IF(COUNTA(A747:T747)=0,"",IF(OR(A747="",B747="",C747="",E747="",G747="",H747="",J747="",K747="",L747="",M747=""),"Ошибка: заполните обязательные поля",IF(AND(LEFT(H747,7)&lt;&gt;"http://",LEFT(H747,8)&lt;&gt;"https://"),"Ошибка: некорректная ссылка",IF(COUNTIF($H$6:$H$1005,H747)&gt;1,"Ошибка: дубликат URL",IF(E747&gt;TODAY(),"Ошибка: дата публикации в будущем",IF(S747="Да","Ошибка: подтверждённый дубль",IF(S747="","Проверить: отметьте дубль",IF(S747="Нужно проверить","Проверить возможный дубль",IF(TODAY()-E747&gt;30,"Проверить: старше 30 дней",IF(COUNTIFS(#REF!,G747,#REF!,"Готово")=0,"Проверить источник","Готово"))))))))))</f>
        <v/>
      </c>
    </row>
    <row r="748" spans="1:21" ht="25.5" customHeight="1">
      <c r="A748" s="21"/>
      <c r="B748" s="22"/>
      <c r="C748" s="21"/>
      <c r="D748" s="23"/>
      <c r="E748" s="22"/>
      <c r="F748" s="22"/>
      <c r="G748" s="23"/>
      <c r="H748" s="24"/>
      <c r="I748" s="24"/>
      <c r="J748" s="23"/>
      <c r="K748" s="23"/>
      <c r="L748" s="23"/>
      <c r="M748" s="23"/>
      <c r="N748" s="23"/>
      <c r="O748" s="23"/>
      <c r="P748" s="23"/>
      <c r="Q748" s="25"/>
      <c r="R748" s="23"/>
      <c r="S748" s="23"/>
      <c r="T748" s="23"/>
      <c r="U748" s="20" t="str">
        <f ca="1">IF(COUNTA(A748:T748)=0,"",IF(OR(A748="",B748="",C748="",E748="",G748="",H748="",J748="",K748="",L748="",M748=""),"Ошибка: заполните обязательные поля",IF(AND(LEFT(H748,7)&lt;&gt;"http://",LEFT(H748,8)&lt;&gt;"https://"),"Ошибка: некорректная ссылка",IF(COUNTIF($H$6:$H$1005,H748)&gt;1,"Ошибка: дубликат URL",IF(E748&gt;TODAY(),"Ошибка: дата публикации в будущем",IF(S748="Да","Ошибка: подтверждённый дубль",IF(S748="","Проверить: отметьте дубль",IF(S748="Нужно проверить","Проверить возможный дубль",IF(TODAY()-E748&gt;30,"Проверить: старше 30 дней",IF(COUNTIFS(#REF!,G748,#REF!,"Готово")=0,"Проверить источник","Готово"))))))))))</f>
        <v/>
      </c>
    </row>
    <row r="749" spans="1:21" ht="25.5" customHeight="1">
      <c r="A749" s="21"/>
      <c r="B749" s="22"/>
      <c r="C749" s="21"/>
      <c r="D749" s="23"/>
      <c r="E749" s="22"/>
      <c r="F749" s="22"/>
      <c r="G749" s="23"/>
      <c r="H749" s="24"/>
      <c r="I749" s="24"/>
      <c r="J749" s="23"/>
      <c r="K749" s="23"/>
      <c r="L749" s="23"/>
      <c r="M749" s="23"/>
      <c r="N749" s="23"/>
      <c r="O749" s="23"/>
      <c r="P749" s="23"/>
      <c r="Q749" s="25"/>
      <c r="R749" s="23"/>
      <c r="S749" s="23"/>
      <c r="T749" s="23"/>
      <c r="U749" s="20" t="str">
        <f ca="1">IF(COUNTA(A749:T749)=0,"",IF(OR(A749="",B749="",C749="",E749="",G749="",H749="",J749="",K749="",L749="",M749=""),"Ошибка: заполните обязательные поля",IF(AND(LEFT(H749,7)&lt;&gt;"http://",LEFT(H749,8)&lt;&gt;"https://"),"Ошибка: некорректная ссылка",IF(COUNTIF($H$6:$H$1005,H749)&gt;1,"Ошибка: дубликат URL",IF(E749&gt;TODAY(),"Ошибка: дата публикации в будущем",IF(S749="Да","Ошибка: подтверждённый дубль",IF(S749="","Проверить: отметьте дубль",IF(S749="Нужно проверить","Проверить возможный дубль",IF(TODAY()-E749&gt;30,"Проверить: старше 30 дней",IF(COUNTIFS(#REF!,G749,#REF!,"Готово")=0,"Проверить источник","Готово"))))))))))</f>
        <v/>
      </c>
    </row>
    <row r="750" spans="1:21" ht="25.5" customHeight="1">
      <c r="A750" s="21"/>
      <c r="B750" s="22"/>
      <c r="C750" s="21"/>
      <c r="D750" s="23"/>
      <c r="E750" s="22"/>
      <c r="F750" s="22"/>
      <c r="G750" s="23"/>
      <c r="H750" s="24"/>
      <c r="I750" s="24"/>
      <c r="J750" s="23"/>
      <c r="K750" s="23"/>
      <c r="L750" s="23"/>
      <c r="M750" s="23"/>
      <c r="N750" s="23"/>
      <c r="O750" s="23"/>
      <c r="P750" s="23"/>
      <c r="Q750" s="25"/>
      <c r="R750" s="23"/>
      <c r="S750" s="23"/>
      <c r="T750" s="23"/>
      <c r="U750" s="20" t="str">
        <f ca="1">IF(COUNTA(A750:T750)=0,"",IF(OR(A750="",B750="",C750="",E750="",G750="",H750="",J750="",K750="",L750="",M750=""),"Ошибка: заполните обязательные поля",IF(AND(LEFT(H750,7)&lt;&gt;"http://",LEFT(H750,8)&lt;&gt;"https://"),"Ошибка: некорректная ссылка",IF(COUNTIF($H$6:$H$1005,H750)&gt;1,"Ошибка: дубликат URL",IF(E750&gt;TODAY(),"Ошибка: дата публикации в будущем",IF(S750="Да","Ошибка: подтверждённый дубль",IF(S750="","Проверить: отметьте дубль",IF(S750="Нужно проверить","Проверить возможный дубль",IF(TODAY()-E750&gt;30,"Проверить: старше 30 дней",IF(COUNTIFS(#REF!,G750,#REF!,"Готово")=0,"Проверить источник","Готово"))))))))))</f>
        <v/>
      </c>
    </row>
    <row r="751" spans="1:21" ht="25.5" customHeight="1">
      <c r="A751" s="21"/>
      <c r="B751" s="22"/>
      <c r="C751" s="21"/>
      <c r="D751" s="23"/>
      <c r="E751" s="22"/>
      <c r="F751" s="22"/>
      <c r="G751" s="23"/>
      <c r="H751" s="24"/>
      <c r="I751" s="24"/>
      <c r="J751" s="23"/>
      <c r="K751" s="23"/>
      <c r="L751" s="23"/>
      <c r="M751" s="23"/>
      <c r="N751" s="23"/>
      <c r="O751" s="23"/>
      <c r="P751" s="23"/>
      <c r="Q751" s="25"/>
      <c r="R751" s="23"/>
      <c r="S751" s="23"/>
      <c r="T751" s="23"/>
      <c r="U751" s="20" t="str">
        <f ca="1">IF(COUNTA(A751:T751)=0,"",IF(OR(A751="",B751="",C751="",E751="",G751="",H751="",J751="",K751="",L751="",M751=""),"Ошибка: заполните обязательные поля",IF(AND(LEFT(H751,7)&lt;&gt;"http://",LEFT(H751,8)&lt;&gt;"https://"),"Ошибка: некорректная ссылка",IF(COUNTIF($H$6:$H$1005,H751)&gt;1,"Ошибка: дубликат URL",IF(E751&gt;TODAY(),"Ошибка: дата публикации в будущем",IF(S751="Да","Ошибка: подтверждённый дубль",IF(S751="","Проверить: отметьте дубль",IF(S751="Нужно проверить","Проверить возможный дубль",IF(TODAY()-E751&gt;30,"Проверить: старше 30 дней",IF(COUNTIFS(#REF!,G751,#REF!,"Готово")=0,"Проверить источник","Готово"))))))))))</f>
        <v/>
      </c>
    </row>
    <row r="752" spans="1:21" ht="25.5" customHeight="1">
      <c r="A752" s="21"/>
      <c r="B752" s="22"/>
      <c r="C752" s="21"/>
      <c r="D752" s="23"/>
      <c r="E752" s="22"/>
      <c r="F752" s="22"/>
      <c r="G752" s="23"/>
      <c r="H752" s="24"/>
      <c r="I752" s="24"/>
      <c r="J752" s="23"/>
      <c r="K752" s="23"/>
      <c r="L752" s="23"/>
      <c r="M752" s="23"/>
      <c r="N752" s="23"/>
      <c r="O752" s="23"/>
      <c r="P752" s="23"/>
      <c r="Q752" s="25"/>
      <c r="R752" s="23"/>
      <c r="S752" s="23"/>
      <c r="T752" s="23"/>
      <c r="U752" s="20" t="str">
        <f ca="1">IF(COUNTA(A752:T752)=0,"",IF(OR(A752="",B752="",C752="",E752="",G752="",H752="",J752="",K752="",L752="",M752=""),"Ошибка: заполните обязательные поля",IF(AND(LEFT(H752,7)&lt;&gt;"http://",LEFT(H752,8)&lt;&gt;"https://"),"Ошибка: некорректная ссылка",IF(COUNTIF($H$6:$H$1005,H752)&gt;1,"Ошибка: дубликат URL",IF(E752&gt;TODAY(),"Ошибка: дата публикации в будущем",IF(S752="Да","Ошибка: подтверждённый дубль",IF(S752="","Проверить: отметьте дубль",IF(S752="Нужно проверить","Проверить возможный дубль",IF(TODAY()-E752&gt;30,"Проверить: старше 30 дней",IF(COUNTIFS(#REF!,G752,#REF!,"Готово")=0,"Проверить источник","Готово"))))))))))</f>
        <v/>
      </c>
    </row>
    <row r="753" spans="1:21" ht="25.5" customHeight="1">
      <c r="A753" s="21"/>
      <c r="B753" s="22"/>
      <c r="C753" s="21"/>
      <c r="D753" s="23"/>
      <c r="E753" s="22"/>
      <c r="F753" s="22"/>
      <c r="G753" s="23"/>
      <c r="H753" s="24"/>
      <c r="I753" s="24"/>
      <c r="J753" s="23"/>
      <c r="K753" s="23"/>
      <c r="L753" s="23"/>
      <c r="M753" s="23"/>
      <c r="N753" s="23"/>
      <c r="O753" s="23"/>
      <c r="P753" s="23"/>
      <c r="Q753" s="25"/>
      <c r="R753" s="23"/>
      <c r="S753" s="23"/>
      <c r="T753" s="23"/>
      <c r="U753" s="20" t="str">
        <f ca="1">IF(COUNTA(A753:T753)=0,"",IF(OR(A753="",B753="",C753="",E753="",G753="",H753="",J753="",K753="",L753="",M753=""),"Ошибка: заполните обязательные поля",IF(AND(LEFT(H753,7)&lt;&gt;"http://",LEFT(H753,8)&lt;&gt;"https://"),"Ошибка: некорректная ссылка",IF(COUNTIF($H$6:$H$1005,H753)&gt;1,"Ошибка: дубликат URL",IF(E753&gt;TODAY(),"Ошибка: дата публикации в будущем",IF(S753="Да","Ошибка: подтверждённый дубль",IF(S753="","Проверить: отметьте дубль",IF(S753="Нужно проверить","Проверить возможный дубль",IF(TODAY()-E753&gt;30,"Проверить: старше 30 дней",IF(COUNTIFS(#REF!,G753,#REF!,"Готово")=0,"Проверить источник","Готово"))))))))))</f>
        <v/>
      </c>
    </row>
    <row r="754" spans="1:21" ht="25.5" customHeight="1">
      <c r="A754" s="21"/>
      <c r="B754" s="22"/>
      <c r="C754" s="21"/>
      <c r="D754" s="23"/>
      <c r="E754" s="22"/>
      <c r="F754" s="22"/>
      <c r="G754" s="23"/>
      <c r="H754" s="24"/>
      <c r="I754" s="24"/>
      <c r="J754" s="23"/>
      <c r="K754" s="23"/>
      <c r="L754" s="23"/>
      <c r="M754" s="23"/>
      <c r="N754" s="23"/>
      <c r="O754" s="23"/>
      <c r="P754" s="23"/>
      <c r="Q754" s="25"/>
      <c r="R754" s="23"/>
      <c r="S754" s="23"/>
      <c r="T754" s="23"/>
      <c r="U754" s="20" t="str">
        <f ca="1">IF(COUNTA(A754:T754)=0,"",IF(OR(A754="",B754="",C754="",E754="",G754="",H754="",J754="",K754="",L754="",M754=""),"Ошибка: заполните обязательные поля",IF(AND(LEFT(H754,7)&lt;&gt;"http://",LEFT(H754,8)&lt;&gt;"https://"),"Ошибка: некорректная ссылка",IF(COUNTIF($H$6:$H$1005,H754)&gt;1,"Ошибка: дубликат URL",IF(E754&gt;TODAY(),"Ошибка: дата публикации в будущем",IF(S754="Да","Ошибка: подтверждённый дубль",IF(S754="","Проверить: отметьте дубль",IF(S754="Нужно проверить","Проверить возможный дубль",IF(TODAY()-E754&gt;30,"Проверить: старше 30 дней",IF(COUNTIFS(#REF!,G754,#REF!,"Готово")=0,"Проверить источник","Готово"))))))))))</f>
        <v/>
      </c>
    </row>
    <row r="755" spans="1:21" ht="25.5" customHeight="1">
      <c r="A755" s="21"/>
      <c r="B755" s="22"/>
      <c r="C755" s="21"/>
      <c r="D755" s="23"/>
      <c r="E755" s="22"/>
      <c r="F755" s="22"/>
      <c r="G755" s="23"/>
      <c r="H755" s="24"/>
      <c r="I755" s="24"/>
      <c r="J755" s="23"/>
      <c r="K755" s="23"/>
      <c r="L755" s="23"/>
      <c r="M755" s="23"/>
      <c r="N755" s="23"/>
      <c r="O755" s="23"/>
      <c r="P755" s="23"/>
      <c r="Q755" s="25"/>
      <c r="R755" s="23"/>
      <c r="S755" s="23"/>
      <c r="T755" s="23"/>
      <c r="U755" s="20" t="str">
        <f ca="1">IF(COUNTA(A755:T755)=0,"",IF(OR(A755="",B755="",C755="",E755="",G755="",H755="",J755="",K755="",L755="",M755=""),"Ошибка: заполните обязательные поля",IF(AND(LEFT(H755,7)&lt;&gt;"http://",LEFT(H755,8)&lt;&gt;"https://"),"Ошибка: некорректная ссылка",IF(COUNTIF($H$6:$H$1005,H755)&gt;1,"Ошибка: дубликат URL",IF(E755&gt;TODAY(),"Ошибка: дата публикации в будущем",IF(S755="Да","Ошибка: подтверждённый дубль",IF(S755="","Проверить: отметьте дубль",IF(S755="Нужно проверить","Проверить возможный дубль",IF(TODAY()-E755&gt;30,"Проверить: старше 30 дней",IF(COUNTIFS(#REF!,G755,#REF!,"Готово")=0,"Проверить источник","Готово"))))))))))</f>
        <v/>
      </c>
    </row>
    <row r="756" spans="1:21" ht="25.5" customHeight="1">
      <c r="A756" s="21"/>
      <c r="B756" s="22"/>
      <c r="C756" s="21"/>
      <c r="D756" s="23"/>
      <c r="E756" s="22"/>
      <c r="F756" s="22"/>
      <c r="G756" s="23"/>
      <c r="H756" s="24"/>
      <c r="I756" s="24"/>
      <c r="J756" s="23"/>
      <c r="K756" s="23"/>
      <c r="L756" s="23"/>
      <c r="M756" s="23"/>
      <c r="N756" s="23"/>
      <c r="O756" s="23"/>
      <c r="P756" s="23"/>
      <c r="Q756" s="25"/>
      <c r="R756" s="23"/>
      <c r="S756" s="23"/>
      <c r="T756" s="23"/>
      <c r="U756" s="20" t="str">
        <f ca="1">IF(COUNTA(A756:T756)=0,"",IF(OR(A756="",B756="",C756="",E756="",G756="",H756="",J756="",K756="",L756="",M756=""),"Ошибка: заполните обязательные поля",IF(AND(LEFT(H756,7)&lt;&gt;"http://",LEFT(H756,8)&lt;&gt;"https://"),"Ошибка: некорректная ссылка",IF(COUNTIF($H$6:$H$1005,H756)&gt;1,"Ошибка: дубликат URL",IF(E756&gt;TODAY(),"Ошибка: дата публикации в будущем",IF(S756="Да","Ошибка: подтверждённый дубль",IF(S756="","Проверить: отметьте дубль",IF(S756="Нужно проверить","Проверить возможный дубль",IF(TODAY()-E756&gt;30,"Проверить: старше 30 дней",IF(COUNTIFS(#REF!,G756,#REF!,"Готово")=0,"Проверить источник","Готово"))))))))))</f>
        <v/>
      </c>
    </row>
    <row r="757" spans="1:21" ht="25.5" customHeight="1">
      <c r="A757" s="21"/>
      <c r="B757" s="22"/>
      <c r="C757" s="21"/>
      <c r="D757" s="23"/>
      <c r="E757" s="22"/>
      <c r="F757" s="22"/>
      <c r="G757" s="23"/>
      <c r="H757" s="24"/>
      <c r="I757" s="24"/>
      <c r="J757" s="23"/>
      <c r="K757" s="23"/>
      <c r="L757" s="23"/>
      <c r="M757" s="23"/>
      <c r="N757" s="23"/>
      <c r="O757" s="23"/>
      <c r="P757" s="23"/>
      <c r="Q757" s="25"/>
      <c r="R757" s="23"/>
      <c r="S757" s="23"/>
      <c r="T757" s="23"/>
      <c r="U757" s="20" t="str">
        <f ca="1">IF(COUNTA(A757:T757)=0,"",IF(OR(A757="",B757="",C757="",E757="",G757="",H757="",J757="",K757="",L757="",M757=""),"Ошибка: заполните обязательные поля",IF(AND(LEFT(H757,7)&lt;&gt;"http://",LEFT(H757,8)&lt;&gt;"https://"),"Ошибка: некорректная ссылка",IF(COUNTIF($H$6:$H$1005,H757)&gt;1,"Ошибка: дубликат URL",IF(E757&gt;TODAY(),"Ошибка: дата публикации в будущем",IF(S757="Да","Ошибка: подтверждённый дубль",IF(S757="","Проверить: отметьте дубль",IF(S757="Нужно проверить","Проверить возможный дубль",IF(TODAY()-E757&gt;30,"Проверить: старше 30 дней",IF(COUNTIFS(#REF!,G757,#REF!,"Готово")=0,"Проверить источник","Готово"))))))))))</f>
        <v/>
      </c>
    </row>
    <row r="758" spans="1:21" ht="25.5" customHeight="1">
      <c r="A758" s="21"/>
      <c r="B758" s="22"/>
      <c r="C758" s="21"/>
      <c r="D758" s="23"/>
      <c r="E758" s="22"/>
      <c r="F758" s="22"/>
      <c r="G758" s="23"/>
      <c r="H758" s="24"/>
      <c r="I758" s="24"/>
      <c r="J758" s="23"/>
      <c r="K758" s="23"/>
      <c r="L758" s="23"/>
      <c r="M758" s="23"/>
      <c r="N758" s="23"/>
      <c r="O758" s="23"/>
      <c r="P758" s="23"/>
      <c r="Q758" s="25"/>
      <c r="R758" s="23"/>
      <c r="S758" s="23"/>
      <c r="T758" s="23"/>
      <c r="U758" s="20" t="str">
        <f ca="1">IF(COUNTA(A758:T758)=0,"",IF(OR(A758="",B758="",C758="",E758="",G758="",H758="",J758="",K758="",L758="",M758=""),"Ошибка: заполните обязательные поля",IF(AND(LEFT(H758,7)&lt;&gt;"http://",LEFT(H758,8)&lt;&gt;"https://"),"Ошибка: некорректная ссылка",IF(COUNTIF($H$6:$H$1005,H758)&gt;1,"Ошибка: дубликат URL",IF(E758&gt;TODAY(),"Ошибка: дата публикации в будущем",IF(S758="Да","Ошибка: подтверждённый дубль",IF(S758="","Проверить: отметьте дубль",IF(S758="Нужно проверить","Проверить возможный дубль",IF(TODAY()-E758&gt;30,"Проверить: старше 30 дней",IF(COUNTIFS(#REF!,G758,#REF!,"Готово")=0,"Проверить источник","Готово"))))))))))</f>
        <v/>
      </c>
    </row>
    <row r="759" spans="1:21" ht="25.5" customHeight="1">
      <c r="A759" s="21"/>
      <c r="B759" s="22"/>
      <c r="C759" s="21"/>
      <c r="D759" s="23"/>
      <c r="E759" s="22"/>
      <c r="F759" s="22"/>
      <c r="G759" s="23"/>
      <c r="H759" s="24"/>
      <c r="I759" s="24"/>
      <c r="J759" s="23"/>
      <c r="K759" s="23"/>
      <c r="L759" s="23"/>
      <c r="M759" s="23"/>
      <c r="N759" s="23"/>
      <c r="O759" s="23"/>
      <c r="P759" s="23"/>
      <c r="Q759" s="25"/>
      <c r="R759" s="23"/>
      <c r="S759" s="23"/>
      <c r="T759" s="23"/>
      <c r="U759" s="20" t="str">
        <f ca="1">IF(COUNTA(A759:T759)=0,"",IF(OR(A759="",B759="",C759="",E759="",G759="",H759="",J759="",K759="",L759="",M759=""),"Ошибка: заполните обязательные поля",IF(AND(LEFT(H759,7)&lt;&gt;"http://",LEFT(H759,8)&lt;&gt;"https://"),"Ошибка: некорректная ссылка",IF(COUNTIF($H$6:$H$1005,H759)&gt;1,"Ошибка: дубликат URL",IF(E759&gt;TODAY(),"Ошибка: дата публикации в будущем",IF(S759="Да","Ошибка: подтверждённый дубль",IF(S759="","Проверить: отметьте дубль",IF(S759="Нужно проверить","Проверить возможный дубль",IF(TODAY()-E759&gt;30,"Проверить: старше 30 дней",IF(COUNTIFS(#REF!,G759,#REF!,"Готово")=0,"Проверить источник","Готово"))))))))))</f>
        <v/>
      </c>
    </row>
    <row r="760" spans="1:21" ht="25.5" customHeight="1">
      <c r="A760" s="21"/>
      <c r="B760" s="22"/>
      <c r="C760" s="21"/>
      <c r="D760" s="23"/>
      <c r="E760" s="22"/>
      <c r="F760" s="22"/>
      <c r="G760" s="23"/>
      <c r="H760" s="24"/>
      <c r="I760" s="24"/>
      <c r="J760" s="23"/>
      <c r="K760" s="23"/>
      <c r="L760" s="23"/>
      <c r="M760" s="23"/>
      <c r="N760" s="23"/>
      <c r="O760" s="23"/>
      <c r="P760" s="23"/>
      <c r="Q760" s="25"/>
      <c r="R760" s="23"/>
      <c r="S760" s="23"/>
      <c r="T760" s="23"/>
      <c r="U760" s="20" t="str">
        <f ca="1">IF(COUNTA(A760:T760)=0,"",IF(OR(A760="",B760="",C760="",E760="",G760="",H760="",J760="",K760="",L760="",M760=""),"Ошибка: заполните обязательные поля",IF(AND(LEFT(H760,7)&lt;&gt;"http://",LEFT(H760,8)&lt;&gt;"https://"),"Ошибка: некорректная ссылка",IF(COUNTIF($H$6:$H$1005,H760)&gt;1,"Ошибка: дубликат URL",IF(E760&gt;TODAY(),"Ошибка: дата публикации в будущем",IF(S760="Да","Ошибка: подтверждённый дубль",IF(S760="","Проверить: отметьте дубль",IF(S760="Нужно проверить","Проверить возможный дубль",IF(TODAY()-E760&gt;30,"Проверить: старше 30 дней",IF(COUNTIFS(#REF!,G760,#REF!,"Готово")=0,"Проверить источник","Готово"))))))))))</f>
        <v/>
      </c>
    </row>
    <row r="761" spans="1:21" ht="25.5" customHeight="1">
      <c r="A761" s="21"/>
      <c r="B761" s="22"/>
      <c r="C761" s="21"/>
      <c r="D761" s="23"/>
      <c r="E761" s="22"/>
      <c r="F761" s="22"/>
      <c r="G761" s="23"/>
      <c r="H761" s="24"/>
      <c r="I761" s="24"/>
      <c r="J761" s="23"/>
      <c r="K761" s="23"/>
      <c r="L761" s="23"/>
      <c r="M761" s="23"/>
      <c r="N761" s="23"/>
      <c r="O761" s="23"/>
      <c r="P761" s="23"/>
      <c r="Q761" s="25"/>
      <c r="R761" s="23"/>
      <c r="S761" s="23"/>
      <c r="T761" s="23"/>
      <c r="U761" s="20" t="str">
        <f ca="1">IF(COUNTA(A761:T761)=0,"",IF(OR(A761="",B761="",C761="",E761="",G761="",H761="",J761="",K761="",L761="",M761=""),"Ошибка: заполните обязательные поля",IF(AND(LEFT(H761,7)&lt;&gt;"http://",LEFT(H761,8)&lt;&gt;"https://"),"Ошибка: некорректная ссылка",IF(COUNTIF($H$6:$H$1005,H761)&gt;1,"Ошибка: дубликат URL",IF(E761&gt;TODAY(),"Ошибка: дата публикации в будущем",IF(S761="Да","Ошибка: подтверждённый дубль",IF(S761="","Проверить: отметьте дубль",IF(S761="Нужно проверить","Проверить возможный дубль",IF(TODAY()-E761&gt;30,"Проверить: старше 30 дней",IF(COUNTIFS(#REF!,G761,#REF!,"Готово")=0,"Проверить источник","Готово"))))))))))</f>
        <v/>
      </c>
    </row>
    <row r="762" spans="1:21" ht="25.5" customHeight="1">
      <c r="A762" s="21"/>
      <c r="B762" s="22"/>
      <c r="C762" s="21"/>
      <c r="D762" s="23"/>
      <c r="E762" s="22"/>
      <c r="F762" s="22"/>
      <c r="G762" s="23"/>
      <c r="H762" s="24"/>
      <c r="I762" s="24"/>
      <c r="J762" s="23"/>
      <c r="K762" s="23"/>
      <c r="L762" s="23"/>
      <c r="M762" s="23"/>
      <c r="N762" s="23"/>
      <c r="O762" s="23"/>
      <c r="P762" s="23"/>
      <c r="Q762" s="25"/>
      <c r="R762" s="23"/>
      <c r="S762" s="23"/>
      <c r="T762" s="23"/>
      <c r="U762" s="20" t="str">
        <f ca="1">IF(COUNTA(A762:T762)=0,"",IF(OR(A762="",B762="",C762="",E762="",G762="",H762="",J762="",K762="",L762="",M762=""),"Ошибка: заполните обязательные поля",IF(AND(LEFT(H762,7)&lt;&gt;"http://",LEFT(H762,8)&lt;&gt;"https://"),"Ошибка: некорректная ссылка",IF(COUNTIF($H$6:$H$1005,H762)&gt;1,"Ошибка: дубликат URL",IF(E762&gt;TODAY(),"Ошибка: дата публикации в будущем",IF(S762="Да","Ошибка: подтверждённый дубль",IF(S762="","Проверить: отметьте дубль",IF(S762="Нужно проверить","Проверить возможный дубль",IF(TODAY()-E762&gt;30,"Проверить: старше 30 дней",IF(COUNTIFS(#REF!,G762,#REF!,"Готово")=0,"Проверить источник","Готово"))))))))))</f>
        <v/>
      </c>
    </row>
    <row r="763" spans="1:21" ht="25.5" customHeight="1">
      <c r="A763" s="21"/>
      <c r="B763" s="22"/>
      <c r="C763" s="21"/>
      <c r="D763" s="23"/>
      <c r="E763" s="22"/>
      <c r="F763" s="22"/>
      <c r="G763" s="23"/>
      <c r="H763" s="24"/>
      <c r="I763" s="24"/>
      <c r="J763" s="23"/>
      <c r="K763" s="23"/>
      <c r="L763" s="23"/>
      <c r="M763" s="23"/>
      <c r="N763" s="23"/>
      <c r="O763" s="23"/>
      <c r="P763" s="23"/>
      <c r="Q763" s="25"/>
      <c r="R763" s="23"/>
      <c r="S763" s="23"/>
      <c r="T763" s="23"/>
      <c r="U763" s="20" t="str">
        <f ca="1">IF(COUNTA(A763:T763)=0,"",IF(OR(A763="",B763="",C763="",E763="",G763="",H763="",J763="",K763="",L763="",M763=""),"Ошибка: заполните обязательные поля",IF(AND(LEFT(H763,7)&lt;&gt;"http://",LEFT(H763,8)&lt;&gt;"https://"),"Ошибка: некорректная ссылка",IF(COUNTIF($H$6:$H$1005,H763)&gt;1,"Ошибка: дубликат URL",IF(E763&gt;TODAY(),"Ошибка: дата публикации в будущем",IF(S763="Да","Ошибка: подтверждённый дубль",IF(S763="","Проверить: отметьте дубль",IF(S763="Нужно проверить","Проверить возможный дубль",IF(TODAY()-E763&gt;30,"Проверить: старше 30 дней",IF(COUNTIFS(#REF!,G763,#REF!,"Готово")=0,"Проверить источник","Готово"))))))))))</f>
        <v/>
      </c>
    </row>
    <row r="764" spans="1:21" ht="25.5" customHeight="1">
      <c r="A764" s="21"/>
      <c r="B764" s="22"/>
      <c r="C764" s="21"/>
      <c r="D764" s="23"/>
      <c r="E764" s="22"/>
      <c r="F764" s="22"/>
      <c r="G764" s="23"/>
      <c r="H764" s="24"/>
      <c r="I764" s="24"/>
      <c r="J764" s="23"/>
      <c r="K764" s="23"/>
      <c r="L764" s="23"/>
      <c r="M764" s="23"/>
      <c r="N764" s="23"/>
      <c r="O764" s="23"/>
      <c r="P764" s="23"/>
      <c r="Q764" s="25"/>
      <c r="R764" s="23"/>
      <c r="S764" s="23"/>
      <c r="T764" s="23"/>
      <c r="U764" s="20" t="str">
        <f ca="1">IF(COUNTA(A764:T764)=0,"",IF(OR(A764="",B764="",C764="",E764="",G764="",H764="",J764="",K764="",L764="",M764=""),"Ошибка: заполните обязательные поля",IF(AND(LEFT(H764,7)&lt;&gt;"http://",LEFT(H764,8)&lt;&gt;"https://"),"Ошибка: некорректная ссылка",IF(COUNTIF($H$6:$H$1005,H764)&gt;1,"Ошибка: дубликат URL",IF(E764&gt;TODAY(),"Ошибка: дата публикации в будущем",IF(S764="Да","Ошибка: подтверждённый дубль",IF(S764="","Проверить: отметьте дубль",IF(S764="Нужно проверить","Проверить возможный дубль",IF(TODAY()-E764&gt;30,"Проверить: старше 30 дней",IF(COUNTIFS(#REF!,G764,#REF!,"Готово")=0,"Проверить источник","Готово"))))))))))</f>
        <v/>
      </c>
    </row>
    <row r="765" spans="1:21" ht="25.5" customHeight="1">
      <c r="A765" s="21"/>
      <c r="B765" s="22"/>
      <c r="C765" s="21"/>
      <c r="D765" s="23"/>
      <c r="E765" s="22"/>
      <c r="F765" s="22"/>
      <c r="G765" s="23"/>
      <c r="H765" s="24"/>
      <c r="I765" s="24"/>
      <c r="J765" s="23"/>
      <c r="K765" s="23"/>
      <c r="L765" s="23"/>
      <c r="M765" s="23"/>
      <c r="N765" s="23"/>
      <c r="O765" s="23"/>
      <c r="P765" s="23"/>
      <c r="Q765" s="25"/>
      <c r="R765" s="23"/>
      <c r="S765" s="23"/>
      <c r="T765" s="23"/>
      <c r="U765" s="20" t="str">
        <f ca="1">IF(COUNTA(A765:T765)=0,"",IF(OR(A765="",B765="",C765="",E765="",G765="",H765="",J765="",K765="",L765="",M765=""),"Ошибка: заполните обязательные поля",IF(AND(LEFT(H765,7)&lt;&gt;"http://",LEFT(H765,8)&lt;&gt;"https://"),"Ошибка: некорректная ссылка",IF(COUNTIF($H$6:$H$1005,H765)&gt;1,"Ошибка: дубликат URL",IF(E765&gt;TODAY(),"Ошибка: дата публикации в будущем",IF(S765="Да","Ошибка: подтверждённый дубль",IF(S765="","Проверить: отметьте дубль",IF(S765="Нужно проверить","Проверить возможный дубль",IF(TODAY()-E765&gt;30,"Проверить: старше 30 дней",IF(COUNTIFS(#REF!,G765,#REF!,"Готово")=0,"Проверить источник","Готово"))))))))))</f>
        <v/>
      </c>
    </row>
    <row r="766" spans="1:21" ht="25.5" customHeight="1">
      <c r="A766" s="21"/>
      <c r="B766" s="22"/>
      <c r="C766" s="21"/>
      <c r="D766" s="23"/>
      <c r="E766" s="22"/>
      <c r="F766" s="22"/>
      <c r="G766" s="23"/>
      <c r="H766" s="24"/>
      <c r="I766" s="24"/>
      <c r="J766" s="23"/>
      <c r="K766" s="23"/>
      <c r="L766" s="23"/>
      <c r="M766" s="23"/>
      <c r="N766" s="23"/>
      <c r="O766" s="23"/>
      <c r="P766" s="23"/>
      <c r="Q766" s="25"/>
      <c r="R766" s="23"/>
      <c r="S766" s="23"/>
      <c r="T766" s="23"/>
      <c r="U766" s="20" t="str">
        <f ca="1">IF(COUNTA(A766:T766)=0,"",IF(OR(A766="",B766="",C766="",E766="",G766="",H766="",J766="",K766="",L766="",M766=""),"Ошибка: заполните обязательные поля",IF(AND(LEFT(H766,7)&lt;&gt;"http://",LEFT(H766,8)&lt;&gt;"https://"),"Ошибка: некорректная ссылка",IF(COUNTIF($H$6:$H$1005,H766)&gt;1,"Ошибка: дубликат URL",IF(E766&gt;TODAY(),"Ошибка: дата публикации в будущем",IF(S766="Да","Ошибка: подтверждённый дубль",IF(S766="","Проверить: отметьте дубль",IF(S766="Нужно проверить","Проверить возможный дубль",IF(TODAY()-E766&gt;30,"Проверить: старше 30 дней",IF(COUNTIFS(#REF!,G766,#REF!,"Готово")=0,"Проверить источник","Готово"))))))))))</f>
        <v/>
      </c>
    </row>
    <row r="767" spans="1:21" ht="25.5" customHeight="1">
      <c r="A767" s="21"/>
      <c r="B767" s="22"/>
      <c r="C767" s="21"/>
      <c r="D767" s="23"/>
      <c r="E767" s="22"/>
      <c r="F767" s="22"/>
      <c r="G767" s="23"/>
      <c r="H767" s="24"/>
      <c r="I767" s="24"/>
      <c r="J767" s="23"/>
      <c r="K767" s="23"/>
      <c r="L767" s="23"/>
      <c r="M767" s="23"/>
      <c r="N767" s="23"/>
      <c r="O767" s="23"/>
      <c r="P767" s="23"/>
      <c r="Q767" s="25"/>
      <c r="R767" s="23"/>
      <c r="S767" s="23"/>
      <c r="T767" s="23"/>
      <c r="U767" s="20" t="str">
        <f ca="1">IF(COUNTA(A767:T767)=0,"",IF(OR(A767="",B767="",C767="",E767="",G767="",H767="",J767="",K767="",L767="",M767=""),"Ошибка: заполните обязательные поля",IF(AND(LEFT(H767,7)&lt;&gt;"http://",LEFT(H767,8)&lt;&gt;"https://"),"Ошибка: некорректная ссылка",IF(COUNTIF($H$6:$H$1005,H767)&gt;1,"Ошибка: дубликат URL",IF(E767&gt;TODAY(),"Ошибка: дата публикации в будущем",IF(S767="Да","Ошибка: подтверждённый дубль",IF(S767="","Проверить: отметьте дубль",IF(S767="Нужно проверить","Проверить возможный дубль",IF(TODAY()-E767&gt;30,"Проверить: старше 30 дней",IF(COUNTIFS(#REF!,G767,#REF!,"Готово")=0,"Проверить источник","Готово"))))))))))</f>
        <v/>
      </c>
    </row>
    <row r="768" spans="1:21" ht="25.5" customHeight="1">
      <c r="A768" s="21"/>
      <c r="B768" s="22"/>
      <c r="C768" s="21"/>
      <c r="D768" s="23"/>
      <c r="E768" s="22"/>
      <c r="F768" s="22"/>
      <c r="G768" s="23"/>
      <c r="H768" s="24"/>
      <c r="I768" s="24"/>
      <c r="J768" s="23"/>
      <c r="K768" s="23"/>
      <c r="L768" s="23"/>
      <c r="M768" s="23"/>
      <c r="N768" s="23"/>
      <c r="O768" s="23"/>
      <c r="P768" s="23"/>
      <c r="Q768" s="25"/>
      <c r="R768" s="23"/>
      <c r="S768" s="23"/>
      <c r="T768" s="23"/>
      <c r="U768" s="20" t="str">
        <f ca="1">IF(COUNTA(A768:T768)=0,"",IF(OR(A768="",B768="",C768="",E768="",G768="",H768="",J768="",K768="",L768="",M768=""),"Ошибка: заполните обязательные поля",IF(AND(LEFT(H768,7)&lt;&gt;"http://",LEFT(H768,8)&lt;&gt;"https://"),"Ошибка: некорректная ссылка",IF(COUNTIF($H$6:$H$1005,H768)&gt;1,"Ошибка: дубликат URL",IF(E768&gt;TODAY(),"Ошибка: дата публикации в будущем",IF(S768="Да","Ошибка: подтверждённый дубль",IF(S768="","Проверить: отметьте дубль",IF(S768="Нужно проверить","Проверить возможный дубль",IF(TODAY()-E768&gt;30,"Проверить: старше 30 дней",IF(COUNTIFS(#REF!,G768,#REF!,"Готово")=0,"Проверить источник","Готово"))))))))))</f>
        <v/>
      </c>
    </row>
    <row r="769" spans="1:21" ht="25.5" customHeight="1">
      <c r="A769" s="21"/>
      <c r="B769" s="22"/>
      <c r="C769" s="21"/>
      <c r="D769" s="23"/>
      <c r="E769" s="22"/>
      <c r="F769" s="22"/>
      <c r="G769" s="23"/>
      <c r="H769" s="24"/>
      <c r="I769" s="24"/>
      <c r="J769" s="23"/>
      <c r="K769" s="23"/>
      <c r="L769" s="23"/>
      <c r="M769" s="23"/>
      <c r="N769" s="23"/>
      <c r="O769" s="23"/>
      <c r="P769" s="23"/>
      <c r="Q769" s="25"/>
      <c r="R769" s="23"/>
      <c r="S769" s="23"/>
      <c r="T769" s="23"/>
      <c r="U769" s="20" t="str">
        <f ca="1">IF(COUNTA(A769:T769)=0,"",IF(OR(A769="",B769="",C769="",E769="",G769="",H769="",J769="",K769="",L769="",M769=""),"Ошибка: заполните обязательные поля",IF(AND(LEFT(H769,7)&lt;&gt;"http://",LEFT(H769,8)&lt;&gt;"https://"),"Ошибка: некорректная ссылка",IF(COUNTIF($H$6:$H$1005,H769)&gt;1,"Ошибка: дубликат URL",IF(E769&gt;TODAY(),"Ошибка: дата публикации в будущем",IF(S769="Да","Ошибка: подтверждённый дубль",IF(S769="","Проверить: отметьте дубль",IF(S769="Нужно проверить","Проверить возможный дубль",IF(TODAY()-E769&gt;30,"Проверить: старше 30 дней",IF(COUNTIFS(#REF!,G769,#REF!,"Готово")=0,"Проверить источник","Готово"))))))))))</f>
        <v/>
      </c>
    </row>
    <row r="770" spans="1:21" ht="25.5" customHeight="1">
      <c r="A770" s="21"/>
      <c r="B770" s="22"/>
      <c r="C770" s="21"/>
      <c r="D770" s="23"/>
      <c r="E770" s="22"/>
      <c r="F770" s="22"/>
      <c r="G770" s="23"/>
      <c r="H770" s="24"/>
      <c r="I770" s="24"/>
      <c r="J770" s="23"/>
      <c r="K770" s="23"/>
      <c r="L770" s="23"/>
      <c r="M770" s="23"/>
      <c r="N770" s="23"/>
      <c r="O770" s="23"/>
      <c r="P770" s="23"/>
      <c r="Q770" s="25"/>
      <c r="R770" s="23"/>
      <c r="S770" s="23"/>
      <c r="T770" s="23"/>
      <c r="U770" s="20" t="str">
        <f ca="1">IF(COUNTA(A770:T770)=0,"",IF(OR(A770="",B770="",C770="",E770="",G770="",H770="",J770="",K770="",L770="",M770=""),"Ошибка: заполните обязательные поля",IF(AND(LEFT(H770,7)&lt;&gt;"http://",LEFT(H770,8)&lt;&gt;"https://"),"Ошибка: некорректная ссылка",IF(COUNTIF($H$6:$H$1005,H770)&gt;1,"Ошибка: дубликат URL",IF(E770&gt;TODAY(),"Ошибка: дата публикации в будущем",IF(S770="Да","Ошибка: подтверждённый дубль",IF(S770="","Проверить: отметьте дубль",IF(S770="Нужно проверить","Проверить возможный дубль",IF(TODAY()-E770&gt;30,"Проверить: старше 30 дней",IF(COUNTIFS(#REF!,G770,#REF!,"Готово")=0,"Проверить источник","Готово"))))))))))</f>
        <v/>
      </c>
    </row>
    <row r="771" spans="1:21" ht="25.5" customHeight="1">
      <c r="A771" s="21"/>
      <c r="B771" s="22"/>
      <c r="C771" s="21"/>
      <c r="D771" s="23"/>
      <c r="E771" s="22"/>
      <c r="F771" s="22"/>
      <c r="G771" s="23"/>
      <c r="H771" s="24"/>
      <c r="I771" s="24"/>
      <c r="J771" s="23"/>
      <c r="K771" s="23"/>
      <c r="L771" s="23"/>
      <c r="M771" s="23"/>
      <c r="N771" s="23"/>
      <c r="O771" s="23"/>
      <c r="P771" s="23"/>
      <c r="Q771" s="25"/>
      <c r="R771" s="23"/>
      <c r="S771" s="23"/>
      <c r="T771" s="23"/>
      <c r="U771" s="20" t="str">
        <f ca="1">IF(COUNTA(A771:T771)=0,"",IF(OR(A771="",B771="",C771="",E771="",G771="",H771="",J771="",K771="",L771="",M771=""),"Ошибка: заполните обязательные поля",IF(AND(LEFT(H771,7)&lt;&gt;"http://",LEFT(H771,8)&lt;&gt;"https://"),"Ошибка: некорректная ссылка",IF(COUNTIF($H$6:$H$1005,H771)&gt;1,"Ошибка: дубликат URL",IF(E771&gt;TODAY(),"Ошибка: дата публикации в будущем",IF(S771="Да","Ошибка: подтверждённый дубль",IF(S771="","Проверить: отметьте дубль",IF(S771="Нужно проверить","Проверить возможный дубль",IF(TODAY()-E771&gt;30,"Проверить: старше 30 дней",IF(COUNTIFS(#REF!,G771,#REF!,"Готово")=0,"Проверить источник","Готово"))))))))))</f>
        <v/>
      </c>
    </row>
    <row r="772" spans="1:21" ht="25.5" customHeight="1">
      <c r="A772" s="21"/>
      <c r="B772" s="22"/>
      <c r="C772" s="21"/>
      <c r="D772" s="23"/>
      <c r="E772" s="22"/>
      <c r="F772" s="22"/>
      <c r="G772" s="23"/>
      <c r="H772" s="24"/>
      <c r="I772" s="24"/>
      <c r="J772" s="23"/>
      <c r="K772" s="23"/>
      <c r="L772" s="23"/>
      <c r="M772" s="23"/>
      <c r="N772" s="23"/>
      <c r="O772" s="23"/>
      <c r="P772" s="23"/>
      <c r="Q772" s="25"/>
      <c r="R772" s="23"/>
      <c r="S772" s="23"/>
      <c r="T772" s="23"/>
      <c r="U772" s="20" t="str">
        <f ca="1">IF(COUNTA(A772:T772)=0,"",IF(OR(A772="",B772="",C772="",E772="",G772="",H772="",J772="",K772="",L772="",M772=""),"Ошибка: заполните обязательные поля",IF(AND(LEFT(H772,7)&lt;&gt;"http://",LEFT(H772,8)&lt;&gt;"https://"),"Ошибка: некорректная ссылка",IF(COUNTIF($H$6:$H$1005,H772)&gt;1,"Ошибка: дубликат URL",IF(E772&gt;TODAY(),"Ошибка: дата публикации в будущем",IF(S772="Да","Ошибка: подтверждённый дубль",IF(S772="","Проверить: отметьте дубль",IF(S772="Нужно проверить","Проверить возможный дубль",IF(TODAY()-E772&gt;30,"Проверить: старше 30 дней",IF(COUNTIFS(#REF!,G772,#REF!,"Готово")=0,"Проверить источник","Готово"))))))))))</f>
        <v/>
      </c>
    </row>
    <row r="773" spans="1:21" ht="25.5" customHeight="1">
      <c r="A773" s="21"/>
      <c r="B773" s="22"/>
      <c r="C773" s="21"/>
      <c r="D773" s="23"/>
      <c r="E773" s="22"/>
      <c r="F773" s="22"/>
      <c r="G773" s="23"/>
      <c r="H773" s="24"/>
      <c r="I773" s="24"/>
      <c r="J773" s="23"/>
      <c r="K773" s="23"/>
      <c r="L773" s="23"/>
      <c r="M773" s="23"/>
      <c r="N773" s="23"/>
      <c r="O773" s="23"/>
      <c r="P773" s="23"/>
      <c r="Q773" s="25"/>
      <c r="R773" s="23"/>
      <c r="S773" s="23"/>
      <c r="T773" s="23"/>
      <c r="U773" s="20" t="str">
        <f ca="1">IF(COUNTA(A773:T773)=0,"",IF(OR(A773="",B773="",C773="",E773="",G773="",H773="",J773="",K773="",L773="",M773=""),"Ошибка: заполните обязательные поля",IF(AND(LEFT(H773,7)&lt;&gt;"http://",LEFT(H773,8)&lt;&gt;"https://"),"Ошибка: некорректная ссылка",IF(COUNTIF($H$6:$H$1005,H773)&gt;1,"Ошибка: дубликат URL",IF(E773&gt;TODAY(),"Ошибка: дата публикации в будущем",IF(S773="Да","Ошибка: подтверждённый дубль",IF(S773="","Проверить: отметьте дубль",IF(S773="Нужно проверить","Проверить возможный дубль",IF(TODAY()-E773&gt;30,"Проверить: старше 30 дней",IF(COUNTIFS(#REF!,G773,#REF!,"Готово")=0,"Проверить источник","Готово"))))))))))</f>
        <v/>
      </c>
    </row>
    <row r="774" spans="1:21" ht="25.5" customHeight="1">
      <c r="A774" s="21"/>
      <c r="B774" s="22"/>
      <c r="C774" s="21"/>
      <c r="D774" s="23"/>
      <c r="E774" s="22"/>
      <c r="F774" s="22"/>
      <c r="G774" s="23"/>
      <c r="H774" s="24"/>
      <c r="I774" s="24"/>
      <c r="J774" s="23"/>
      <c r="K774" s="23"/>
      <c r="L774" s="23"/>
      <c r="M774" s="23"/>
      <c r="N774" s="23"/>
      <c r="O774" s="23"/>
      <c r="P774" s="23"/>
      <c r="Q774" s="25"/>
      <c r="R774" s="23"/>
      <c r="S774" s="23"/>
      <c r="T774" s="23"/>
      <c r="U774" s="20" t="str">
        <f ca="1">IF(COUNTA(A774:T774)=0,"",IF(OR(A774="",B774="",C774="",E774="",G774="",H774="",J774="",K774="",L774="",M774=""),"Ошибка: заполните обязательные поля",IF(AND(LEFT(H774,7)&lt;&gt;"http://",LEFT(H774,8)&lt;&gt;"https://"),"Ошибка: некорректная ссылка",IF(COUNTIF($H$6:$H$1005,H774)&gt;1,"Ошибка: дубликат URL",IF(E774&gt;TODAY(),"Ошибка: дата публикации в будущем",IF(S774="Да","Ошибка: подтверждённый дубль",IF(S774="","Проверить: отметьте дубль",IF(S774="Нужно проверить","Проверить возможный дубль",IF(TODAY()-E774&gt;30,"Проверить: старше 30 дней",IF(COUNTIFS(#REF!,G774,#REF!,"Готово")=0,"Проверить источник","Готово"))))))))))</f>
        <v/>
      </c>
    </row>
    <row r="775" spans="1:21" ht="25.5" customHeight="1">
      <c r="A775" s="21"/>
      <c r="B775" s="22"/>
      <c r="C775" s="21"/>
      <c r="D775" s="23"/>
      <c r="E775" s="22"/>
      <c r="F775" s="22"/>
      <c r="G775" s="23"/>
      <c r="H775" s="24"/>
      <c r="I775" s="24"/>
      <c r="J775" s="23"/>
      <c r="K775" s="23"/>
      <c r="L775" s="23"/>
      <c r="M775" s="23"/>
      <c r="N775" s="23"/>
      <c r="O775" s="23"/>
      <c r="P775" s="23"/>
      <c r="Q775" s="25"/>
      <c r="R775" s="23"/>
      <c r="S775" s="23"/>
      <c r="T775" s="23"/>
      <c r="U775" s="20" t="str">
        <f ca="1">IF(COUNTA(A775:T775)=0,"",IF(OR(A775="",B775="",C775="",E775="",G775="",H775="",J775="",K775="",L775="",M775=""),"Ошибка: заполните обязательные поля",IF(AND(LEFT(H775,7)&lt;&gt;"http://",LEFT(H775,8)&lt;&gt;"https://"),"Ошибка: некорректная ссылка",IF(COUNTIF($H$6:$H$1005,H775)&gt;1,"Ошибка: дубликат URL",IF(E775&gt;TODAY(),"Ошибка: дата публикации в будущем",IF(S775="Да","Ошибка: подтверждённый дубль",IF(S775="","Проверить: отметьте дубль",IF(S775="Нужно проверить","Проверить возможный дубль",IF(TODAY()-E775&gt;30,"Проверить: старше 30 дней",IF(COUNTIFS(#REF!,G775,#REF!,"Готово")=0,"Проверить источник","Готово"))))))))))</f>
        <v/>
      </c>
    </row>
    <row r="776" spans="1:21" ht="25.5" customHeight="1">
      <c r="A776" s="21"/>
      <c r="B776" s="22"/>
      <c r="C776" s="21"/>
      <c r="D776" s="23"/>
      <c r="E776" s="22"/>
      <c r="F776" s="22"/>
      <c r="G776" s="23"/>
      <c r="H776" s="24"/>
      <c r="I776" s="24"/>
      <c r="J776" s="23"/>
      <c r="K776" s="23"/>
      <c r="L776" s="23"/>
      <c r="M776" s="23"/>
      <c r="N776" s="23"/>
      <c r="O776" s="23"/>
      <c r="P776" s="23"/>
      <c r="Q776" s="25"/>
      <c r="R776" s="23"/>
      <c r="S776" s="23"/>
      <c r="T776" s="23"/>
      <c r="U776" s="20" t="str">
        <f ca="1">IF(COUNTA(A776:T776)=0,"",IF(OR(A776="",B776="",C776="",E776="",G776="",H776="",J776="",K776="",L776="",M776=""),"Ошибка: заполните обязательные поля",IF(AND(LEFT(H776,7)&lt;&gt;"http://",LEFT(H776,8)&lt;&gt;"https://"),"Ошибка: некорректная ссылка",IF(COUNTIF($H$6:$H$1005,H776)&gt;1,"Ошибка: дубликат URL",IF(E776&gt;TODAY(),"Ошибка: дата публикации в будущем",IF(S776="Да","Ошибка: подтверждённый дубль",IF(S776="","Проверить: отметьте дубль",IF(S776="Нужно проверить","Проверить возможный дубль",IF(TODAY()-E776&gt;30,"Проверить: старше 30 дней",IF(COUNTIFS(#REF!,G776,#REF!,"Готово")=0,"Проверить источник","Готово"))))))))))</f>
        <v/>
      </c>
    </row>
    <row r="777" spans="1:21" ht="25.5" customHeight="1">
      <c r="A777" s="21"/>
      <c r="B777" s="22"/>
      <c r="C777" s="21"/>
      <c r="D777" s="23"/>
      <c r="E777" s="22"/>
      <c r="F777" s="22"/>
      <c r="G777" s="23"/>
      <c r="H777" s="24"/>
      <c r="I777" s="24"/>
      <c r="J777" s="23"/>
      <c r="K777" s="23"/>
      <c r="L777" s="23"/>
      <c r="M777" s="23"/>
      <c r="N777" s="23"/>
      <c r="O777" s="23"/>
      <c r="P777" s="23"/>
      <c r="Q777" s="25"/>
      <c r="R777" s="23"/>
      <c r="S777" s="23"/>
      <c r="T777" s="23"/>
      <c r="U777" s="20" t="str">
        <f ca="1">IF(COUNTA(A777:T777)=0,"",IF(OR(A777="",B777="",C777="",E777="",G777="",H777="",J777="",K777="",L777="",M777=""),"Ошибка: заполните обязательные поля",IF(AND(LEFT(H777,7)&lt;&gt;"http://",LEFT(H777,8)&lt;&gt;"https://"),"Ошибка: некорректная ссылка",IF(COUNTIF($H$6:$H$1005,H777)&gt;1,"Ошибка: дубликат URL",IF(E777&gt;TODAY(),"Ошибка: дата публикации в будущем",IF(S777="Да","Ошибка: подтверждённый дубль",IF(S777="","Проверить: отметьте дубль",IF(S777="Нужно проверить","Проверить возможный дубль",IF(TODAY()-E777&gt;30,"Проверить: старше 30 дней",IF(COUNTIFS(#REF!,G777,#REF!,"Готово")=0,"Проверить источник","Готово"))))))))))</f>
        <v/>
      </c>
    </row>
    <row r="778" spans="1:21" ht="25.5" customHeight="1">
      <c r="A778" s="21"/>
      <c r="B778" s="22"/>
      <c r="C778" s="21"/>
      <c r="D778" s="23"/>
      <c r="E778" s="22"/>
      <c r="F778" s="22"/>
      <c r="G778" s="23"/>
      <c r="H778" s="24"/>
      <c r="I778" s="24"/>
      <c r="J778" s="23"/>
      <c r="K778" s="23"/>
      <c r="L778" s="23"/>
      <c r="M778" s="23"/>
      <c r="N778" s="23"/>
      <c r="O778" s="23"/>
      <c r="P778" s="23"/>
      <c r="Q778" s="25"/>
      <c r="R778" s="23"/>
      <c r="S778" s="23"/>
      <c r="T778" s="23"/>
      <c r="U778" s="20" t="str">
        <f ca="1">IF(COUNTA(A778:T778)=0,"",IF(OR(A778="",B778="",C778="",E778="",G778="",H778="",J778="",K778="",L778="",M778=""),"Ошибка: заполните обязательные поля",IF(AND(LEFT(H778,7)&lt;&gt;"http://",LEFT(H778,8)&lt;&gt;"https://"),"Ошибка: некорректная ссылка",IF(COUNTIF($H$6:$H$1005,H778)&gt;1,"Ошибка: дубликат URL",IF(E778&gt;TODAY(),"Ошибка: дата публикации в будущем",IF(S778="Да","Ошибка: подтверждённый дубль",IF(S778="","Проверить: отметьте дубль",IF(S778="Нужно проверить","Проверить возможный дубль",IF(TODAY()-E778&gt;30,"Проверить: старше 30 дней",IF(COUNTIFS(#REF!,G778,#REF!,"Готово")=0,"Проверить источник","Готово"))))))))))</f>
        <v/>
      </c>
    </row>
    <row r="779" spans="1:21" ht="25.5" customHeight="1">
      <c r="A779" s="21"/>
      <c r="B779" s="22"/>
      <c r="C779" s="21"/>
      <c r="D779" s="23"/>
      <c r="E779" s="22"/>
      <c r="F779" s="22"/>
      <c r="G779" s="23"/>
      <c r="H779" s="24"/>
      <c r="I779" s="24"/>
      <c r="J779" s="23"/>
      <c r="K779" s="23"/>
      <c r="L779" s="23"/>
      <c r="M779" s="23"/>
      <c r="N779" s="23"/>
      <c r="O779" s="23"/>
      <c r="P779" s="23"/>
      <c r="Q779" s="25"/>
      <c r="R779" s="23"/>
      <c r="S779" s="23"/>
      <c r="T779" s="23"/>
      <c r="U779" s="20" t="str">
        <f ca="1">IF(COUNTA(A779:T779)=0,"",IF(OR(A779="",B779="",C779="",E779="",G779="",H779="",J779="",K779="",L779="",M779=""),"Ошибка: заполните обязательные поля",IF(AND(LEFT(H779,7)&lt;&gt;"http://",LEFT(H779,8)&lt;&gt;"https://"),"Ошибка: некорректная ссылка",IF(COUNTIF($H$6:$H$1005,H779)&gt;1,"Ошибка: дубликат URL",IF(E779&gt;TODAY(),"Ошибка: дата публикации в будущем",IF(S779="Да","Ошибка: подтверждённый дубль",IF(S779="","Проверить: отметьте дубль",IF(S779="Нужно проверить","Проверить возможный дубль",IF(TODAY()-E779&gt;30,"Проверить: старше 30 дней",IF(COUNTIFS(#REF!,G779,#REF!,"Готово")=0,"Проверить источник","Готово"))))))))))</f>
        <v/>
      </c>
    </row>
    <row r="780" spans="1:21" ht="25.5" customHeight="1">
      <c r="A780" s="21"/>
      <c r="B780" s="22"/>
      <c r="C780" s="21"/>
      <c r="D780" s="23"/>
      <c r="E780" s="22"/>
      <c r="F780" s="22"/>
      <c r="G780" s="23"/>
      <c r="H780" s="24"/>
      <c r="I780" s="24"/>
      <c r="J780" s="23"/>
      <c r="K780" s="23"/>
      <c r="L780" s="23"/>
      <c r="M780" s="23"/>
      <c r="N780" s="23"/>
      <c r="O780" s="23"/>
      <c r="P780" s="23"/>
      <c r="Q780" s="25"/>
      <c r="R780" s="23"/>
      <c r="S780" s="23"/>
      <c r="T780" s="23"/>
      <c r="U780" s="20" t="str">
        <f ca="1">IF(COUNTA(A780:T780)=0,"",IF(OR(A780="",B780="",C780="",E780="",G780="",H780="",J780="",K780="",L780="",M780=""),"Ошибка: заполните обязательные поля",IF(AND(LEFT(H780,7)&lt;&gt;"http://",LEFT(H780,8)&lt;&gt;"https://"),"Ошибка: некорректная ссылка",IF(COUNTIF($H$6:$H$1005,H780)&gt;1,"Ошибка: дубликат URL",IF(E780&gt;TODAY(),"Ошибка: дата публикации в будущем",IF(S780="Да","Ошибка: подтверждённый дубль",IF(S780="","Проверить: отметьте дубль",IF(S780="Нужно проверить","Проверить возможный дубль",IF(TODAY()-E780&gt;30,"Проверить: старше 30 дней",IF(COUNTIFS(#REF!,G780,#REF!,"Готово")=0,"Проверить источник","Готово"))))))))))</f>
        <v/>
      </c>
    </row>
    <row r="781" spans="1:21" ht="25.5" customHeight="1">
      <c r="A781" s="21"/>
      <c r="B781" s="22"/>
      <c r="C781" s="21"/>
      <c r="D781" s="23"/>
      <c r="E781" s="22"/>
      <c r="F781" s="22"/>
      <c r="G781" s="23"/>
      <c r="H781" s="24"/>
      <c r="I781" s="24"/>
      <c r="J781" s="23"/>
      <c r="K781" s="23"/>
      <c r="L781" s="23"/>
      <c r="M781" s="23"/>
      <c r="N781" s="23"/>
      <c r="O781" s="23"/>
      <c r="P781" s="23"/>
      <c r="Q781" s="25"/>
      <c r="R781" s="23"/>
      <c r="S781" s="23"/>
      <c r="T781" s="23"/>
      <c r="U781" s="20" t="str">
        <f ca="1">IF(COUNTA(A781:T781)=0,"",IF(OR(A781="",B781="",C781="",E781="",G781="",H781="",J781="",K781="",L781="",M781=""),"Ошибка: заполните обязательные поля",IF(AND(LEFT(H781,7)&lt;&gt;"http://",LEFT(H781,8)&lt;&gt;"https://"),"Ошибка: некорректная ссылка",IF(COUNTIF($H$6:$H$1005,H781)&gt;1,"Ошибка: дубликат URL",IF(E781&gt;TODAY(),"Ошибка: дата публикации в будущем",IF(S781="Да","Ошибка: подтверждённый дубль",IF(S781="","Проверить: отметьте дубль",IF(S781="Нужно проверить","Проверить возможный дубль",IF(TODAY()-E781&gt;30,"Проверить: старше 30 дней",IF(COUNTIFS(#REF!,G781,#REF!,"Готово")=0,"Проверить источник","Готово"))))))))))</f>
        <v/>
      </c>
    </row>
    <row r="782" spans="1:21" ht="25.5" customHeight="1">
      <c r="A782" s="21"/>
      <c r="B782" s="22"/>
      <c r="C782" s="21"/>
      <c r="D782" s="23"/>
      <c r="E782" s="22"/>
      <c r="F782" s="22"/>
      <c r="G782" s="23"/>
      <c r="H782" s="24"/>
      <c r="I782" s="24"/>
      <c r="J782" s="23"/>
      <c r="K782" s="23"/>
      <c r="L782" s="23"/>
      <c r="M782" s="23"/>
      <c r="N782" s="23"/>
      <c r="O782" s="23"/>
      <c r="P782" s="23"/>
      <c r="Q782" s="25"/>
      <c r="R782" s="23"/>
      <c r="S782" s="23"/>
      <c r="T782" s="23"/>
      <c r="U782" s="20" t="str">
        <f ca="1">IF(COUNTA(A782:T782)=0,"",IF(OR(A782="",B782="",C782="",E782="",G782="",H782="",J782="",K782="",L782="",M782=""),"Ошибка: заполните обязательные поля",IF(AND(LEFT(H782,7)&lt;&gt;"http://",LEFT(H782,8)&lt;&gt;"https://"),"Ошибка: некорректная ссылка",IF(COUNTIF($H$6:$H$1005,H782)&gt;1,"Ошибка: дубликат URL",IF(E782&gt;TODAY(),"Ошибка: дата публикации в будущем",IF(S782="Да","Ошибка: подтверждённый дубль",IF(S782="","Проверить: отметьте дубль",IF(S782="Нужно проверить","Проверить возможный дубль",IF(TODAY()-E782&gt;30,"Проверить: старше 30 дней",IF(COUNTIFS(#REF!,G782,#REF!,"Готово")=0,"Проверить источник","Готово"))))))))))</f>
        <v/>
      </c>
    </row>
    <row r="783" spans="1:21" ht="25.5" customHeight="1">
      <c r="A783" s="21"/>
      <c r="B783" s="22"/>
      <c r="C783" s="21"/>
      <c r="D783" s="23"/>
      <c r="E783" s="22"/>
      <c r="F783" s="22"/>
      <c r="G783" s="23"/>
      <c r="H783" s="24"/>
      <c r="I783" s="24"/>
      <c r="J783" s="23"/>
      <c r="K783" s="23"/>
      <c r="L783" s="23"/>
      <c r="M783" s="23"/>
      <c r="N783" s="23"/>
      <c r="O783" s="23"/>
      <c r="P783" s="23"/>
      <c r="Q783" s="25"/>
      <c r="R783" s="23"/>
      <c r="S783" s="23"/>
      <c r="T783" s="23"/>
      <c r="U783" s="20" t="str">
        <f ca="1">IF(COUNTA(A783:T783)=0,"",IF(OR(A783="",B783="",C783="",E783="",G783="",H783="",J783="",K783="",L783="",M783=""),"Ошибка: заполните обязательные поля",IF(AND(LEFT(H783,7)&lt;&gt;"http://",LEFT(H783,8)&lt;&gt;"https://"),"Ошибка: некорректная ссылка",IF(COUNTIF($H$6:$H$1005,H783)&gt;1,"Ошибка: дубликат URL",IF(E783&gt;TODAY(),"Ошибка: дата публикации в будущем",IF(S783="Да","Ошибка: подтверждённый дубль",IF(S783="","Проверить: отметьте дубль",IF(S783="Нужно проверить","Проверить возможный дубль",IF(TODAY()-E783&gt;30,"Проверить: старше 30 дней",IF(COUNTIFS(#REF!,G783,#REF!,"Готово")=0,"Проверить источник","Готово"))))))))))</f>
        <v/>
      </c>
    </row>
    <row r="784" spans="1:21" ht="25.5" customHeight="1">
      <c r="A784" s="21"/>
      <c r="B784" s="22"/>
      <c r="C784" s="21"/>
      <c r="D784" s="23"/>
      <c r="E784" s="22"/>
      <c r="F784" s="22"/>
      <c r="G784" s="23"/>
      <c r="H784" s="24"/>
      <c r="I784" s="24"/>
      <c r="J784" s="23"/>
      <c r="K784" s="23"/>
      <c r="L784" s="23"/>
      <c r="M784" s="23"/>
      <c r="N784" s="23"/>
      <c r="O784" s="23"/>
      <c r="P784" s="23"/>
      <c r="Q784" s="25"/>
      <c r="R784" s="23"/>
      <c r="S784" s="23"/>
      <c r="T784" s="23"/>
      <c r="U784" s="20" t="str">
        <f ca="1">IF(COUNTA(A784:T784)=0,"",IF(OR(A784="",B784="",C784="",E784="",G784="",H784="",J784="",K784="",L784="",M784=""),"Ошибка: заполните обязательные поля",IF(AND(LEFT(H784,7)&lt;&gt;"http://",LEFT(H784,8)&lt;&gt;"https://"),"Ошибка: некорректная ссылка",IF(COUNTIF($H$6:$H$1005,H784)&gt;1,"Ошибка: дубликат URL",IF(E784&gt;TODAY(),"Ошибка: дата публикации в будущем",IF(S784="Да","Ошибка: подтверждённый дубль",IF(S784="","Проверить: отметьте дубль",IF(S784="Нужно проверить","Проверить возможный дубль",IF(TODAY()-E784&gt;30,"Проверить: старше 30 дней",IF(COUNTIFS(#REF!,G784,#REF!,"Готово")=0,"Проверить источник","Готово"))))))))))</f>
        <v/>
      </c>
    </row>
    <row r="785" spans="1:21" ht="25.5" customHeight="1">
      <c r="A785" s="21"/>
      <c r="B785" s="22"/>
      <c r="C785" s="21"/>
      <c r="D785" s="23"/>
      <c r="E785" s="22"/>
      <c r="F785" s="22"/>
      <c r="G785" s="23"/>
      <c r="H785" s="24"/>
      <c r="I785" s="24"/>
      <c r="J785" s="23"/>
      <c r="K785" s="23"/>
      <c r="L785" s="23"/>
      <c r="M785" s="23"/>
      <c r="N785" s="23"/>
      <c r="O785" s="23"/>
      <c r="P785" s="23"/>
      <c r="Q785" s="25"/>
      <c r="R785" s="23"/>
      <c r="S785" s="23"/>
      <c r="T785" s="23"/>
      <c r="U785" s="20" t="str">
        <f ca="1">IF(COUNTA(A785:T785)=0,"",IF(OR(A785="",B785="",C785="",E785="",G785="",H785="",J785="",K785="",L785="",M785=""),"Ошибка: заполните обязательные поля",IF(AND(LEFT(H785,7)&lt;&gt;"http://",LEFT(H785,8)&lt;&gt;"https://"),"Ошибка: некорректная ссылка",IF(COUNTIF($H$6:$H$1005,H785)&gt;1,"Ошибка: дубликат URL",IF(E785&gt;TODAY(),"Ошибка: дата публикации в будущем",IF(S785="Да","Ошибка: подтверждённый дубль",IF(S785="","Проверить: отметьте дубль",IF(S785="Нужно проверить","Проверить возможный дубль",IF(TODAY()-E785&gt;30,"Проверить: старше 30 дней",IF(COUNTIFS(#REF!,G785,#REF!,"Готово")=0,"Проверить источник","Готово"))))))))))</f>
        <v/>
      </c>
    </row>
    <row r="786" spans="1:21" ht="25.5" customHeight="1">
      <c r="A786" s="21"/>
      <c r="B786" s="22"/>
      <c r="C786" s="21"/>
      <c r="D786" s="23"/>
      <c r="E786" s="22"/>
      <c r="F786" s="22"/>
      <c r="G786" s="23"/>
      <c r="H786" s="24"/>
      <c r="I786" s="24"/>
      <c r="J786" s="23"/>
      <c r="K786" s="23"/>
      <c r="L786" s="23"/>
      <c r="M786" s="23"/>
      <c r="N786" s="23"/>
      <c r="O786" s="23"/>
      <c r="P786" s="23"/>
      <c r="Q786" s="25"/>
      <c r="R786" s="23"/>
      <c r="S786" s="23"/>
      <c r="T786" s="23"/>
      <c r="U786" s="20" t="str">
        <f ca="1">IF(COUNTA(A786:T786)=0,"",IF(OR(A786="",B786="",C786="",E786="",G786="",H786="",J786="",K786="",L786="",M786=""),"Ошибка: заполните обязательные поля",IF(AND(LEFT(H786,7)&lt;&gt;"http://",LEFT(H786,8)&lt;&gt;"https://"),"Ошибка: некорректная ссылка",IF(COUNTIF($H$6:$H$1005,H786)&gt;1,"Ошибка: дубликат URL",IF(E786&gt;TODAY(),"Ошибка: дата публикации в будущем",IF(S786="Да","Ошибка: подтверждённый дубль",IF(S786="","Проверить: отметьте дубль",IF(S786="Нужно проверить","Проверить возможный дубль",IF(TODAY()-E786&gt;30,"Проверить: старше 30 дней",IF(COUNTIFS(#REF!,G786,#REF!,"Готово")=0,"Проверить источник","Готово"))))))))))</f>
        <v/>
      </c>
    </row>
    <row r="787" spans="1:21" ht="25.5" customHeight="1">
      <c r="A787" s="21"/>
      <c r="B787" s="22"/>
      <c r="C787" s="21"/>
      <c r="D787" s="23"/>
      <c r="E787" s="22"/>
      <c r="F787" s="22"/>
      <c r="G787" s="23"/>
      <c r="H787" s="24"/>
      <c r="I787" s="24"/>
      <c r="J787" s="23"/>
      <c r="K787" s="23"/>
      <c r="L787" s="23"/>
      <c r="M787" s="23"/>
      <c r="N787" s="23"/>
      <c r="O787" s="23"/>
      <c r="P787" s="23"/>
      <c r="Q787" s="25"/>
      <c r="R787" s="23"/>
      <c r="S787" s="23"/>
      <c r="T787" s="23"/>
      <c r="U787" s="20" t="str">
        <f ca="1">IF(COUNTA(A787:T787)=0,"",IF(OR(A787="",B787="",C787="",E787="",G787="",H787="",J787="",K787="",L787="",M787=""),"Ошибка: заполните обязательные поля",IF(AND(LEFT(H787,7)&lt;&gt;"http://",LEFT(H787,8)&lt;&gt;"https://"),"Ошибка: некорректная ссылка",IF(COUNTIF($H$6:$H$1005,H787)&gt;1,"Ошибка: дубликат URL",IF(E787&gt;TODAY(),"Ошибка: дата публикации в будущем",IF(S787="Да","Ошибка: подтверждённый дубль",IF(S787="","Проверить: отметьте дубль",IF(S787="Нужно проверить","Проверить возможный дубль",IF(TODAY()-E787&gt;30,"Проверить: старше 30 дней",IF(COUNTIFS(#REF!,G787,#REF!,"Готово")=0,"Проверить источник","Готово"))))))))))</f>
        <v/>
      </c>
    </row>
    <row r="788" spans="1:21" ht="25.5" customHeight="1">
      <c r="A788" s="21"/>
      <c r="B788" s="22"/>
      <c r="C788" s="21"/>
      <c r="D788" s="23"/>
      <c r="E788" s="22"/>
      <c r="F788" s="22"/>
      <c r="G788" s="23"/>
      <c r="H788" s="24"/>
      <c r="I788" s="24"/>
      <c r="J788" s="23"/>
      <c r="K788" s="23"/>
      <c r="L788" s="23"/>
      <c r="M788" s="23"/>
      <c r="N788" s="23"/>
      <c r="O788" s="23"/>
      <c r="P788" s="23"/>
      <c r="Q788" s="25"/>
      <c r="R788" s="23"/>
      <c r="S788" s="23"/>
      <c r="T788" s="23"/>
      <c r="U788" s="20" t="str">
        <f ca="1">IF(COUNTA(A788:T788)=0,"",IF(OR(A788="",B788="",C788="",E788="",G788="",H788="",J788="",K788="",L788="",M788=""),"Ошибка: заполните обязательные поля",IF(AND(LEFT(H788,7)&lt;&gt;"http://",LEFT(H788,8)&lt;&gt;"https://"),"Ошибка: некорректная ссылка",IF(COUNTIF($H$6:$H$1005,H788)&gt;1,"Ошибка: дубликат URL",IF(E788&gt;TODAY(),"Ошибка: дата публикации в будущем",IF(S788="Да","Ошибка: подтверждённый дубль",IF(S788="","Проверить: отметьте дубль",IF(S788="Нужно проверить","Проверить возможный дубль",IF(TODAY()-E788&gt;30,"Проверить: старше 30 дней",IF(COUNTIFS(#REF!,G788,#REF!,"Готово")=0,"Проверить источник","Готово"))))))))))</f>
        <v/>
      </c>
    </row>
    <row r="789" spans="1:21" ht="25.5" customHeight="1">
      <c r="A789" s="21"/>
      <c r="B789" s="22"/>
      <c r="C789" s="21"/>
      <c r="D789" s="23"/>
      <c r="E789" s="22"/>
      <c r="F789" s="22"/>
      <c r="G789" s="23"/>
      <c r="H789" s="24"/>
      <c r="I789" s="24"/>
      <c r="J789" s="23"/>
      <c r="K789" s="23"/>
      <c r="L789" s="23"/>
      <c r="M789" s="23"/>
      <c r="N789" s="23"/>
      <c r="O789" s="23"/>
      <c r="P789" s="23"/>
      <c r="Q789" s="25"/>
      <c r="R789" s="23"/>
      <c r="S789" s="23"/>
      <c r="T789" s="23"/>
      <c r="U789" s="20" t="str">
        <f ca="1">IF(COUNTA(A789:T789)=0,"",IF(OR(A789="",B789="",C789="",E789="",G789="",H789="",J789="",K789="",L789="",M789=""),"Ошибка: заполните обязательные поля",IF(AND(LEFT(H789,7)&lt;&gt;"http://",LEFT(H789,8)&lt;&gt;"https://"),"Ошибка: некорректная ссылка",IF(COUNTIF($H$6:$H$1005,H789)&gt;1,"Ошибка: дубликат URL",IF(E789&gt;TODAY(),"Ошибка: дата публикации в будущем",IF(S789="Да","Ошибка: подтверждённый дубль",IF(S789="","Проверить: отметьте дубль",IF(S789="Нужно проверить","Проверить возможный дубль",IF(TODAY()-E789&gt;30,"Проверить: старше 30 дней",IF(COUNTIFS(#REF!,G789,#REF!,"Готово")=0,"Проверить источник","Готово"))))))))))</f>
        <v/>
      </c>
    </row>
    <row r="790" spans="1:21" ht="25.5" customHeight="1">
      <c r="A790" s="21"/>
      <c r="B790" s="22"/>
      <c r="C790" s="21"/>
      <c r="D790" s="23"/>
      <c r="E790" s="22"/>
      <c r="F790" s="22"/>
      <c r="G790" s="23"/>
      <c r="H790" s="24"/>
      <c r="I790" s="24"/>
      <c r="J790" s="23"/>
      <c r="K790" s="23"/>
      <c r="L790" s="23"/>
      <c r="M790" s="23"/>
      <c r="N790" s="23"/>
      <c r="O790" s="23"/>
      <c r="P790" s="23"/>
      <c r="Q790" s="25"/>
      <c r="R790" s="23"/>
      <c r="S790" s="23"/>
      <c r="T790" s="23"/>
      <c r="U790" s="20" t="str">
        <f ca="1">IF(COUNTA(A790:T790)=0,"",IF(OR(A790="",B790="",C790="",E790="",G790="",H790="",J790="",K790="",L790="",M790=""),"Ошибка: заполните обязательные поля",IF(AND(LEFT(H790,7)&lt;&gt;"http://",LEFT(H790,8)&lt;&gt;"https://"),"Ошибка: некорректная ссылка",IF(COUNTIF($H$6:$H$1005,H790)&gt;1,"Ошибка: дубликат URL",IF(E790&gt;TODAY(),"Ошибка: дата публикации в будущем",IF(S790="Да","Ошибка: подтверждённый дубль",IF(S790="","Проверить: отметьте дубль",IF(S790="Нужно проверить","Проверить возможный дубль",IF(TODAY()-E790&gt;30,"Проверить: старше 30 дней",IF(COUNTIFS(#REF!,G790,#REF!,"Готово")=0,"Проверить источник","Готово"))))))))))</f>
        <v/>
      </c>
    </row>
    <row r="791" spans="1:21" ht="25.5" customHeight="1">
      <c r="A791" s="21"/>
      <c r="B791" s="22"/>
      <c r="C791" s="21"/>
      <c r="D791" s="23"/>
      <c r="E791" s="22"/>
      <c r="F791" s="22"/>
      <c r="G791" s="23"/>
      <c r="H791" s="24"/>
      <c r="I791" s="24"/>
      <c r="J791" s="23"/>
      <c r="K791" s="23"/>
      <c r="L791" s="23"/>
      <c r="M791" s="23"/>
      <c r="N791" s="23"/>
      <c r="O791" s="23"/>
      <c r="P791" s="23"/>
      <c r="Q791" s="25"/>
      <c r="R791" s="23"/>
      <c r="S791" s="23"/>
      <c r="T791" s="23"/>
      <c r="U791" s="20" t="str">
        <f ca="1">IF(COUNTA(A791:T791)=0,"",IF(OR(A791="",B791="",C791="",E791="",G791="",H791="",J791="",K791="",L791="",M791=""),"Ошибка: заполните обязательные поля",IF(AND(LEFT(H791,7)&lt;&gt;"http://",LEFT(H791,8)&lt;&gt;"https://"),"Ошибка: некорректная ссылка",IF(COUNTIF($H$6:$H$1005,H791)&gt;1,"Ошибка: дубликат URL",IF(E791&gt;TODAY(),"Ошибка: дата публикации в будущем",IF(S791="Да","Ошибка: подтверждённый дубль",IF(S791="","Проверить: отметьте дубль",IF(S791="Нужно проверить","Проверить возможный дубль",IF(TODAY()-E791&gt;30,"Проверить: старше 30 дней",IF(COUNTIFS(#REF!,G791,#REF!,"Готово")=0,"Проверить источник","Готово"))))))))))</f>
        <v/>
      </c>
    </row>
    <row r="792" spans="1:21" ht="25.5" customHeight="1">
      <c r="A792" s="21"/>
      <c r="B792" s="22"/>
      <c r="C792" s="21"/>
      <c r="D792" s="23"/>
      <c r="E792" s="22"/>
      <c r="F792" s="22"/>
      <c r="G792" s="23"/>
      <c r="H792" s="24"/>
      <c r="I792" s="24"/>
      <c r="J792" s="23"/>
      <c r="K792" s="23"/>
      <c r="L792" s="23"/>
      <c r="M792" s="23"/>
      <c r="N792" s="23"/>
      <c r="O792" s="23"/>
      <c r="P792" s="23"/>
      <c r="Q792" s="25"/>
      <c r="R792" s="23"/>
      <c r="S792" s="23"/>
      <c r="T792" s="23"/>
      <c r="U792" s="20" t="str">
        <f ca="1">IF(COUNTA(A792:T792)=0,"",IF(OR(A792="",B792="",C792="",E792="",G792="",H792="",J792="",K792="",L792="",M792=""),"Ошибка: заполните обязательные поля",IF(AND(LEFT(H792,7)&lt;&gt;"http://",LEFT(H792,8)&lt;&gt;"https://"),"Ошибка: некорректная ссылка",IF(COUNTIF($H$6:$H$1005,H792)&gt;1,"Ошибка: дубликат URL",IF(E792&gt;TODAY(),"Ошибка: дата публикации в будущем",IF(S792="Да","Ошибка: подтверждённый дубль",IF(S792="","Проверить: отметьте дубль",IF(S792="Нужно проверить","Проверить возможный дубль",IF(TODAY()-E792&gt;30,"Проверить: старше 30 дней",IF(COUNTIFS(#REF!,G792,#REF!,"Готово")=0,"Проверить источник","Готово"))))))))))</f>
        <v/>
      </c>
    </row>
    <row r="793" spans="1:21" ht="25.5" customHeight="1">
      <c r="A793" s="21"/>
      <c r="B793" s="22"/>
      <c r="C793" s="21"/>
      <c r="D793" s="23"/>
      <c r="E793" s="22"/>
      <c r="F793" s="22"/>
      <c r="G793" s="23"/>
      <c r="H793" s="24"/>
      <c r="I793" s="24"/>
      <c r="J793" s="23"/>
      <c r="K793" s="23"/>
      <c r="L793" s="23"/>
      <c r="M793" s="23"/>
      <c r="N793" s="23"/>
      <c r="O793" s="23"/>
      <c r="P793" s="23"/>
      <c r="Q793" s="25"/>
      <c r="R793" s="23"/>
      <c r="S793" s="23"/>
      <c r="T793" s="23"/>
      <c r="U793" s="20" t="str">
        <f ca="1">IF(COUNTA(A793:T793)=0,"",IF(OR(A793="",B793="",C793="",E793="",G793="",H793="",J793="",K793="",L793="",M793=""),"Ошибка: заполните обязательные поля",IF(AND(LEFT(H793,7)&lt;&gt;"http://",LEFT(H793,8)&lt;&gt;"https://"),"Ошибка: некорректная ссылка",IF(COUNTIF($H$6:$H$1005,H793)&gt;1,"Ошибка: дубликат URL",IF(E793&gt;TODAY(),"Ошибка: дата публикации в будущем",IF(S793="Да","Ошибка: подтверждённый дубль",IF(S793="","Проверить: отметьте дубль",IF(S793="Нужно проверить","Проверить возможный дубль",IF(TODAY()-E793&gt;30,"Проверить: старше 30 дней",IF(COUNTIFS(#REF!,G793,#REF!,"Готово")=0,"Проверить источник","Готово"))))))))))</f>
        <v/>
      </c>
    </row>
    <row r="794" spans="1:21" ht="25.5" customHeight="1">
      <c r="A794" s="21"/>
      <c r="B794" s="22"/>
      <c r="C794" s="21"/>
      <c r="D794" s="23"/>
      <c r="E794" s="22"/>
      <c r="F794" s="22"/>
      <c r="G794" s="23"/>
      <c r="H794" s="24"/>
      <c r="I794" s="24"/>
      <c r="J794" s="23"/>
      <c r="K794" s="23"/>
      <c r="L794" s="23"/>
      <c r="M794" s="23"/>
      <c r="N794" s="23"/>
      <c r="O794" s="23"/>
      <c r="P794" s="23"/>
      <c r="Q794" s="25"/>
      <c r="R794" s="23"/>
      <c r="S794" s="23"/>
      <c r="T794" s="23"/>
      <c r="U794" s="20" t="str">
        <f ca="1">IF(COUNTA(A794:T794)=0,"",IF(OR(A794="",B794="",C794="",E794="",G794="",H794="",J794="",K794="",L794="",M794=""),"Ошибка: заполните обязательные поля",IF(AND(LEFT(H794,7)&lt;&gt;"http://",LEFT(H794,8)&lt;&gt;"https://"),"Ошибка: некорректная ссылка",IF(COUNTIF($H$6:$H$1005,H794)&gt;1,"Ошибка: дубликат URL",IF(E794&gt;TODAY(),"Ошибка: дата публикации в будущем",IF(S794="Да","Ошибка: подтверждённый дубль",IF(S794="","Проверить: отметьте дубль",IF(S794="Нужно проверить","Проверить возможный дубль",IF(TODAY()-E794&gt;30,"Проверить: старше 30 дней",IF(COUNTIFS(#REF!,G794,#REF!,"Готово")=0,"Проверить источник","Готово"))))))))))</f>
        <v/>
      </c>
    </row>
    <row r="795" spans="1:21" ht="25.5" customHeight="1">
      <c r="A795" s="21"/>
      <c r="B795" s="22"/>
      <c r="C795" s="21"/>
      <c r="D795" s="23"/>
      <c r="E795" s="22"/>
      <c r="F795" s="22"/>
      <c r="G795" s="23"/>
      <c r="H795" s="24"/>
      <c r="I795" s="24"/>
      <c r="J795" s="23"/>
      <c r="K795" s="23"/>
      <c r="L795" s="23"/>
      <c r="M795" s="23"/>
      <c r="N795" s="23"/>
      <c r="O795" s="23"/>
      <c r="P795" s="23"/>
      <c r="Q795" s="25"/>
      <c r="R795" s="23"/>
      <c r="S795" s="23"/>
      <c r="T795" s="23"/>
      <c r="U795" s="20" t="str">
        <f ca="1">IF(COUNTA(A795:T795)=0,"",IF(OR(A795="",B795="",C795="",E795="",G795="",H795="",J795="",K795="",L795="",M795=""),"Ошибка: заполните обязательные поля",IF(AND(LEFT(H795,7)&lt;&gt;"http://",LEFT(H795,8)&lt;&gt;"https://"),"Ошибка: некорректная ссылка",IF(COUNTIF($H$6:$H$1005,H795)&gt;1,"Ошибка: дубликат URL",IF(E795&gt;TODAY(),"Ошибка: дата публикации в будущем",IF(S795="Да","Ошибка: подтверждённый дубль",IF(S795="","Проверить: отметьте дубль",IF(S795="Нужно проверить","Проверить возможный дубль",IF(TODAY()-E795&gt;30,"Проверить: старше 30 дней",IF(COUNTIFS(#REF!,G795,#REF!,"Готово")=0,"Проверить источник","Готово"))))))))))</f>
        <v/>
      </c>
    </row>
    <row r="796" spans="1:21" ht="25.5" customHeight="1">
      <c r="A796" s="21"/>
      <c r="B796" s="22"/>
      <c r="C796" s="21"/>
      <c r="D796" s="23"/>
      <c r="E796" s="22"/>
      <c r="F796" s="22"/>
      <c r="G796" s="23"/>
      <c r="H796" s="24"/>
      <c r="I796" s="24"/>
      <c r="J796" s="23"/>
      <c r="K796" s="23"/>
      <c r="L796" s="23"/>
      <c r="M796" s="23"/>
      <c r="N796" s="23"/>
      <c r="O796" s="23"/>
      <c r="P796" s="23"/>
      <c r="Q796" s="25"/>
      <c r="R796" s="23"/>
      <c r="S796" s="23"/>
      <c r="T796" s="23"/>
      <c r="U796" s="20" t="str">
        <f ca="1">IF(COUNTA(A796:T796)=0,"",IF(OR(A796="",B796="",C796="",E796="",G796="",H796="",J796="",K796="",L796="",M796=""),"Ошибка: заполните обязательные поля",IF(AND(LEFT(H796,7)&lt;&gt;"http://",LEFT(H796,8)&lt;&gt;"https://"),"Ошибка: некорректная ссылка",IF(COUNTIF($H$6:$H$1005,H796)&gt;1,"Ошибка: дубликат URL",IF(E796&gt;TODAY(),"Ошибка: дата публикации в будущем",IF(S796="Да","Ошибка: подтверждённый дубль",IF(S796="","Проверить: отметьте дубль",IF(S796="Нужно проверить","Проверить возможный дубль",IF(TODAY()-E796&gt;30,"Проверить: старше 30 дней",IF(COUNTIFS(#REF!,G796,#REF!,"Готово")=0,"Проверить источник","Готово"))))))))))</f>
        <v/>
      </c>
    </row>
    <row r="797" spans="1:21" ht="25.5" customHeight="1">
      <c r="A797" s="21"/>
      <c r="B797" s="22"/>
      <c r="C797" s="21"/>
      <c r="D797" s="23"/>
      <c r="E797" s="22"/>
      <c r="F797" s="22"/>
      <c r="G797" s="23"/>
      <c r="H797" s="24"/>
      <c r="I797" s="24"/>
      <c r="J797" s="23"/>
      <c r="K797" s="23"/>
      <c r="L797" s="23"/>
      <c r="M797" s="23"/>
      <c r="N797" s="23"/>
      <c r="O797" s="23"/>
      <c r="P797" s="23"/>
      <c r="Q797" s="25"/>
      <c r="R797" s="23"/>
      <c r="S797" s="23"/>
      <c r="T797" s="23"/>
      <c r="U797" s="20" t="str">
        <f ca="1">IF(COUNTA(A797:T797)=0,"",IF(OR(A797="",B797="",C797="",E797="",G797="",H797="",J797="",K797="",L797="",M797=""),"Ошибка: заполните обязательные поля",IF(AND(LEFT(H797,7)&lt;&gt;"http://",LEFT(H797,8)&lt;&gt;"https://"),"Ошибка: некорректная ссылка",IF(COUNTIF($H$6:$H$1005,H797)&gt;1,"Ошибка: дубликат URL",IF(E797&gt;TODAY(),"Ошибка: дата публикации в будущем",IF(S797="Да","Ошибка: подтверждённый дубль",IF(S797="","Проверить: отметьте дубль",IF(S797="Нужно проверить","Проверить возможный дубль",IF(TODAY()-E797&gt;30,"Проверить: старше 30 дней",IF(COUNTIFS(#REF!,G797,#REF!,"Готово")=0,"Проверить источник","Готово"))))))))))</f>
        <v/>
      </c>
    </row>
    <row r="798" spans="1:21" ht="25.5" customHeight="1">
      <c r="A798" s="21"/>
      <c r="B798" s="22"/>
      <c r="C798" s="21"/>
      <c r="D798" s="23"/>
      <c r="E798" s="22"/>
      <c r="F798" s="22"/>
      <c r="G798" s="23"/>
      <c r="H798" s="24"/>
      <c r="I798" s="24"/>
      <c r="J798" s="23"/>
      <c r="K798" s="23"/>
      <c r="L798" s="23"/>
      <c r="M798" s="23"/>
      <c r="N798" s="23"/>
      <c r="O798" s="23"/>
      <c r="P798" s="23"/>
      <c r="Q798" s="25"/>
      <c r="R798" s="23"/>
      <c r="S798" s="23"/>
      <c r="T798" s="23"/>
      <c r="U798" s="20" t="str">
        <f ca="1">IF(COUNTA(A798:T798)=0,"",IF(OR(A798="",B798="",C798="",E798="",G798="",H798="",J798="",K798="",L798="",M798=""),"Ошибка: заполните обязательные поля",IF(AND(LEFT(H798,7)&lt;&gt;"http://",LEFT(H798,8)&lt;&gt;"https://"),"Ошибка: некорректная ссылка",IF(COUNTIF($H$6:$H$1005,H798)&gt;1,"Ошибка: дубликат URL",IF(E798&gt;TODAY(),"Ошибка: дата публикации в будущем",IF(S798="Да","Ошибка: подтверждённый дубль",IF(S798="","Проверить: отметьте дубль",IF(S798="Нужно проверить","Проверить возможный дубль",IF(TODAY()-E798&gt;30,"Проверить: старше 30 дней",IF(COUNTIFS(#REF!,G798,#REF!,"Готово")=0,"Проверить источник","Готово"))))))))))</f>
        <v/>
      </c>
    </row>
    <row r="799" spans="1:21" ht="25.5" customHeight="1">
      <c r="A799" s="21"/>
      <c r="B799" s="22"/>
      <c r="C799" s="21"/>
      <c r="D799" s="23"/>
      <c r="E799" s="22"/>
      <c r="F799" s="22"/>
      <c r="G799" s="23"/>
      <c r="H799" s="24"/>
      <c r="I799" s="24"/>
      <c r="J799" s="23"/>
      <c r="K799" s="23"/>
      <c r="L799" s="23"/>
      <c r="M799" s="23"/>
      <c r="N799" s="23"/>
      <c r="O799" s="23"/>
      <c r="P799" s="23"/>
      <c r="Q799" s="25"/>
      <c r="R799" s="23"/>
      <c r="S799" s="23"/>
      <c r="T799" s="23"/>
      <c r="U799" s="20" t="str">
        <f ca="1">IF(COUNTA(A799:T799)=0,"",IF(OR(A799="",B799="",C799="",E799="",G799="",H799="",J799="",K799="",L799="",M799=""),"Ошибка: заполните обязательные поля",IF(AND(LEFT(H799,7)&lt;&gt;"http://",LEFT(H799,8)&lt;&gt;"https://"),"Ошибка: некорректная ссылка",IF(COUNTIF($H$6:$H$1005,H799)&gt;1,"Ошибка: дубликат URL",IF(E799&gt;TODAY(),"Ошибка: дата публикации в будущем",IF(S799="Да","Ошибка: подтверждённый дубль",IF(S799="","Проверить: отметьте дубль",IF(S799="Нужно проверить","Проверить возможный дубль",IF(TODAY()-E799&gt;30,"Проверить: старше 30 дней",IF(COUNTIFS(#REF!,G799,#REF!,"Готово")=0,"Проверить источник","Готово"))))))))))</f>
        <v/>
      </c>
    </row>
    <row r="800" spans="1:21" ht="25.5" customHeight="1">
      <c r="A800" s="21"/>
      <c r="B800" s="22"/>
      <c r="C800" s="21"/>
      <c r="D800" s="23"/>
      <c r="E800" s="22"/>
      <c r="F800" s="22"/>
      <c r="G800" s="23"/>
      <c r="H800" s="24"/>
      <c r="I800" s="24"/>
      <c r="J800" s="23"/>
      <c r="K800" s="23"/>
      <c r="L800" s="23"/>
      <c r="M800" s="23"/>
      <c r="N800" s="23"/>
      <c r="O800" s="23"/>
      <c r="P800" s="23"/>
      <c r="Q800" s="25"/>
      <c r="R800" s="23"/>
      <c r="S800" s="23"/>
      <c r="T800" s="23"/>
      <c r="U800" s="20" t="str">
        <f ca="1">IF(COUNTA(A800:T800)=0,"",IF(OR(A800="",B800="",C800="",E800="",G800="",H800="",J800="",K800="",L800="",M800=""),"Ошибка: заполните обязательные поля",IF(AND(LEFT(H800,7)&lt;&gt;"http://",LEFT(H800,8)&lt;&gt;"https://"),"Ошибка: некорректная ссылка",IF(COUNTIF($H$6:$H$1005,H800)&gt;1,"Ошибка: дубликат URL",IF(E800&gt;TODAY(),"Ошибка: дата публикации в будущем",IF(S800="Да","Ошибка: подтверждённый дубль",IF(S800="","Проверить: отметьте дубль",IF(S800="Нужно проверить","Проверить возможный дубль",IF(TODAY()-E800&gt;30,"Проверить: старше 30 дней",IF(COUNTIFS(#REF!,G800,#REF!,"Готово")=0,"Проверить источник","Готово"))))))))))</f>
        <v/>
      </c>
    </row>
    <row r="801" spans="1:21" ht="25.5" customHeight="1">
      <c r="A801" s="21"/>
      <c r="B801" s="22"/>
      <c r="C801" s="21"/>
      <c r="D801" s="23"/>
      <c r="E801" s="22"/>
      <c r="F801" s="22"/>
      <c r="G801" s="23"/>
      <c r="H801" s="24"/>
      <c r="I801" s="24"/>
      <c r="J801" s="23"/>
      <c r="K801" s="23"/>
      <c r="L801" s="23"/>
      <c r="M801" s="23"/>
      <c r="N801" s="23"/>
      <c r="O801" s="23"/>
      <c r="P801" s="23"/>
      <c r="Q801" s="25"/>
      <c r="R801" s="23"/>
      <c r="S801" s="23"/>
      <c r="T801" s="23"/>
      <c r="U801" s="20" t="str">
        <f ca="1">IF(COUNTA(A801:T801)=0,"",IF(OR(A801="",B801="",C801="",E801="",G801="",H801="",J801="",K801="",L801="",M801=""),"Ошибка: заполните обязательные поля",IF(AND(LEFT(H801,7)&lt;&gt;"http://",LEFT(H801,8)&lt;&gt;"https://"),"Ошибка: некорректная ссылка",IF(COUNTIF($H$6:$H$1005,H801)&gt;1,"Ошибка: дубликат URL",IF(E801&gt;TODAY(),"Ошибка: дата публикации в будущем",IF(S801="Да","Ошибка: подтверждённый дубль",IF(S801="","Проверить: отметьте дубль",IF(S801="Нужно проверить","Проверить возможный дубль",IF(TODAY()-E801&gt;30,"Проверить: старше 30 дней",IF(COUNTIFS(#REF!,G801,#REF!,"Готово")=0,"Проверить источник","Готово"))))))))))</f>
        <v/>
      </c>
    </row>
    <row r="802" spans="1:21" ht="25.5" customHeight="1">
      <c r="A802" s="21"/>
      <c r="B802" s="22"/>
      <c r="C802" s="21"/>
      <c r="D802" s="23"/>
      <c r="E802" s="22"/>
      <c r="F802" s="22"/>
      <c r="G802" s="23"/>
      <c r="H802" s="24"/>
      <c r="I802" s="24"/>
      <c r="J802" s="23"/>
      <c r="K802" s="23"/>
      <c r="L802" s="23"/>
      <c r="M802" s="23"/>
      <c r="N802" s="23"/>
      <c r="O802" s="23"/>
      <c r="P802" s="23"/>
      <c r="Q802" s="25"/>
      <c r="R802" s="23"/>
      <c r="S802" s="23"/>
      <c r="T802" s="23"/>
      <c r="U802" s="20" t="str">
        <f ca="1">IF(COUNTA(A802:T802)=0,"",IF(OR(A802="",B802="",C802="",E802="",G802="",H802="",J802="",K802="",L802="",M802=""),"Ошибка: заполните обязательные поля",IF(AND(LEFT(H802,7)&lt;&gt;"http://",LEFT(H802,8)&lt;&gt;"https://"),"Ошибка: некорректная ссылка",IF(COUNTIF($H$6:$H$1005,H802)&gt;1,"Ошибка: дубликат URL",IF(E802&gt;TODAY(),"Ошибка: дата публикации в будущем",IF(S802="Да","Ошибка: подтверждённый дубль",IF(S802="","Проверить: отметьте дубль",IF(S802="Нужно проверить","Проверить возможный дубль",IF(TODAY()-E802&gt;30,"Проверить: старше 30 дней",IF(COUNTIFS(#REF!,G802,#REF!,"Готово")=0,"Проверить источник","Готово"))))))))))</f>
        <v/>
      </c>
    </row>
    <row r="803" spans="1:21" ht="25.5" customHeight="1">
      <c r="A803" s="21"/>
      <c r="B803" s="22"/>
      <c r="C803" s="21"/>
      <c r="D803" s="23"/>
      <c r="E803" s="22"/>
      <c r="F803" s="22"/>
      <c r="G803" s="23"/>
      <c r="H803" s="24"/>
      <c r="I803" s="24"/>
      <c r="J803" s="23"/>
      <c r="K803" s="23"/>
      <c r="L803" s="23"/>
      <c r="M803" s="23"/>
      <c r="N803" s="23"/>
      <c r="O803" s="23"/>
      <c r="P803" s="23"/>
      <c r="Q803" s="25"/>
      <c r="R803" s="23"/>
      <c r="S803" s="23"/>
      <c r="T803" s="23"/>
      <c r="U803" s="20" t="str">
        <f ca="1">IF(COUNTA(A803:T803)=0,"",IF(OR(A803="",B803="",C803="",E803="",G803="",H803="",J803="",K803="",L803="",M803=""),"Ошибка: заполните обязательные поля",IF(AND(LEFT(H803,7)&lt;&gt;"http://",LEFT(H803,8)&lt;&gt;"https://"),"Ошибка: некорректная ссылка",IF(COUNTIF($H$6:$H$1005,H803)&gt;1,"Ошибка: дубликат URL",IF(E803&gt;TODAY(),"Ошибка: дата публикации в будущем",IF(S803="Да","Ошибка: подтверждённый дубль",IF(S803="","Проверить: отметьте дубль",IF(S803="Нужно проверить","Проверить возможный дубль",IF(TODAY()-E803&gt;30,"Проверить: старше 30 дней",IF(COUNTIFS(#REF!,G803,#REF!,"Готово")=0,"Проверить источник","Готово"))))))))))</f>
        <v/>
      </c>
    </row>
    <row r="804" spans="1:21" ht="25.5" customHeight="1">
      <c r="A804" s="21"/>
      <c r="B804" s="22"/>
      <c r="C804" s="21"/>
      <c r="D804" s="23"/>
      <c r="E804" s="22"/>
      <c r="F804" s="22"/>
      <c r="G804" s="23"/>
      <c r="H804" s="24"/>
      <c r="I804" s="24"/>
      <c r="J804" s="23"/>
      <c r="K804" s="23"/>
      <c r="L804" s="23"/>
      <c r="M804" s="23"/>
      <c r="N804" s="23"/>
      <c r="O804" s="23"/>
      <c r="P804" s="23"/>
      <c r="Q804" s="25"/>
      <c r="R804" s="23"/>
      <c r="S804" s="23"/>
      <c r="T804" s="23"/>
      <c r="U804" s="20" t="str">
        <f ca="1">IF(COUNTA(A804:T804)=0,"",IF(OR(A804="",B804="",C804="",E804="",G804="",H804="",J804="",K804="",L804="",M804=""),"Ошибка: заполните обязательные поля",IF(AND(LEFT(H804,7)&lt;&gt;"http://",LEFT(H804,8)&lt;&gt;"https://"),"Ошибка: некорректная ссылка",IF(COUNTIF($H$6:$H$1005,H804)&gt;1,"Ошибка: дубликат URL",IF(E804&gt;TODAY(),"Ошибка: дата публикации в будущем",IF(S804="Да","Ошибка: подтверждённый дубль",IF(S804="","Проверить: отметьте дубль",IF(S804="Нужно проверить","Проверить возможный дубль",IF(TODAY()-E804&gt;30,"Проверить: старше 30 дней",IF(COUNTIFS(#REF!,G804,#REF!,"Готово")=0,"Проверить источник","Готово"))))))))))</f>
        <v/>
      </c>
    </row>
    <row r="805" spans="1:21" ht="25.5" customHeight="1">
      <c r="A805" s="21"/>
      <c r="B805" s="22"/>
      <c r="C805" s="21"/>
      <c r="D805" s="23"/>
      <c r="E805" s="22"/>
      <c r="F805" s="22"/>
      <c r="G805" s="23"/>
      <c r="H805" s="24"/>
      <c r="I805" s="24"/>
      <c r="J805" s="23"/>
      <c r="K805" s="23"/>
      <c r="L805" s="23"/>
      <c r="M805" s="23"/>
      <c r="N805" s="23"/>
      <c r="O805" s="23"/>
      <c r="P805" s="23"/>
      <c r="Q805" s="25"/>
      <c r="R805" s="23"/>
      <c r="S805" s="23"/>
      <c r="T805" s="23"/>
      <c r="U805" s="20" t="str">
        <f ca="1">IF(COUNTA(A805:T805)=0,"",IF(OR(A805="",B805="",C805="",E805="",G805="",H805="",J805="",K805="",L805="",M805=""),"Ошибка: заполните обязательные поля",IF(AND(LEFT(H805,7)&lt;&gt;"http://",LEFT(H805,8)&lt;&gt;"https://"),"Ошибка: некорректная ссылка",IF(COUNTIF($H$6:$H$1005,H805)&gt;1,"Ошибка: дубликат URL",IF(E805&gt;TODAY(),"Ошибка: дата публикации в будущем",IF(S805="Да","Ошибка: подтверждённый дубль",IF(S805="","Проверить: отметьте дубль",IF(S805="Нужно проверить","Проверить возможный дубль",IF(TODAY()-E805&gt;30,"Проверить: старше 30 дней",IF(COUNTIFS(#REF!,G805,#REF!,"Готово")=0,"Проверить источник","Готово"))))))))))</f>
        <v/>
      </c>
    </row>
    <row r="806" spans="1:21" ht="25.5" customHeight="1">
      <c r="A806" s="21"/>
      <c r="B806" s="22"/>
      <c r="C806" s="21"/>
      <c r="D806" s="23"/>
      <c r="E806" s="22"/>
      <c r="F806" s="22"/>
      <c r="G806" s="23"/>
      <c r="H806" s="24"/>
      <c r="I806" s="24"/>
      <c r="J806" s="23"/>
      <c r="K806" s="23"/>
      <c r="L806" s="23"/>
      <c r="M806" s="23"/>
      <c r="N806" s="23"/>
      <c r="O806" s="23"/>
      <c r="P806" s="23"/>
      <c r="Q806" s="25"/>
      <c r="R806" s="23"/>
      <c r="S806" s="23"/>
      <c r="T806" s="23"/>
      <c r="U806" s="20" t="str">
        <f ca="1">IF(COUNTA(A806:T806)=0,"",IF(OR(A806="",B806="",C806="",E806="",G806="",H806="",J806="",K806="",L806="",M806=""),"Ошибка: заполните обязательные поля",IF(AND(LEFT(H806,7)&lt;&gt;"http://",LEFT(H806,8)&lt;&gt;"https://"),"Ошибка: некорректная ссылка",IF(COUNTIF($H$6:$H$1005,H806)&gt;1,"Ошибка: дубликат URL",IF(E806&gt;TODAY(),"Ошибка: дата публикации в будущем",IF(S806="Да","Ошибка: подтверждённый дубль",IF(S806="","Проверить: отметьте дубль",IF(S806="Нужно проверить","Проверить возможный дубль",IF(TODAY()-E806&gt;30,"Проверить: старше 30 дней",IF(COUNTIFS(#REF!,G806,#REF!,"Готово")=0,"Проверить источник","Готово"))))))))))</f>
        <v/>
      </c>
    </row>
    <row r="807" spans="1:21" ht="25.5" customHeight="1">
      <c r="A807" s="21"/>
      <c r="B807" s="22"/>
      <c r="C807" s="21"/>
      <c r="D807" s="23"/>
      <c r="E807" s="22"/>
      <c r="F807" s="22"/>
      <c r="G807" s="23"/>
      <c r="H807" s="24"/>
      <c r="I807" s="24"/>
      <c r="J807" s="23"/>
      <c r="K807" s="23"/>
      <c r="L807" s="23"/>
      <c r="M807" s="23"/>
      <c r="N807" s="23"/>
      <c r="O807" s="23"/>
      <c r="P807" s="23"/>
      <c r="Q807" s="25"/>
      <c r="R807" s="23"/>
      <c r="S807" s="23"/>
      <c r="T807" s="23"/>
      <c r="U807" s="20" t="str">
        <f ca="1">IF(COUNTA(A807:T807)=0,"",IF(OR(A807="",B807="",C807="",E807="",G807="",H807="",J807="",K807="",L807="",M807=""),"Ошибка: заполните обязательные поля",IF(AND(LEFT(H807,7)&lt;&gt;"http://",LEFT(H807,8)&lt;&gt;"https://"),"Ошибка: некорректная ссылка",IF(COUNTIF($H$6:$H$1005,H807)&gt;1,"Ошибка: дубликат URL",IF(E807&gt;TODAY(),"Ошибка: дата публикации в будущем",IF(S807="Да","Ошибка: подтверждённый дубль",IF(S807="","Проверить: отметьте дубль",IF(S807="Нужно проверить","Проверить возможный дубль",IF(TODAY()-E807&gt;30,"Проверить: старше 30 дней",IF(COUNTIFS(#REF!,G807,#REF!,"Готово")=0,"Проверить источник","Готово"))))))))))</f>
        <v/>
      </c>
    </row>
    <row r="808" spans="1:21" ht="25.5" customHeight="1">
      <c r="A808" s="21"/>
      <c r="B808" s="22"/>
      <c r="C808" s="21"/>
      <c r="D808" s="23"/>
      <c r="E808" s="22"/>
      <c r="F808" s="22"/>
      <c r="G808" s="23"/>
      <c r="H808" s="24"/>
      <c r="I808" s="24"/>
      <c r="J808" s="23"/>
      <c r="K808" s="23"/>
      <c r="L808" s="23"/>
      <c r="M808" s="23"/>
      <c r="N808" s="23"/>
      <c r="O808" s="23"/>
      <c r="P808" s="23"/>
      <c r="Q808" s="25"/>
      <c r="R808" s="23"/>
      <c r="S808" s="23"/>
      <c r="T808" s="23"/>
      <c r="U808" s="20" t="str">
        <f ca="1">IF(COUNTA(A808:T808)=0,"",IF(OR(A808="",B808="",C808="",E808="",G808="",H808="",J808="",K808="",L808="",M808=""),"Ошибка: заполните обязательные поля",IF(AND(LEFT(H808,7)&lt;&gt;"http://",LEFT(H808,8)&lt;&gt;"https://"),"Ошибка: некорректная ссылка",IF(COUNTIF($H$6:$H$1005,H808)&gt;1,"Ошибка: дубликат URL",IF(E808&gt;TODAY(),"Ошибка: дата публикации в будущем",IF(S808="Да","Ошибка: подтверждённый дубль",IF(S808="","Проверить: отметьте дубль",IF(S808="Нужно проверить","Проверить возможный дубль",IF(TODAY()-E808&gt;30,"Проверить: старше 30 дней",IF(COUNTIFS(#REF!,G808,#REF!,"Готово")=0,"Проверить источник","Готово"))))))))))</f>
        <v/>
      </c>
    </row>
    <row r="809" spans="1:21" ht="25.5" customHeight="1">
      <c r="A809" s="21"/>
      <c r="B809" s="22"/>
      <c r="C809" s="21"/>
      <c r="D809" s="23"/>
      <c r="E809" s="22"/>
      <c r="F809" s="22"/>
      <c r="G809" s="23"/>
      <c r="H809" s="24"/>
      <c r="I809" s="24"/>
      <c r="J809" s="23"/>
      <c r="K809" s="23"/>
      <c r="L809" s="23"/>
      <c r="M809" s="23"/>
      <c r="N809" s="23"/>
      <c r="O809" s="23"/>
      <c r="P809" s="23"/>
      <c r="Q809" s="25"/>
      <c r="R809" s="23"/>
      <c r="S809" s="23"/>
      <c r="T809" s="23"/>
      <c r="U809" s="20" t="str">
        <f ca="1">IF(COUNTA(A809:T809)=0,"",IF(OR(A809="",B809="",C809="",E809="",G809="",H809="",J809="",K809="",L809="",M809=""),"Ошибка: заполните обязательные поля",IF(AND(LEFT(H809,7)&lt;&gt;"http://",LEFT(H809,8)&lt;&gt;"https://"),"Ошибка: некорректная ссылка",IF(COUNTIF($H$6:$H$1005,H809)&gt;1,"Ошибка: дубликат URL",IF(E809&gt;TODAY(),"Ошибка: дата публикации в будущем",IF(S809="Да","Ошибка: подтверждённый дубль",IF(S809="","Проверить: отметьте дубль",IF(S809="Нужно проверить","Проверить возможный дубль",IF(TODAY()-E809&gt;30,"Проверить: старше 30 дней",IF(COUNTIFS(#REF!,G809,#REF!,"Готово")=0,"Проверить источник","Готово"))))))))))</f>
        <v/>
      </c>
    </row>
    <row r="810" spans="1:21" ht="25.5" customHeight="1">
      <c r="A810" s="21"/>
      <c r="B810" s="22"/>
      <c r="C810" s="21"/>
      <c r="D810" s="23"/>
      <c r="E810" s="22"/>
      <c r="F810" s="22"/>
      <c r="G810" s="23"/>
      <c r="H810" s="24"/>
      <c r="I810" s="24"/>
      <c r="J810" s="23"/>
      <c r="K810" s="23"/>
      <c r="L810" s="23"/>
      <c r="M810" s="23"/>
      <c r="N810" s="23"/>
      <c r="O810" s="23"/>
      <c r="P810" s="23"/>
      <c r="Q810" s="25"/>
      <c r="R810" s="23"/>
      <c r="S810" s="23"/>
      <c r="T810" s="23"/>
      <c r="U810" s="20" t="str">
        <f ca="1">IF(COUNTA(A810:T810)=0,"",IF(OR(A810="",B810="",C810="",E810="",G810="",H810="",J810="",K810="",L810="",M810=""),"Ошибка: заполните обязательные поля",IF(AND(LEFT(H810,7)&lt;&gt;"http://",LEFT(H810,8)&lt;&gt;"https://"),"Ошибка: некорректная ссылка",IF(COUNTIF($H$6:$H$1005,H810)&gt;1,"Ошибка: дубликат URL",IF(E810&gt;TODAY(),"Ошибка: дата публикации в будущем",IF(S810="Да","Ошибка: подтверждённый дубль",IF(S810="","Проверить: отметьте дубль",IF(S810="Нужно проверить","Проверить возможный дубль",IF(TODAY()-E810&gt;30,"Проверить: старше 30 дней",IF(COUNTIFS(#REF!,G810,#REF!,"Готово")=0,"Проверить источник","Готово"))))))))))</f>
        <v/>
      </c>
    </row>
    <row r="811" spans="1:21" ht="25.5" customHeight="1">
      <c r="A811" s="21"/>
      <c r="B811" s="22"/>
      <c r="C811" s="21"/>
      <c r="D811" s="23"/>
      <c r="E811" s="22"/>
      <c r="F811" s="22"/>
      <c r="G811" s="23"/>
      <c r="H811" s="24"/>
      <c r="I811" s="24"/>
      <c r="J811" s="23"/>
      <c r="K811" s="23"/>
      <c r="L811" s="23"/>
      <c r="M811" s="23"/>
      <c r="N811" s="23"/>
      <c r="O811" s="23"/>
      <c r="P811" s="23"/>
      <c r="Q811" s="25"/>
      <c r="R811" s="23"/>
      <c r="S811" s="23"/>
      <c r="T811" s="23"/>
      <c r="U811" s="20" t="str">
        <f ca="1">IF(COUNTA(A811:T811)=0,"",IF(OR(A811="",B811="",C811="",E811="",G811="",H811="",J811="",K811="",L811="",M811=""),"Ошибка: заполните обязательные поля",IF(AND(LEFT(H811,7)&lt;&gt;"http://",LEFT(H811,8)&lt;&gt;"https://"),"Ошибка: некорректная ссылка",IF(COUNTIF($H$6:$H$1005,H811)&gt;1,"Ошибка: дубликат URL",IF(E811&gt;TODAY(),"Ошибка: дата публикации в будущем",IF(S811="Да","Ошибка: подтверждённый дубль",IF(S811="","Проверить: отметьте дубль",IF(S811="Нужно проверить","Проверить возможный дубль",IF(TODAY()-E811&gt;30,"Проверить: старше 30 дней",IF(COUNTIFS(#REF!,G811,#REF!,"Готово")=0,"Проверить источник","Готово"))))))))))</f>
        <v/>
      </c>
    </row>
    <row r="812" spans="1:21" ht="25.5" customHeight="1">
      <c r="A812" s="21"/>
      <c r="B812" s="22"/>
      <c r="C812" s="21"/>
      <c r="D812" s="23"/>
      <c r="E812" s="22"/>
      <c r="F812" s="22"/>
      <c r="G812" s="23"/>
      <c r="H812" s="24"/>
      <c r="I812" s="24"/>
      <c r="J812" s="23"/>
      <c r="K812" s="23"/>
      <c r="L812" s="23"/>
      <c r="M812" s="23"/>
      <c r="N812" s="23"/>
      <c r="O812" s="23"/>
      <c r="P812" s="23"/>
      <c r="Q812" s="25"/>
      <c r="R812" s="23"/>
      <c r="S812" s="23"/>
      <c r="T812" s="23"/>
      <c r="U812" s="20" t="str">
        <f ca="1">IF(COUNTA(A812:T812)=0,"",IF(OR(A812="",B812="",C812="",E812="",G812="",H812="",J812="",K812="",L812="",M812=""),"Ошибка: заполните обязательные поля",IF(AND(LEFT(H812,7)&lt;&gt;"http://",LEFT(H812,8)&lt;&gt;"https://"),"Ошибка: некорректная ссылка",IF(COUNTIF($H$6:$H$1005,H812)&gt;1,"Ошибка: дубликат URL",IF(E812&gt;TODAY(),"Ошибка: дата публикации в будущем",IF(S812="Да","Ошибка: подтверждённый дубль",IF(S812="","Проверить: отметьте дубль",IF(S812="Нужно проверить","Проверить возможный дубль",IF(TODAY()-E812&gt;30,"Проверить: старше 30 дней",IF(COUNTIFS(#REF!,G812,#REF!,"Готово")=0,"Проверить источник","Готово"))))))))))</f>
        <v/>
      </c>
    </row>
    <row r="813" spans="1:21" ht="25.5" customHeight="1">
      <c r="A813" s="21"/>
      <c r="B813" s="22"/>
      <c r="C813" s="21"/>
      <c r="D813" s="23"/>
      <c r="E813" s="22"/>
      <c r="F813" s="22"/>
      <c r="G813" s="23"/>
      <c r="H813" s="24"/>
      <c r="I813" s="24"/>
      <c r="J813" s="23"/>
      <c r="K813" s="23"/>
      <c r="L813" s="23"/>
      <c r="M813" s="23"/>
      <c r="N813" s="23"/>
      <c r="O813" s="23"/>
      <c r="P813" s="23"/>
      <c r="Q813" s="25"/>
      <c r="R813" s="23"/>
      <c r="S813" s="23"/>
      <c r="T813" s="23"/>
      <c r="U813" s="20" t="str">
        <f ca="1">IF(COUNTA(A813:T813)=0,"",IF(OR(A813="",B813="",C813="",E813="",G813="",H813="",J813="",K813="",L813="",M813=""),"Ошибка: заполните обязательные поля",IF(AND(LEFT(H813,7)&lt;&gt;"http://",LEFT(H813,8)&lt;&gt;"https://"),"Ошибка: некорректная ссылка",IF(COUNTIF($H$6:$H$1005,H813)&gt;1,"Ошибка: дубликат URL",IF(E813&gt;TODAY(),"Ошибка: дата публикации в будущем",IF(S813="Да","Ошибка: подтверждённый дубль",IF(S813="","Проверить: отметьте дубль",IF(S813="Нужно проверить","Проверить возможный дубль",IF(TODAY()-E813&gt;30,"Проверить: старше 30 дней",IF(COUNTIFS(#REF!,G813,#REF!,"Готово")=0,"Проверить источник","Готово"))))))))))</f>
        <v/>
      </c>
    </row>
    <row r="814" spans="1:21" ht="25.5" customHeight="1">
      <c r="A814" s="21"/>
      <c r="B814" s="22"/>
      <c r="C814" s="21"/>
      <c r="D814" s="23"/>
      <c r="E814" s="22"/>
      <c r="F814" s="22"/>
      <c r="G814" s="23"/>
      <c r="H814" s="24"/>
      <c r="I814" s="24"/>
      <c r="J814" s="23"/>
      <c r="K814" s="23"/>
      <c r="L814" s="23"/>
      <c r="M814" s="23"/>
      <c r="N814" s="23"/>
      <c r="O814" s="23"/>
      <c r="P814" s="23"/>
      <c r="Q814" s="25"/>
      <c r="R814" s="23"/>
      <c r="S814" s="23"/>
      <c r="T814" s="23"/>
      <c r="U814" s="20" t="str">
        <f ca="1">IF(COUNTA(A814:T814)=0,"",IF(OR(A814="",B814="",C814="",E814="",G814="",H814="",J814="",K814="",L814="",M814=""),"Ошибка: заполните обязательные поля",IF(AND(LEFT(H814,7)&lt;&gt;"http://",LEFT(H814,8)&lt;&gt;"https://"),"Ошибка: некорректная ссылка",IF(COUNTIF($H$6:$H$1005,H814)&gt;1,"Ошибка: дубликат URL",IF(E814&gt;TODAY(),"Ошибка: дата публикации в будущем",IF(S814="Да","Ошибка: подтверждённый дубль",IF(S814="","Проверить: отметьте дубль",IF(S814="Нужно проверить","Проверить возможный дубль",IF(TODAY()-E814&gt;30,"Проверить: старше 30 дней",IF(COUNTIFS(#REF!,G814,#REF!,"Готово")=0,"Проверить источник","Готово"))))))))))</f>
        <v/>
      </c>
    </row>
    <row r="815" spans="1:21" ht="25.5" customHeight="1">
      <c r="A815" s="21"/>
      <c r="B815" s="22"/>
      <c r="C815" s="21"/>
      <c r="D815" s="23"/>
      <c r="E815" s="22"/>
      <c r="F815" s="22"/>
      <c r="G815" s="23"/>
      <c r="H815" s="24"/>
      <c r="I815" s="24"/>
      <c r="J815" s="23"/>
      <c r="K815" s="23"/>
      <c r="L815" s="23"/>
      <c r="M815" s="23"/>
      <c r="N815" s="23"/>
      <c r="O815" s="23"/>
      <c r="P815" s="23"/>
      <c r="Q815" s="25"/>
      <c r="R815" s="23"/>
      <c r="S815" s="23"/>
      <c r="T815" s="23"/>
      <c r="U815" s="20" t="str">
        <f ca="1">IF(COUNTA(A815:T815)=0,"",IF(OR(A815="",B815="",C815="",E815="",G815="",H815="",J815="",K815="",L815="",M815=""),"Ошибка: заполните обязательные поля",IF(AND(LEFT(H815,7)&lt;&gt;"http://",LEFT(H815,8)&lt;&gt;"https://"),"Ошибка: некорректная ссылка",IF(COUNTIF($H$6:$H$1005,H815)&gt;1,"Ошибка: дубликат URL",IF(E815&gt;TODAY(),"Ошибка: дата публикации в будущем",IF(S815="Да","Ошибка: подтверждённый дубль",IF(S815="","Проверить: отметьте дубль",IF(S815="Нужно проверить","Проверить возможный дубль",IF(TODAY()-E815&gt;30,"Проверить: старше 30 дней",IF(COUNTIFS(#REF!,G815,#REF!,"Готово")=0,"Проверить источник","Готово"))))))))))</f>
        <v/>
      </c>
    </row>
    <row r="816" spans="1:21" ht="25.5" customHeight="1">
      <c r="A816" s="21"/>
      <c r="B816" s="22"/>
      <c r="C816" s="21"/>
      <c r="D816" s="23"/>
      <c r="E816" s="22"/>
      <c r="F816" s="22"/>
      <c r="G816" s="23"/>
      <c r="H816" s="24"/>
      <c r="I816" s="24"/>
      <c r="J816" s="23"/>
      <c r="K816" s="23"/>
      <c r="L816" s="23"/>
      <c r="M816" s="23"/>
      <c r="N816" s="23"/>
      <c r="O816" s="23"/>
      <c r="P816" s="23"/>
      <c r="Q816" s="25"/>
      <c r="R816" s="23"/>
      <c r="S816" s="23"/>
      <c r="T816" s="23"/>
      <c r="U816" s="20" t="str">
        <f ca="1">IF(COUNTA(A816:T816)=0,"",IF(OR(A816="",B816="",C816="",E816="",G816="",H816="",J816="",K816="",L816="",M816=""),"Ошибка: заполните обязательные поля",IF(AND(LEFT(H816,7)&lt;&gt;"http://",LEFT(H816,8)&lt;&gt;"https://"),"Ошибка: некорректная ссылка",IF(COUNTIF($H$6:$H$1005,H816)&gt;1,"Ошибка: дубликат URL",IF(E816&gt;TODAY(),"Ошибка: дата публикации в будущем",IF(S816="Да","Ошибка: подтверждённый дубль",IF(S816="","Проверить: отметьте дубль",IF(S816="Нужно проверить","Проверить возможный дубль",IF(TODAY()-E816&gt;30,"Проверить: старше 30 дней",IF(COUNTIFS(#REF!,G816,#REF!,"Готово")=0,"Проверить источник","Готово"))))))))))</f>
        <v/>
      </c>
    </row>
    <row r="817" spans="1:21" ht="25.5" customHeight="1">
      <c r="A817" s="21"/>
      <c r="B817" s="22"/>
      <c r="C817" s="21"/>
      <c r="D817" s="23"/>
      <c r="E817" s="22"/>
      <c r="F817" s="22"/>
      <c r="G817" s="23"/>
      <c r="H817" s="24"/>
      <c r="I817" s="24"/>
      <c r="J817" s="23"/>
      <c r="K817" s="23"/>
      <c r="L817" s="23"/>
      <c r="M817" s="23"/>
      <c r="N817" s="23"/>
      <c r="O817" s="23"/>
      <c r="P817" s="23"/>
      <c r="Q817" s="25"/>
      <c r="R817" s="23"/>
      <c r="S817" s="23"/>
      <c r="T817" s="23"/>
      <c r="U817" s="20" t="str">
        <f ca="1">IF(COUNTA(A817:T817)=0,"",IF(OR(A817="",B817="",C817="",E817="",G817="",H817="",J817="",K817="",L817="",M817=""),"Ошибка: заполните обязательные поля",IF(AND(LEFT(H817,7)&lt;&gt;"http://",LEFT(H817,8)&lt;&gt;"https://"),"Ошибка: некорректная ссылка",IF(COUNTIF($H$6:$H$1005,H817)&gt;1,"Ошибка: дубликат URL",IF(E817&gt;TODAY(),"Ошибка: дата публикации в будущем",IF(S817="Да","Ошибка: подтверждённый дубль",IF(S817="","Проверить: отметьте дубль",IF(S817="Нужно проверить","Проверить возможный дубль",IF(TODAY()-E817&gt;30,"Проверить: старше 30 дней",IF(COUNTIFS(#REF!,G817,#REF!,"Готово")=0,"Проверить источник","Готово"))))))))))</f>
        <v/>
      </c>
    </row>
    <row r="818" spans="1:21" ht="25.5" customHeight="1">
      <c r="A818" s="21"/>
      <c r="B818" s="22"/>
      <c r="C818" s="21"/>
      <c r="D818" s="23"/>
      <c r="E818" s="22"/>
      <c r="F818" s="22"/>
      <c r="G818" s="23"/>
      <c r="H818" s="24"/>
      <c r="I818" s="24"/>
      <c r="J818" s="23"/>
      <c r="K818" s="23"/>
      <c r="L818" s="23"/>
      <c r="M818" s="23"/>
      <c r="N818" s="23"/>
      <c r="O818" s="23"/>
      <c r="P818" s="23"/>
      <c r="Q818" s="25"/>
      <c r="R818" s="23"/>
      <c r="S818" s="23"/>
      <c r="T818" s="23"/>
      <c r="U818" s="20" t="str">
        <f ca="1">IF(COUNTA(A818:T818)=0,"",IF(OR(A818="",B818="",C818="",E818="",G818="",H818="",J818="",K818="",L818="",M818=""),"Ошибка: заполните обязательные поля",IF(AND(LEFT(H818,7)&lt;&gt;"http://",LEFT(H818,8)&lt;&gt;"https://"),"Ошибка: некорректная ссылка",IF(COUNTIF($H$6:$H$1005,H818)&gt;1,"Ошибка: дубликат URL",IF(E818&gt;TODAY(),"Ошибка: дата публикации в будущем",IF(S818="Да","Ошибка: подтверждённый дубль",IF(S818="","Проверить: отметьте дубль",IF(S818="Нужно проверить","Проверить возможный дубль",IF(TODAY()-E818&gt;30,"Проверить: старше 30 дней",IF(COUNTIFS(#REF!,G818,#REF!,"Готово")=0,"Проверить источник","Готово"))))))))))</f>
        <v/>
      </c>
    </row>
    <row r="819" spans="1:21" ht="25.5" customHeight="1">
      <c r="A819" s="21"/>
      <c r="B819" s="22"/>
      <c r="C819" s="21"/>
      <c r="D819" s="23"/>
      <c r="E819" s="22"/>
      <c r="F819" s="22"/>
      <c r="G819" s="23"/>
      <c r="H819" s="24"/>
      <c r="I819" s="24"/>
      <c r="J819" s="23"/>
      <c r="K819" s="23"/>
      <c r="L819" s="23"/>
      <c r="M819" s="23"/>
      <c r="N819" s="23"/>
      <c r="O819" s="23"/>
      <c r="P819" s="23"/>
      <c r="Q819" s="25"/>
      <c r="R819" s="23"/>
      <c r="S819" s="23"/>
      <c r="T819" s="23"/>
      <c r="U819" s="20" t="str">
        <f ca="1">IF(COUNTA(A819:T819)=0,"",IF(OR(A819="",B819="",C819="",E819="",G819="",H819="",J819="",K819="",L819="",M819=""),"Ошибка: заполните обязательные поля",IF(AND(LEFT(H819,7)&lt;&gt;"http://",LEFT(H819,8)&lt;&gt;"https://"),"Ошибка: некорректная ссылка",IF(COUNTIF($H$6:$H$1005,H819)&gt;1,"Ошибка: дубликат URL",IF(E819&gt;TODAY(),"Ошибка: дата публикации в будущем",IF(S819="Да","Ошибка: подтверждённый дубль",IF(S819="","Проверить: отметьте дубль",IF(S819="Нужно проверить","Проверить возможный дубль",IF(TODAY()-E819&gt;30,"Проверить: старше 30 дней",IF(COUNTIFS(#REF!,G819,#REF!,"Готово")=0,"Проверить источник","Готово"))))))))))</f>
        <v/>
      </c>
    </row>
    <row r="820" spans="1:21" ht="25.5" customHeight="1">
      <c r="A820" s="21"/>
      <c r="B820" s="22"/>
      <c r="C820" s="21"/>
      <c r="D820" s="23"/>
      <c r="E820" s="22"/>
      <c r="F820" s="22"/>
      <c r="G820" s="23"/>
      <c r="H820" s="24"/>
      <c r="I820" s="24"/>
      <c r="J820" s="23"/>
      <c r="K820" s="23"/>
      <c r="L820" s="23"/>
      <c r="M820" s="23"/>
      <c r="N820" s="23"/>
      <c r="O820" s="23"/>
      <c r="P820" s="23"/>
      <c r="Q820" s="25"/>
      <c r="R820" s="23"/>
      <c r="S820" s="23"/>
      <c r="T820" s="23"/>
      <c r="U820" s="20" t="str">
        <f ca="1">IF(COUNTA(A820:T820)=0,"",IF(OR(A820="",B820="",C820="",E820="",G820="",H820="",J820="",K820="",L820="",M820=""),"Ошибка: заполните обязательные поля",IF(AND(LEFT(H820,7)&lt;&gt;"http://",LEFT(H820,8)&lt;&gt;"https://"),"Ошибка: некорректная ссылка",IF(COUNTIF($H$6:$H$1005,H820)&gt;1,"Ошибка: дубликат URL",IF(E820&gt;TODAY(),"Ошибка: дата публикации в будущем",IF(S820="Да","Ошибка: подтверждённый дубль",IF(S820="","Проверить: отметьте дубль",IF(S820="Нужно проверить","Проверить возможный дубль",IF(TODAY()-E820&gt;30,"Проверить: старше 30 дней",IF(COUNTIFS(#REF!,G820,#REF!,"Готово")=0,"Проверить источник","Готово"))))))))))</f>
        <v/>
      </c>
    </row>
    <row r="821" spans="1:21" ht="25.5" customHeight="1">
      <c r="A821" s="21"/>
      <c r="B821" s="22"/>
      <c r="C821" s="21"/>
      <c r="D821" s="23"/>
      <c r="E821" s="22"/>
      <c r="F821" s="22"/>
      <c r="G821" s="23"/>
      <c r="H821" s="24"/>
      <c r="I821" s="24"/>
      <c r="J821" s="23"/>
      <c r="K821" s="23"/>
      <c r="L821" s="23"/>
      <c r="M821" s="23"/>
      <c r="N821" s="23"/>
      <c r="O821" s="23"/>
      <c r="P821" s="23"/>
      <c r="Q821" s="25"/>
      <c r="R821" s="23"/>
      <c r="S821" s="23"/>
      <c r="T821" s="23"/>
      <c r="U821" s="20" t="str">
        <f ca="1">IF(COUNTA(A821:T821)=0,"",IF(OR(A821="",B821="",C821="",E821="",G821="",H821="",J821="",K821="",L821="",M821=""),"Ошибка: заполните обязательные поля",IF(AND(LEFT(H821,7)&lt;&gt;"http://",LEFT(H821,8)&lt;&gt;"https://"),"Ошибка: некорректная ссылка",IF(COUNTIF($H$6:$H$1005,H821)&gt;1,"Ошибка: дубликат URL",IF(E821&gt;TODAY(),"Ошибка: дата публикации в будущем",IF(S821="Да","Ошибка: подтверждённый дубль",IF(S821="","Проверить: отметьте дубль",IF(S821="Нужно проверить","Проверить возможный дубль",IF(TODAY()-E821&gt;30,"Проверить: старше 30 дней",IF(COUNTIFS(#REF!,G821,#REF!,"Готово")=0,"Проверить источник","Готово"))))))))))</f>
        <v/>
      </c>
    </row>
    <row r="822" spans="1:21" ht="25.5" customHeight="1">
      <c r="A822" s="21"/>
      <c r="B822" s="22"/>
      <c r="C822" s="21"/>
      <c r="D822" s="23"/>
      <c r="E822" s="22"/>
      <c r="F822" s="22"/>
      <c r="G822" s="23"/>
      <c r="H822" s="24"/>
      <c r="I822" s="24"/>
      <c r="J822" s="23"/>
      <c r="K822" s="23"/>
      <c r="L822" s="23"/>
      <c r="M822" s="23"/>
      <c r="N822" s="23"/>
      <c r="O822" s="23"/>
      <c r="P822" s="23"/>
      <c r="Q822" s="25"/>
      <c r="R822" s="23"/>
      <c r="S822" s="23"/>
      <c r="T822" s="23"/>
      <c r="U822" s="20" t="str">
        <f ca="1">IF(COUNTA(A822:T822)=0,"",IF(OR(A822="",B822="",C822="",E822="",G822="",H822="",J822="",K822="",L822="",M822=""),"Ошибка: заполните обязательные поля",IF(AND(LEFT(H822,7)&lt;&gt;"http://",LEFT(H822,8)&lt;&gt;"https://"),"Ошибка: некорректная ссылка",IF(COUNTIF($H$6:$H$1005,H822)&gt;1,"Ошибка: дубликат URL",IF(E822&gt;TODAY(),"Ошибка: дата публикации в будущем",IF(S822="Да","Ошибка: подтверждённый дубль",IF(S822="","Проверить: отметьте дубль",IF(S822="Нужно проверить","Проверить возможный дубль",IF(TODAY()-E822&gt;30,"Проверить: старше 30 дней",IF(COUNTIFS(#REF!,G822,#REF!,"Готово")=0,"Проверить источник","Готово"))))))))))</f>
        <v/>
      </c>
    </row>
    <row r="823" spans="1:21" ht="25.5" customHeight="1">
      <c r="A823" s="21"/>
      <c r="B823" s="22"/>
      <c r="C823" s="21"/>
      <c r="D823" s="23"/>
      <c r="E823" s="22"/>
      <c r="F823" s="22"/>
      <c r="G823" s="23"/>
      <c r="H823" s="24"/>
      <c r="I823" s="24"/>
      <c r="J823" s="23"/>
      <c r="K823" s="23"/>
      <c r="L823" s="23"/>
      <c r="M823" s="23"/>
      <c r="N823" s="23"/>
      <c r="O823" s="23"/>
      <c r="P823" s="23"/>
      <c r="Q823" s="25"/>
      <c r="R823" s="23"/>
      <c r="S823" s="23"/>
      <c r="T823" s="23"/>
      <c r="U823" s="20" t="str">
        <f ca="1">IF(COUNTA(A823:T823)=0,"",IF(OR(A823="",B823="",C823="",E823="",G823="",H823="",J823="",K823="",L823="",M823=""),"Ошибка: заполните обязательные поля",IF(AND(LEFT(H823,7)&lt;&gt;"http://",LEFT(H823,8)&lt;&gt;"https://"),"Ошибка: некорректная ссылка",IF(COUNTIF($H$6:$H$1005,H823)&gt;1,"Ошибка: дубликат URL",IF(E823&gt;TODAY(),"Ошибка: дата публикации в будущем",IF(S823="Да","Ошибка: подтверждённый дубль",IF(S823="","Проверить: отметьте дубль",IF(S823="Нужно проверить","Проверить возможный дубль",IF(TODAY()-E823&gt;30,"Проверить: старше 30 дней",IF(COUNTIFS(#REF!,G823,#REF!,"Готово")=0,"Проверить источник","Готово"))))))))))</f>
        <v/>
      </c>
    </row>
    <row r="824" spans="1:21" ht="25.5" customHeight="1">
      <c r="A824" s="21"/>
      <c r="B824" s="22"/>
      <c r="C824" s="21"/>
      <c r="D824" s="23"/>
      <c r="E824" s="22"/>
      <c r="F824" s="22"/>
      <c r="G824" s="23"/>
      <c r="H824" s="24"/>
      <c r="I824" s="24"/>
      <c r="J824" s="23"/>
      <c r="K824" s="23"/>
      <c r="L824" s="23"/>
      <c r="M824" s="23"/>
      <c r="N824" s="23"/>
      <c r="O824" s="23"/>
      <c r="P824" s="23"/>
      <c r="Q824" s="25"/>
      <c r="R824" s="23"/>
      <c r="S824" s="23"/>
      <c r="T824" s="23"/>
      <c r="U824" s="20" t="str">
        <f ca="1">IF(COUNTA(A824:T824)=0,"",IF(OR(A824="",B824="",C824="",E824="",G824="",H824="",J824="",K824="",L824="",M824=""),"Ошибка: заполните обязательные поля",IF(AND(LEFT(H824,7)&lt;&gt;"http://",LEFT(H824,8)&lt;&gt;"https://"),"Ошибка: некорректная ссылка",IF(COUNTIF($H$6:$H$1005,H824)&gt;1,"Ошибка: дубликат URL",IF(E824&gt;TODAY(),"Ошибка: дата публикации в будущем",IF(S824="Да","Ошибка: подтверждённый дубль",IF(S824="","Проверить: отметьте дубль",IF(S824="Нужно проверить","Проверить возможный дубль",IF(TODAY()-E824&gt;30,"Проверить: старше 30 дней",IF(COUNTIFS(#REF!,G824,#REF!,"Готово")=0,"Проверить источник","Готово"))))))))))</f>
        <v/>
      </c>
    </row>
    <row r="825" spans="1:21" ht="25.5" customHeight="1">
      <c r="A825" s="21"/>
      <c r="B825" s="22"/>
      <c r="C825" s="21"/>
      <c r="D825" s="23"/>
      <c r="E825" s="22"/>
      <c r="F825" s="22"/>
      <c r="G825" s="23"/>
      <c r="H825" s="24"/>
      <c r="I825" s="24"/>
      <c r="J825" s="23"/>
      <c r="K825" s="23"/>
      <c r="L825" s="23"/>
      <c r="M825" s="23"/>
      <c r="N825" s="23"/>
      <c r="O825" s="23"/>
      <c r="P825" s="23"/>
      <c r="Q825" s="25"/>
      <c r="R825" s="23"/>
      <c r="S825" s="23"/>
      <c r="T825" s="23"/>
      <c r="U825" s="20" t="str">
        <f ca="1">IF(COUNTA(A825:T825)=0,"",IF(OR(A825="",B825="",C825="",E825="",G825="",H825="",J825="",K825="",L825="",M825=""),"Ошибка: заполните обязательные поля",IF(AND(LEFT(H825,7)&lt;&gt;"http://",LEFT(H825,8)&lt;&gt;"https://"),"Ошибка: некорректная ссылка",IF(COUNTIF($H$6:$H$1005,H825)&gt;1,"Ошибка: дубликат URL",IF(E825&gt;TODAY(),"Ошибка: дата публикации в будущем",IF(S825="Да","Ошибка: подтверждённый дубль",IF(S825="","Проверить: отметьте дубль",IF(S825="Нужно проверить","Проверить возможный дубль",IF(TODAY()-E825&gt;30,"Проверить: старше 30 дней",IF(COUNTIFS(#REF!,G825,#REF!,"Готово")=0,"Проверить источник","Готово"))))))))))</f>
        <v/>
      </c>
    </row>
    <row r="826" spans="1:21" ht="25.5" customHeight="1">
      <c r="A826" s="21"/>
      <c r="B826" s="22"/>
      <c r="C826" s="21"/>
      <c r="D826" s="23"/>
      <c r="E826" s="22"/>
      <c r="F826" s="22"/>
      <c r="G826" s="23"/>
      <c r="H826" s="24"/>
      <c r="I826" s="24"/>
      <c r="J826" s="23"/>
      <c r="K826" s="23"/>
      <c r="L826" s="23"/>
      <c r="M826" s="23"/>
      <c r="N826" s="23"/>
      <c r="O826" s="23"/>
      <c r="P826" s="23"/>
      <c r="Q826" s="25"/>
      <c r="R826" s="23"/>
      <c r="S826" s="23"/>
      <c r="T826" s="23"/>
      <c r="U826" s="20" t="str">
        <f ca="1">IF(COUNTA(A826:T826)=0,"",IF(OR(A826="",B826="",C826="",E826="",G826="",H826="",J826="",K826="",L826="",M826=""),"Ошибка: заполните обязательные поля",IF(AND(LEFT(H826,7)&lt;&gt;"http://",LEFT(H826,8)&lt;&gt;"https://"),"Ошибка: некорректная ссылка",IF(COUNTIF($H$6:$H$1005,H826)&gt;1,"Ошибка: дубликат URL",IF(E826&gt;TODAY(),"Ошибка: дата публикации в будущем",IF(S826="Да","Ошибка: подтверждённый дубль",IF(S826="","Проверить: отметьте дубль",IF(S826="Нужно проверить","Проверить возможный дубль",IF(TODAY()-E826&gt;30,"Проверить: старше 30 дней",IF(COUNTIFS(#REF!,G826,#REF!,"Готово")=0,"Проверить источник","Готово"))))))))))</f>
        <v/>
      </c>
    </row>
    <row r="827" spans="1:21" ht="25.5" customHeight="1">
      <c r="A827" s="21"/>
      <c r="B827" s="22"/>
      <c r="C827" s="21"/>
      <c r="D827" s="23"/>
      <c r="E827" s="22"/>
      <c r="F827" s="22"/>
      <c r="G827" s="23"/>
      <c r="H827" s="24"/>
      <c r="I827" s="24"/>
      <c r="J827" s="23"/>
      <c r="K827" s="23"/>
      <c r="L827" s="23"/>
      <c r="M827" s="23"/>
      <c r="N827" s="23"/>
      <c r="O827" s="23"/>
      <c r="P827" s="23"/>
      <c r="Q827" s="25"/>
      <c r="R827" s="23"/>
      <c r="S827" s="23"/>
      <c r="T827" s="23"/>
      <c r="U827" s="20" t="str">
        <f ca="1">IF(COUNTA(A827:T827)=0,"",IF(OR(A827="",B827="",C827="",E827="",G827="",H827="",J827="",K827="",L827="",M827=""),"Ошибка: заполните обязательные поля",IF(AND(LEFT(H827,7)&lt;&gt;"http://",LEFT(H827,8)&lt;&gt;"https://"),"Ошибка: некорректная ссылка",IF(COUNTIF($H$6:$H$1005,H827)&gt;1,"Ошибка: дубликат URL",IF(E827&gt;TODAY(),"Ошибка: дата публикации в будущем",IF(S827="Да","Ошибка: подтверждённый дубль",IF(S827="","Проверить: отметьте дубль",IF(S827="Нужно проверить","Проверить возможный дубль",IF(TODAY()-E827&gt;30,"Проверить: старше 30 дней",IF(COUNTIFS(#REF!,G827,#REF!,"Готово")=0,"Проверить источник","Готово"))))))))))</f>
        <v/>
      </c>
    </row>
    <row r="828" spans="1:21" ht="25.5" customHeight="1">
      <c r="A828" s="21"/>
      <c r="B828" s="22"/>
      <c r="C828" s="21"/>
      <c r="D828" s="23"/>
      <c r="E828" s="22"/>
      <c r="F828" s="22"/>
      <c r="G828" s="23"/>
      <c r="H828" s="24"/>
      <c r="I828" s="24"/>
      <c r="J828" s="23"/>
      <c r="K828" s="23"/>
      <c r="L828" s="23"/>
      <c r="M828" s="23"/>
      <c r="N828" s="23"/>
      <c r="O828" s="23"/>
      <c r="P828" s="23"/>
      <c r="Q828" s="25"/>
      <c r="R828" s="23"/>
      <c r="S828" s="23"/>
      <c r="T828" s="23"/>
      <c r="U828" s="20" t="str">
        <f ca="1">IF(COUNTA(A828:T828)=0,"",IF(OR(A828="",B828="",C828="",E828="",G828="",H828="",J828="",K828="",L828="",M828=""),"Ошибка: заполните обязательные поля",IF(AND(LEFT(H828,7)&lt;&gt;"http://",LEFT(H828,8)&lt;&gt;"https://"),"Ошибка: некорректная ссылка",IF(COUNTIF($H$6:$H$1005,H828)&gt;1,"Ошибка: дубликат URL",IF(E828&gt;TODAY(),"Ошибка: дата публикации в будущем",IF(S828="Да","Ошибка: подтверждённый дубль",IF(S828="","Проверить: отметьте дубль",IF(S828="Нужно проверить","Проверить возможный дубль",IF(TODAY()-E828&gt;30,"Проверить: старше 30 дней",IF(COUNTIFS(#REF!,G828,#REF!,"Готово")=0,"Проверить источник","Готово"))))))))))</f>
        <v/>
      </c>
    </row>
    <row r="829" spans="1:21" ht="25.5" customHeight="1">
      <c r="A829" s="21"/>
      <c r="B829" s="22"/>
      <c r="C829" s="21"/>
      <c r="D829" s="23"/>
      <c r="E829" s="22"/>
      <c r="F829" s="22"/>
      <c r="G829" s="23"/>
      <c r="H829" s="24"/>
      <c r="I829" s="24"/>
      <c r="J829" s="23"/>
      <c r="K829" s="23"/>
      <c r="L829" s="23"/>
      <c r="M829" s="23"/>
      <c r="N829" s="23"/>
      <c r="O829" s="23"/>
      <c r="P829" s="23"/>
      <c r="Q829" s="25"/>
      <c r="R829" s="23"/>
      <c r="S829" s="23"/>
      <c r="T829" s="23"/>
      <c r="U829" s="20" t="str">
        <f ca="1">IF(COUNTA(A829:T829)=0,"",IF(OR(A829="",B829="",C829="",E829="",G829="",H829="",J829="",K829="",L829="",M829=""),"Ошибка: заполните обязательные поля",IF(AND(LEFT(H829,7)&lt;&gt;"http://",LEFT(H829,8)&lt;&gt;"https://"),"Ошибка: некорректная ссылка",IF(COUNTIF($H$6:$H$1005,H829)&gt;1,"Ошибка: дубликат URL",IF(E829&gt;TODAY(),"Ошибка: дата публикации в будущем",IF(S829="Да","Ошибка: подтверждённый дубль",IF(S829="","Проверить: отметьте дубль",IF(S829="Нужно проверить","Проверить возможный дубль",IF(TODAY()-E829&gt;30,"Проверить: старше 30 дней",IF(COUNTIFS(#REF!,G829,#REF!,"Готово")=0,"Проверить источник","Готово"))))))))))</f>
        <v/>
      </c>
    </row>
    <row r="830" spans="1:21" ht="25.5" customHeight="1">
      <c r="A830" s="21"/>
      <c r="B830" s="22"/>
      <c r="C830" s="21"/>
      <c r="D830" s="23"/>
      <c r="E830" s="22"/>
      <c r="F830" s="22"/>
      <c r="G830" s="23"/>
      <c r="H830" s="24"/>
      <c r="I830" s="24"/>
      <c r="J830" s="23"/>
      <c r="K830" s="23"/>
      <c r="L830" s="23"/>
      <c r="M830" s="23"/>
      <c r="N830" s="23"/>
      <c r="O830" s="23"/>
      <c r="P830" s="23"/>
      <c r="Q830" s="25"/>
      <c r="R830" s="23"/>
      <c r="S830" s="23"/>
      <c r="T830" s="23"/>
      <c r="U830" s="20" t="str">
        <f ca="1">IF(COUNTA(A830:T830)=0,"",IF(OR(A830="",B830="",C830="",E830="",G830="",H830="",J830="",K830="",L830="",M830=""),"Ошибка: заполните обязательные поля",IF(AND(LEFT(H830,7)&lt;&gt;"http://",LEFT(H830,8)&lt;&gt;"https://"),"Ошибка: некорректная ссылка",IF(COUNTIF($H$6:$H$1005,H830)&gt;1,"Ошибка: дубликат URL",IF(E830&gt;TODAY(),"Ошибка: дата публикации в будущем",IF(S830="Да","Ошибка: подтверждённый дубль",IF(S830="","Проверить: отметьте дубль",IF(S830="Нужно проверить","Проверить возможный дубль",IF(TODAY()-E830&gt;30,"Проверить: старше 30 дней",IF(COUNTIFS(#REF!,G830,#REF!,"Готово")=0,"Проверить источник","Готово"))))))))))</f>
        <v/>
      </c>
    </row>
    <row r="831" spans="1:21" ht="25.5" customHeight="1">
      <c r="A831" s="21"/>
      <c r="B831" s="22"/>
      <c r="C831" s="21"/>
      <c r="D831" s="23"/>
      <c r="E831" s="22"/>
      <c r="F831" s="22"/>
      <c r="G831" s="23"/>
      <c r="H831" s="24"/>
      <c r="I831" s="24"/>
      <c r="J831" s="23"/>
      <c r="K831" s="23"/>
      <c r="L831" s="23"/>
      <c r="M831" s="23"/>
      <c r="N831" s="23"/>
      <c r="O831" s="23"/>
      <c r="P831" s="23"/>
      <c r="Q831" s="25"/>
      <c r="R831" s="23"/>
      <c r="S831" s="23"/>
      <c r="T831" s="23"/>
      <c r="U831" s="20" t="str">
        <f ca="1">IF(COUNTA(A831:T831)=0,"",IF(OR(A831="",B831="",C831="",E831="",G831="",H831="",J831="",K831="",L831="",M831=""),"Ошибка: заполните обязательные поля",IF(AND(LEFT(H831,7)&lt;&gt;"http://",LEFT(H831,8)&lt;&gt;"https://"),"Ошибка: некорректная ссылка",IF(COUNTIF($H$6:$H$1005,H831)&gt;1,"Ошибка: дубликат URL",IF(E831&gt;TODAY(),"Ошибка: дата публикации в будущем",IF(S831="Да","Ошибка: подтверждённый дубль",IF(S831="","Проверить: отметьте дубль",IF(S831="Нужно проверить","Проверить возможный дубль",IF(TODAY()-E831&gt;30,"Проверить: старше 30 дней",IF(COUNTIFS(#REF!,G831,#REF!,"Готово")=0,"Проверить источник","Готово"))))))))))</f>
        <v/>
      </c>
    </row>
    <row r="832" spans="1:21" ht="25.5" customHeight="1">
      <c r="A832" s="21"/>
      <c r="B832" s="22"/>
      <c r="C832" s="21"/>
      <c r="D832" s="23"/>
      <c r="E832" s="22"/>
      <c r="F832" s="22"/>
      <c r="G832" s="23"/>
      <c r="H832" s="24"/>
      <c r="I832" s="24"/>
      <c r="J832" s="23"/>
      <c r="K832" s="23"/>
      <c r="L832" s="23"/>
      <c r="M832" s="23"/>
      <c r="N832" s="23"/>
      <c r="O832" s="23"/>
      <c r="P832" s="23"/>
      <c r="Q832" s="25"/>
      <c r="R832" s="23"/>
      <c r="S832" s="23"/>
      <c r="T832" s="23"/>
      <c r="U832" s="20" t="str">
        <f ca="1">IF(COUNTA(A832:T832)=0,"",IF(OR(A832="",B832="",C832="",E832="",G832="",H832="",J832="",K832="",L832="",M832=""),"Ошибка: заполните обязательные поля",IF(AND(LEFT(H832,7)&lt;&gt;"http://",LEFT(H832,8)&lt;&gt;"https://"),"Ошибка: некорректная ссылка",IF(COUNTIF($H$6:$H$1005,H832)&gt;1,"Ошибка: дубликат URL",IF(E832&gt;TODAY(),"Ошибка: дата публикации в будущем",IF(S832="Да","Ошибка: подтверждённый дубль",IF(S832="","Проверить: отметьте дубль",IF(S832="Нужно проверить","Проверить возможный дубль",IF(TODAY()-E832&gt;30,"Проверить: старше 30 дней",IF(COUNTIFS(#REF!,G832,#REF!,"Готово")=0,"Проверить источник","Готово"))))))))))</f>
        <v/>
      </c>
    </row>
    <row r="833" spans="1:21" ht="25.5" customHeight="1">
      <c r="A833" s="21"/>
      <c r="B833" s="22"/>
      <c r="C833" s="21"/>
      <c r="D833" s="23"/>
      <c r="E833" s="22"/>
      <c r="F833" s="22"/>
      <c r="G833" s="23"/>
      <c r="H833" s="24"/>
      <c r="I833" s="24"/>
      <c r="J833" s="23"/>
      <c r="K833" s="23"/>
      <c r="L833" s="23"/>
      <c r="M833" s="23"/>
      <c r="N833" s="23"/>
      <c r="O833" s="23"/>
      <c r="P833" s="23"/>
      <c r="Q833" s="25"/>
      <c r="R833" s="23"/>
      <c r="S833" s="23"/>
      <c r="T833" s="23"/>
      <c r="U833" s="20" t="str">
        <f ca="1">IF(COUNTA(A833:T833)=0,"",IF(OR(A833="",B833="",C833="",E833="",G833="",H833="",J833="",K833="",L833="",M833=""),"Ошибка: заполните обязательные поля",IF(AND(LEFT(H833,7)&lt;&gt;"http://",LEFT(H833,8)&lt;&gt;"https://"),"Ошибка: некорректная ссылка",IF(COUNTIF($H$6:$H$1005,H833)&gt;1,"Ошибка: дубликат URL",IF(E833&gt;TODAY(),"Ошибка: дата публикации в будущем",IF(S833="Да","Ошибка: подтверждённый дубль",IF(S833="","Проверить: отметьте дубль",IF(S833="Нужно проверить","Проверить возможный дубль",IF(TODAY()-E833&gt;30,"Проверить: старше 30 дней",IF(COUNTIFS(#REF!,G833,#REF!,"Готово")=0,"Проверить источник","Готово"))))))))))</f>
        <v/>
      </c>
    </row>
    <row r="834" spans="1:21" ht="25.5" customHeight="1">
      <c r="A834" s="21"/>
      <c r="B834" s="22"/>
      <c r="C834" s="21"/>
      <c r="D834" s="23"/>
      <c r="E834" s="22"/>
      <c r="F834" s="22"/>
      <c r="G834" s="23"/>
      <c r="H834" s="24"/>
      <c r="I834" s="24"/>
      <c r="J834" s="23"/>
      <c r="K834" s="23"/>
      <c r="L834" s="23"/>
      <c r="M834" s="23"/>
      <c r="N834" s="23"/>
      <c r="O834" s="23"/>
      <c r="P834" s="23"/>
      <c r="Q834" s="25"/>
      <c r="R834" s="23"/>
      <c r="S834" s="23"/>
      <c r="T834" s="23"/>
      <c r="U834" s="20" t="str">
        <f ca="1">IF(COUNTA(A834:T834)=0,"",IF(OR(A834="",B834="",C834="",E834="",G834="",H834="",J834="",K834="",L834="",M834=""),"Ошибка: заполните обязательные поля",IF(AND(LEFT(H834,7)&lt;&gt;"http://",LEFT(H834,8)&lt;&gt;"https://"),"Ошибка: некорректная ссылка",IF(COUNTIF($H$6:$H$1005,H834)&gt;1,"Ошибка: дубликат URL",IF(E834&gt;TODAY(),"Ошибка: дата публикации в будущем",IF(S834="Да","Ошибка: подтверждённый дубль",IF(S834="","Проверить: отметьте дубль",IF(S834="Нужно проверить","Проверить возможный дубль",IF(TODAY()-E834&gt;30,"Проверить: старше 30 дней",IF(COUNTIFS(#REF!,G834,#REF!,"Готово")=0,"Проверить источник","Готово"))))))))))</f>
        <v/>
      </c>
    </row>
    <row r="835" spans="1:21" ht="25.5" customHeight="1">
      <c r="A835" s="21"/>
      <c r="B835" s="22"/>
      <c r="C835" s="21"/>
      <c r="D835" s="23"/>
      <c r="E835" s="22"/>
      <c r="F835" s="22"/>
      <c r="G835" s="23"/>
      <c r="H835" s="24"/>
      <c r="I835" s="24"/>
      <c r="J835" s="23"/>
      <c r="K835" s="23"/>
      <c r="L835" s="23"/>
      <c r="M835" s="23"/>
      <c r="N835" s="23"/>
      <c r="O835" s="23"/>
      <c r="P835" s="23"/>
      <c r="Q835" s="25"/>
      <c r="R835" s="23"/>
      <c r="S835" s="23"/>
      <c r="T835" s="23"/>
      <c r="U835" s="20" t="str">
        <f ca="1">IF(COUNTA(A835:T835)=0,"",IF(OR(A835="",B835="",C835="",E835="",G835="",H835="",J835="",K835="",L835="",M835=""),"Ошибка: заполните обязательные поля",IF(AND(LEFT(H835,7)&lt;&gt;"http://",LEFT(H835,8)&lt;&gt;"https://"),"Ошибка: некорректная ссылка",IF(COUNTIF($H$6:$H$1005,H835)&gt;1,"Ошибка: дубликат URL",IF(E835&gt;TODAY(),"Ошибка: дата публикации в будущем",IF(S835="Да","Ошибка: подтверждённый дубль",IF(S835="","Проверить: отметьте дубль",IF(S835="Нужно проверить","Проверить возможный дубль",IF(TODAY()-E835&gt;30,"Проверить: старше 30 дней",IF(COUNTIFS(#REF!,G835,#REF!,"Готово")=0,"Проверить источник","Готово"))))))))))</f>
        <v/>
      </c>
    </row>
    <row r="836" spans="1:21" ht="25.5" customHeight="1">
      <c r="A836" s="21"/>
      <c r="B836" s="22"/>
      <c r="C836" s="21"/>
      <c r="D836" s="23"/>
      <c r="E836" s="22"/>
      <c r="F836" s="22"/>
      <c r="G836" s="23"/>
      <c r="H836" s="24"/>
      <c r="I836" s="24"/>
      <c r="J836" s="23"/>
      <c r="K836" s="23"/>
      <c r="L836" s="23"/>
      <c r="M836" s="23"/>
      <c r="N836" s="23"/>
      <c r="O836" s="23"/>
      <c r="P836" s="23"/>
      <c r="Q836" s="25"/>
      <c r="R836" s="23"/>
      <c r="S836" s="23"/>
      <c r="T836" s="23"/>
      <c r="U836" s="20" t="str">
        <f ca="1">IF(COUNTA(A836:T836)=0,"",IF(OR(A836="",B836="",C836="",E836="",G836="",H836="",J836="",K836="",L836="",M836=""),"Ошибка: заполните обязательные поля",IF(AND(LEFT(H836,7)&lt;&gt;"http://",LEFT(H836,8)&lt;&gt;"https://"),"Ошибка: некорректная ссылка",IF(COUNTIF($H$6:$H$1005,H836)&gt;1,"Ошибка: дубликат URL",IF(E836&gt;TODAY(),"Ошибка: дата публикации в будущем",IF(S836="Да","Ошибка: подтверждённый дубль",IF(S836="","Проверить: отметьте дубль",IF(S836="Нужно проверить","Проверить возможный дубль",IF(TODAY()-E836&gt;30,"Проверить: старше 30 дней",IF(COUNTIFS(#REF!,G836,#REF!,"Готово")=0,"Проверить источник","Готово"))))))))))</f>
        <v/>
      </c>
    </row>
    <row r="837" spans="1:21" ht="25.5" customHeight="1">
      <c r="A837" s="21"/>
      <c r="B837" s="22"/>
      <c r="C837" s="21"/>
      <c r="D837" s="23"/>
      <c r="E837" s="22"/>
      <c r="F837" s="22"/>
      <c r="G837" s="23"/>
      <c r="H837" s="24"/>
      <c r="I837" s="24"/>
      <c r="J837" s="23"/>
      <c r="K837" s="23"/>
      <c r="L837" s="23"/>
      <c r="M837" s="23"/>
      <c r="N837" s="23"/>
      <c r="O837" s="23"/>
      <c r="P837" s="23"/>
      <c r="Q837" s="25"/>
      <c r="R837" s="23"/>
      <c r="S837" s="23"/>
      <c r="T837" s="23"/>
      <c r="U837" s="20" t="str">
        <f ca="1">IF(COUNTA(A837:T837)=0,"",IF(OR(A837="",B837="",C837="",E837="",G837="",H837="",J837="",K837="",L837="",M837=""),"Ошибка: заполните обязательные поля",IF(AND(LEFT(H837,7)&lt;&gt;"http://",LEFT(H837,8)&lt;&gt;"https://"),"Ошибка: некорректная ссылка",IF(COUNTIF($H$6:$H$1005,H837)&gt;1,"Ошибка: дубликат URL",IF(E837&gt;TODAY(),"Ошибка: дата публикации в будущем",IF(S837="Да","Ошибка: подтверждённый дубль",IF(S837="","Проверить: отметьте дубль",IF(S837="Нужно проверить","Проверить возможный дубль",IF(TODAY()-E837&gt;30,"Проверить: старше 30 дней",IF(COUNTIFS(#REF!,G837,#REF!,"Готово")=0,"Проверить источник","Готово"))))))))))</f>
        <v/>
      </c>
    </row>
    <row r="838" spans="1:21" ht="25.5" customHeight="1">
      <c r="A838" s="21"/>
      <c r="B838" s="22"/>
      <c r="C838" s="21"/>
      <c r="D838" s="23"/>
      <c r="E838" s="22"/>
      <c r="F838" s="22"/>
      <c r="G838" s="23"/>
      <c r="H838" s="24"/>
      <c r="I838" s="24"/>
      <c r="J838" s="23"/>
      <c r="K838" s="23"/>
      <c r="L838" s="23"/>
      <c r="M838" s="23"/>
      <c r="N838" s="23"/>
      <c r="O838" s="23"/>
      <c r="P838" s="23"/>
      <c r="Q838" s="25"/>
      <c r="R838" s="23"/>
      <c r="S838" s="23"/>
      <c r="T838" s="23"/>
      <c r="U838" s="20" t="str">
        <f ca="1">IF(COUNTA(A838:T838)=0,"",IF(OR(A838="",B838="",C838="",E838="",G838="",H838="",J838="",K838="",L838="",M838=""),"Ошибка: заполните обязательные поля",IF(AND(LEFT(H838,7)&lt;&gt;"http://",LEFT(H838,8)&lt;&gt;"https://"),"Ошибка: некорректная ссылка",IF(COUNTIF($H$6:$H$1005,H838)&gt;1,"Ошибка: дубликат URL",IF(E838&gt;TODAY(),"Ошибка: дата публикации в будущем",IF(S838="Да","Ошибка: подтверждённый дубль",IF(S838="","Проверить: отметьте дубль",IF(S838="Нужно проверить","Проверить возможный дубль",IF(TODAY()-E838&gt;30,"Проверить: старше 30 дней",IF(COUNTIFS(#REF!,G838,#REF!,"Готово")=0,"Проверить источник","Готово"))))))))))</f>
        <v/>
      </c>
    </row>
    <row r="839" spans="1:21" ht="25.5" customHeight="1">
      <c r="A839" s="21"/>
      <c r="B839" s="22"/>
      <c r="C839" s="21"/>
      <c r="D839" s="23"/>
      <c r="E839" s="22"/>
      <c r="F839" s="22"/>
      <c r="G839" s="23"/>
      <c r="H839" s="24"/>
      <c r="I839" s="24"/>
      <c r="J839" s="23"/>
      <c r="K839" s="23"/>
      <c r="L839" s="23"/>
      <c r="M839" s="23"/>
      <c r="N839" s="23"/>
      <c r="O839" s="23"/>
      <c r="P839" s="23"/>
      <c r="Q839" s="25"/>
      <c r="R839" s="23"/>
      <c r="S839" s="23"/>
      <c r="T839" s="23"/>
      <c r="U839" s="20" t="str">
        <f ca="1">IF(COUNTA(A839:T839)=0,"",IF(OR(A839="",B839="",C839="",E839="",G839="",H839="",J839="",K839="",L839="",M839=""),"Ошибка: заполните обязательные поля",IF(AND(LEFT(H839,7)&lt;&gt;"http://",LEFT(H839,8)&lt;&gt;"https://"),"Ошибка: некорректная ссылка",IF(COUNTIF($H$6:$H$1005,H839)&gt;1,"Ошибка: дубликат URL",IF(E839&gt;TODAY(),"Ошибка: дата публикации в будущем",IF(S839="Да","Ошибка: подтверждённый дубль",IF(S839="","Проверить: отметьте дубль",IF(S839="Нужно проверить","Проверить возможный дубль",IF(TODAY()-E839&gt;30,"Проверить: старше 30 дней",IF(COUNTIFS(#REF!,G839,#REF!,"Готово")=0,"Проверить источник","Готово"))))))))))</f>
        <v/>
      </c>
    </row>
    <row r="840" spans="1:21" ht="25.5" customHeight="1">
      <c r="A840" s="21"/>
      <c r="B840" s="22"/>
      <c r="C840" s="21"/>
      <c r="D840" s="23"/>
      <c r="E840" s="22"/>
      <c r="F840" s="22"/>
      <c r="G840" s="23"/>
      <c r="H840" s="24"/>
      <c r="I840" s="24"/>
      <c r="J840" s="23"/>
      <c r="K840" s="23"/>
      <c r="L840" s="23"/>
      <c r="M840" s="23"/>
      <c r="N840" s="23"/>
      <c r="O840" s="23"/>
      <c r="P840" s="23"/>
      <c r="Q840" s="25"/>
      <c r="R840" s="23"/>
      <c r="S840" s="23"/>
      <c r="T840" s="23"/>
      <c r="U840" s="20" t="str">
        <f ca="1">IF(COUNTA(A840:T840)=0,"",IF(OR(A840="",B840="",C840="",E840="",G840="",H840="",J840="",K840="",L840="",M840=""),"Ошибка: заполните обязательные поля",IF(AND(LEFT(H840,7)&lt;&gt;"http://",LEFT(H840,8)&lt;&gt;"https://"),"Ошибка: некорректная ссылка",IF(COUNTIF($H$6:$H$1005,H840)&gt;1,"Ошибка: дубликат URL",IF(E840&gt;TODAY(),"Ошибка: дата публикации в будущем",IF(S840="Да","Ошибка: подтверждённый дубль",IF(S840="","Проверить: отметьте дубль",IF(S840="Нужно проверить","Проверить возможный дубль",IF(TODAY()-E840&gt;30,"Проверить: старше 30 дней",IF(COUNTIFS(#REF!,G840,#REF!,"Готово")=0,"Проверить источник","Готово"))))))))))</f>
        <v/>
      </c>
    </row>
    <row r="841" spans="1:21" ht="25.5" customHeight="1">
      <c r="A841" s="21"/>
      <c r="B841" s="22"/>
      <c r="C841" s="21"/>
      <c r="D841" s="23"/>
      <c r="E841" s="22"/>
      <c r="F841" s="22"/>
      <c r="G841" s="23"/>
      <c r="H841" s="24"/>
      <c r="I841" s="24"/>
      <c r="J841" s="23"/>
      <c r="K841" s="23"/>
      <c r="L841" s="23"/>
      <c r="M841" s="23"/>
      <c r="N841" s="23"/>
      <c r="O841" s="23"/>
      <c r="P841" s="23"/>
      <c r="Q841" s="25"/>
      <c r="R841" s="23"/>
      <c r="S841" s="23"/>
      <c r="T841" s="23"/>
      <c r="U841" s="20" t="str">
        <f ca="1">IF(COUNTA(A841:T841)=0,"",IF(OR(A841="",B841="",C841="",E841="",G841="",H841="",J841="",K841="",L841="",M841=""),"Ошибка: заполните обязательные поля",IF(AND(LEFT(H841,7)&lt;&gt;"http://",LEFT(H841,8)&lt;&gt;"https://"),"Ошибка: некорректная ссылка",IF(COUNTIF($H$6:$H$1005,H841)&gt;1,"Ошибка: дубликат URL",IF(E841&gt;TODAY(),"Ошибка: дата публикации в будущем",IF(S841="Да","Ошибка: подтверждённый дубль",IF(S841="","Проверить: отметьте дубль",IF(S841="Нужно проверить","Проверить возможный дубль",IF(TODAY()-E841&gt;30,"Проверить: старше 30 дней",IF(COUNTIFS(#REF!,G841,#REF!,"Готово")=0,"Проверить источник","Готово"))))))))))</f>
        <v/>
      </c>
    </row>
    <row r="842" spans="1:21" ht="25.5" customHeight="1">
      <c r="A842" s="21"/>
      <c r="B842" s="22"/>
      <c r="C842" s="21"/>
      <c r="D842" s="23"/>
      <c r="E842" s="22"/>
      <c r="F842" s="22"/>
      <c r="G842" s="23"/>
      <c r="H842" s="24"/>
      <c r="I842" s="24"/>
      <c r="J842" s="23"/>
      <c r="K842" s="23"/>
      <c r="L842" s="23"/>
      <c r="M842" s="23"/>
      <c r="N842" s="23"/>
      <c r="O842" s="23"/>
      <c r="P842" s="23"/>
      <c r="Q842" s="25"/>
      <c r="R842" s="23"/>
      <c r="S842" s="23"/>
      <c r="T842" s="23"/>
      <c r="U842" s="20" t="str">
        <f ca="1">IF(COUNTA(A842:T842)=0,"",IF(OR(A842="",B842="",C842="",E842="",G842="",H842="",J842="",K842="",L842="",M842=""),"Ошибка: заполните обязательные поля",IF(AND(LEFT(H842,7)&lt;&gt;"http://",LEFT(H842,8)&lt;&gt;"https://"),"Ошибка: некорректная ссылка",IF(COUNTIF($H$6:$H$1005,H842)&gt;1,"Ошибка: дубликат URL",IF(E842&gt;TODAY(),"Ошибка: дата публикации в будущем",IF(S842="Да","Ошибка: подтверждённый дубль",IF(S842="","Проверить: отметьте дубль",IF(S842="Нужно проверить","Проверить возможный дубль",IF(TODAY()-E842&gt;30,"Проверить: старше 30 дней",IF(COUNTIFS(#REF!,G842,#REF!,"Готово")=0,"Проверить источник","Готово"))))))))))</f>
        <v/>
      </c>
    </row>
    <row r="843" spans="1:21" ht="25.5" customHeight="1">
      <c r="A843" s="21"/>
      <c r="B843" s="22"/>
      <c r="C843" s="21"/>
      <c r="D843" s="23"/>
      <c r="E843" s="22"/>
      <c r="F843" s="22"/>
      <c r="G843" s="23"/>
      <c r="H843" s="24"/>
      <c r="I843" s="24"/>
      <c r="J843" s="23"/>
      <c r="K843" s="23"/>
      <c r="L843" s="23"/>
      <c r="M843" s="23"/>
      <c r="N843" s="23"/>
      <c r="O843" s="23"/>
      <c r="P843" s="23"/>
      <c r="Q843" s="25"/>
      <c r="R843" s="23"/>
      <c r="S843" s="23"/>
      <c r="T843" s="23"/>
      <c r="U843" s="20" t="str">
        <f ca="1">IF(COUNTA(A843:T843)=0,"",IF(OR(A843="",B843="",C843="",E843="",G843="",H843="",J843="",K843="",L843="",M843=""),"Ошибка: заполните обязательные поля",IF(AND(LEFT(H843,7)&lt;&gt;"http://",LEFT(H843,8)&lt;&gt;"https://"),"Ошибка: некорректная ссылка",IF(COUNTIF($H$6:$H$1005,H843)&gt;1,"Ошибка: дубликат URL",IF(E843&gt;TODAY(),"Ошибка: дата публикации в будущем",IF(S843="Да","Ошибка: подтверждённый дубль",IF(S843="","Проверить: отметьте дубль",IF(S843="Нужно проверить","Проверить возможный дубль",IF(TODAY()-E843&gt;30,"Проверить: старше 30 дней",IF(COUNTIFS(#REF!,G843,#REF!,"Готово")=0,"Проверить источник","Готово"))))))))))</f>
        <v/>
      </c>
    </row>
    <row r="844" spans="1:21" ht="25.5" customHeight="1">
      <c r="A844" s="21"/>
      <c r="B844" s="22"/>
      <c r="C844" s="21"/>
      <c r="D844" s="23"/>
      <c r="E844" s="22"/>
      <c r="F844" s="22"/>
      <c r="G844" s="23"/>
      <c r="H844" s="24"/>
      <c r="I844" s="24"/>
      <c r="J844" s="23"/>
      <c r="K844" s="23"/>
      <c r="L844" s="23"/>
      <c r="M844" s="23"/>
      <c r="N844" s="23"/>
      <c r="O844" s="23"/>
      <c r="P844" s="23"/>
      <c r="Q844" s="25"/>
      <c r="R844" s="23"/>
      <c r="S844" s="23"/>
      <c r="T844" s="23"/>
      <c r="U844" s="20" t="str">
        <f ca="1">IF(COUNTA(A844:T844)=0,"",IF(OR(A844="",B844="",C844="",E844="",G844="",H844="",J844="",K844="",L844="",M844=""),"Ошибка: заполните обязательные поля",IF(AND(LEFT(H844,7)&lt;&gt;"http://",LEFT(H844,8)&lt;&gt;"https://"),"Ошибка: некорректная ссылка",IF(COUNTIF($H$6:$H$1005,H844)&gt;1,"Ошибка: дубликат URL",IF(E844&gt;TODAY(),"Ошибка: дата публикации в будущем",IF(S844="Да","Ошибка: подтверждённый дубль",IF(S844="","Проверить: отметьте дубль",IF(S844="Нужно проверить","Проверить возможный дубль",IF(TODAY()-E844&gt;30,"Проверить: старше 30 дней",IF(COUNTIFS(#REF!,G844,#REF!,"Готово")=0,"Проверить источник","Готово"))))))))))</f>
        <v/>
      </c>
    </row>
    <row r="845" spans="1:21" ht="25.5" customHeight="1">
      <c r="A845" s="21"/>
      <c r="B845" s="22"/>
      <c r="C845" s="21"/>
      <c r="D845" s="23"/>
      <c r="E845" s="22"/>
      <c r="F845" s="22"/>
      <c r="G845" s="23"/>
      <c r="H845" s="24"/>
      <c r="I845" s="24"/>
      <c r="J845" s="23"/>
      <c r="K845" s="23"/>
      <c r="L845" s="23"/>
      <c r="M845" s="23"/>
      <c r="N845" s="23"/>
      <c r="O845" s="23"/>
      <c r="P845" s="23"/>
      <c r="Q845" s="25"/>
      <c r="R845" s="23"/>
      <c r="S845" s="23"/>
      <c r="T845" s="23"/>
      <c r="U845" s="20" t="str">
        <f ca="1">IF(COUNTA(A845:T845)=0,"",IF(OR(A845="",B845="",C845="",E845="",G845="",H845="",J845="",K845="",L845="",M845=""),"Ошибка: заполните обязательные поля",IF(AND(LEFT(H845,7)&lt;&gt;"http://",LEFT(H845,8)&lt;&gt;"https://"),"Ошибка: некорректная ссылка",IF(COUNTIF($H$6:$H$1005,H845)&gt;1,"Ошибка: дубликат URL",IF(E845&gt;TODAY(),"Ошибка: дата публикации в будущем",IF(S845="Да","Ошибка: подтверждённый дубль",IF(S845="","Проверить: отметьте дубль",IF(S845="Нужно проверить","Проверить возможный дубль",IF(TODAY()-E845&gt;30,"Проверить: старше 30 дней",IF(COUNTIFS(#REF!,G845,#REF!,"Готово")=0,"Проверить источник","Готово"))))))))))</f>
        <v/>
      </c>
    </row>
    <row r="846" spans="1:21" ht="25.5" customHeight="1">
      <c r="A846" s="21"/>
      <c r="B846" s="22"/>
      <c r="C846" s="21"/>
      <c r="D846" s="23"/>
      <c r="E846" s="22"/>
      <c r="F846" s="22"/>
      <c r="G846" s="23"/>
      <c r="H846" s="24"/>
      <c r="I846" s="24"/>
      <c r="J846" s="23"/>
      <c r="K846" s="23"/>
      <c r="L846" s="23"/>
      <c r="M846" s="23"/>
      <c r="N846" s="23"/>
      <c r="O846" s="23"/>
      <c r="P846" s="23"/>
      <c r="Q846" s="25"/>
      <c r="R846" s="23"/>
      <c r="S846" s="23"/>
      <c r="T846" s="23"/>
      <c r="U846" s="20" t="str">
        <f ca="1">IF(COUNTA(A846:T846)=0,"",IF(OR(A846="",B846="",C846="",E846="",G846="",H846="",J846="",K846="",L846="",M846=""),"Ошибка: заполните обязательные поля",IF(AND(LEFT(H846,7)&lt;&gt;"http://",LEFT(H846,8)&lt;&gt;"https://"),"Ошибка: некорректная ссылка",IF(COUNTIF($H$6:$H$1005,H846)&gt;1,"Ошибка: дубликат URL",IF(E846&gt;TODAY(),"Ошибка: дата публикации в будущем",IF(S846="Да","Ошибка: подтверждённый дубль",IF(S846="","Проверить: отметьте дубль",IF(S846="Нужно проверить","Проверить возможный дубль",IF(TODAY()-E846&gt;30,"Проверить: старше 30 дней",IF(COUNTIFS(#REF!,G846,#REF!,"Готово")=0,"Проверить источник","Готово"))))))))))</f>
        <v/>
      </c>
    </row>
    <row r="847" spans="1:21" ht="25.5" customHeight="1">
      <c r="A847" s="21"/>
      <c r="B847" s="22"/>
      <c r="C847" s="21"/>
      <c r="D847" s="23"/>
      <c r="E847" s="22"/>
      <c r="F847" s="22"/>
      <c r="G847" s="23"/>
      <c r="H847" s="24"/>
      <c r="I847" s="24"/>
      <c r="J847" s="23"/>
      <c r="K847" s="23"/>
      <c r="L847" s="23"/>
      <c r="M847" s="23"/>
      <c r="N847" s="23"/>
      <c r="O847" s="23"/>
      <c r="P847" s="23"/>
      <c r="Q847" s="25"/>
      <c r="R847" s="23"/>
      <c r="S847" s="23"/>
      <c r="T847" s="23"/>
      <c r="U847" s="20" t="str">
        <f ca="1">IF(COUNTA(A847:T847)=0,"",IF(OR(A847="",B847="",C847="",E847="",G847="",H847="",J847="",K847="",L847="",M847=""),"Ошибка: заполните обязательные поля",IF(AND(LEFT(H847,7)&lt;&gt;"http://",LEFT(H847,8)&lt;&gt;"https://"),"Ошибка: некорректная ссылка",IF(COUNTIF($H$6:$H$1005,H847)&gt;1,"Ошибка: дубликат URL",IF(E847&gt;TODAY(),"Ошибка: дата публикации в будущем",IF(S847="Да","Ошибка: подтверждённый дубль",IF(S847="","Проверить: отметьте дубль",IF(S847="Нужно проверить","Проверить возможный дубль",IF(TODAY()-E847&gt;30,"Проверить: старше 30 дней",IF(COUNTIFS(#REF!,G847,#REF!,"Готово")=0,"Проверить источник","Готово"))))))))))</f>
        <v/>
      </c>
    </row>
    <row r="848" spans="1:21" ht="25.5" customHeight="1">
      <c r="A848" s="21"/>
      <c r="B848" s="22"/>
      <c r="C848" s="21"/>
      <c r="D848" s="23"/>
      <c r="E848" s="22"/>
      <c r="F848" s="22"/>
      <c r="G848" s="23"/>
      <c r="H848" s="24"/>
      <c r="I848" s="24"/>
      <c r="J848" s="23"/>
      <c r="K848" s="23"/>
      <c r="L848" s="23"/>
      <c r="M848" s="23"/>
      <c r="N848" s="23"/>
      <c r="O848" s="23"/>
      <c r="P848" s="23"/>
      <c r="Q848" s="25"/>
      <c r="R848" s="23"/>
      <c r="S848" s="23"/>
      <c r="T848" s="23"/>
      <c r="U848" s="20" t="str">
        <f ca="1">IF(COUNTA(A848:T848)=0,"",IF(OR(A848="",B848="",C848="",E848="",G848="",H848="",J848="",K848="",L848="",M848=""),"Ошибка: заполните обязательные поля",IF(AND(LEFT(H848,7)&lt;&gt;"http://",LEFT(H848,8)&lt;&gt;"https://"),"Ошибка: некорректная ссылка",IF(COUNTIF($H$6:$H$1005,H848)&gt;1,"Ошибка: дубликат URL",IF(E848&gt;TODAY(),"Ошибка: дата публикации в будущем",IF(S848="Да","Ошибка: подтверждённый дубль",IF(S848="","Проверить: отметьте дубль",IF(S848="Нужно проверить","Проверить возможный дубль",IF(TODAY()-E848&gt;30,"Проверить: старше 30 дней",IF(COUNTIFS(#REF!,G848,#REF!,"Готово")=0,"Проверить источник","Готово"))))))))))</f>
        <v/>
      </c>
    </row>
    <row r="849" spans="1:21" ht="25.5" customHeight="1">
      <c r="A849" s="21"/>
      <c r="B849" s="22"/>
      <c r="C849" s="21"/>
      <c r="D849" s="23"/>
      <c r="E849" s="22"/>
      <c r="F849" s="22"/>
      <c r="G849" s="23"/>
      <c r="H849" s="24"/>
      <c r="I849" s="24"/>
      <c r="J849" s="23"/>
      <c r="K849" s="23"/>
      <c r="L849" s="23"/>
      <c r="M849" s="23"/>
      <c r="N849" s="23"/>
      <c r="O849" s="23"/>
      <c r="P849" s="23"/>
      <c r="Q849" s="25"/>
      <c r="R849" s="23"/>
      <c r="S849" s="23"/>
      <c r="T849" s="23"/>
      <c r="U849" s="20" t="str">
        <f ca="1">IF(COUNTA(A849:T849)=0,"",IF(OR(A849="",B849="",C849="",E849="",G849="",H849="",J849="",K849="",L849="",M849=""),"Ошибка: заполните обязательные поля",IF(AND(LEFT(H849,7)&lt;&gt;"http://",LEFT(H849,8)&lt;&gt;"https://"),"Ошибка: некорректная ссылка",IF(COUNTIF($H$6:$H$1005,H849)&gt;1,"Ошибка: дубликат URL",IF(E849&gt;TODAY(),"Ошибка: дата публикации в будущем",IF(S849="Да","Ошибка: подтверждённый дубль",IF(S849="","Проверить: отметьте дубль",IF(S849="Нужно проверить","Проверить возможный дубль",IF(TODAY()-E849&gt;30,"Проверить: старше 30 дней",IF(COUNTIFS(#REF!,G849,#REF!,"Готово")=0,"Проверить источник","Готово"))))))))))</f>
        <v/>
      </c>
    </row>
    <row r="850" spans="1:21" ht="25.5" customHeight="1">
      <c r="A850" s="21"/>
      <c r="B850" s="22"/>
      <c r="C850" s="21"/>
      <c r="D850" s="23"/>
      <c r="E850" s="22"/>
      <c r="F850" s="22"/>
      <c r="G850" s="23"/>
      <c r="H850" s="24"/>
      <c r="I850" s="24"/>
      <c r="J850" s="23"/>
      <c r="K850" s="23"/>
      <c r="L850" s="23"/>
      <c r="M850" s="23"/>
      <c r="N850" s="23"/>
      <c r="O850" s="23"/>
      <c r="P850" s="23"/>
      <c r="Q850" s="25"/>
      <c r="R850" s="23"/>
      <c r="S850" s="23"/>
      <c r="T850" s="23"/>
      <c r="U850" s="20" t="str">
        <f ca="1">IF(COUNTA(A850:T850)=0,"",IF(OR(A850="",B850="",C850="",E850="",G850="",H850="",J850="",K850="",L850="",M850=""),"Ошибка: заполните обязательные поля",IF(AND(LEFT(H850,7)&lt;&gt;"http://",LEFT(H850,8)&lt;&gt;"https://"),"Ошибка: некорректная ссылка",IF(COUNTIF($H$6:$H$1005,H850)&gt;1,"Ошибка: дубликат URL",IF(E850&gt;TODAY(),"Ошибка: дата публикации в будущем",IF(S850="Да","Ошибка: подтверждённый дубль",IF(S850="","Проверить: отметьте дубль",IF(S850="Нужно проверить","Проверить возможный дубль",IF(TODAY()-E850&gt;30,"Проверить: старше 30 дней",IF(COUNTIFS(#REF!,G850,#REF!,"Готово")=0,"Проверить источник","Готово"))))))))))</f>
        <v/>
      </c>
    </row>
    <row r="851" spans="1:21" ht="25.5" customHeight="1">
      <c r="A851" s="21"/>
      <c r="B851" s="22"/>
      <c r="C851" s="21"/>
      <c r="D851" s="23"/>
      <c r="E851" s="22"/>
      <c r="F851" s="22"/>
      <c r="G851" s="23"/>
      <c r="H851" s="24"/>
      <c r="I851" s="24"/>
      <c r="J851" s="23"/>
      <c r="K851" s="23"/>
      <c r="L851" s="23"/>
      <c r="M851" s="23"/>
      <c r="N851" s="23"/>
      <c r="O851" s="23"/>
      <c r="P851" s="23"/>
      <c r="Q851" s="25"/>
      <c r="R851" s="23"/>
      <c r="S851" s="23"/>
      <c r="T851" s="23"/>
      <c r="U851" s="20" t="str">
        <f ca="1">IF(COUNTA(A851:T851)=0,"",IF(OR(A851="",B851="",C851="",E851="",G851="",H851="",J851="",K851="",L851="",M851=""),"Ошибка: заполните обязательные поля",IF(AND(LEFT(H851,7)&lt;&gt;"http://",LEFT(H851,8)&lt;&gt;"https://"),"Ошибка: некорректная ссылка",IF(COUNTIF($H$6:$H$1005,H851)&gt;1,"Ошибка: дубликат URL",IF(E851&gt;TODAY(),"Ошибка: дата публикации в будущем",IF(S851="Да","Ошибка: подтверждённый дубль",IF(S851="","Проверить: отметьте дубль",IF(S851="Нужно проверить","Проверить возможный дубль",IF(TODAY()-E851&gt;30,"Проверить: старше 30 дней",IF(COUNTIFS(#REF!,G851,#REF!,"Готово")=0,"Проверить источник","Готово"))))))))))</f>
        <v/>
      </c>
    </row>
    <row r="852" spans="1:21" ht="25.5" customHeight="1">
      <c r="A852" s="21"/>
      <c r="B852" s="22"/>
      <c r="C852" s="21"/>
      <c r="D852" s="23"/>
      <c r="E852" s="22"/>
      <c r="F852" s="22"/>
      <c r="G852" s="23"/>
      <c r="H852" s="24"/>
      <c r="I852" s="24"/>
      <c r="J852" s="23"/>
      <c r="K852" s="23"/>
      <c r="L852" s="23"/>
      <c r="M852" s="23"/>
      <c r="N852" s="23"/>
      <c r="O852" s="23"/>
      <c r="P852" s="23"/>
      <c r="Q852" s="25"/>
      <c r="R852" s="23"/>
      <c r="S852" s="23"/>
      <c r="T852" s="23"/>
      <c r="U852" s="20" t="str">
        <f ca="1">IF(COUNTA(A852:T852)=0,"",IF(OR(A852="",B852="",C852="",E852="",G852="",H852="",J852="",K852="",L852="",M852=""),"Ошибка: заполните обязательные поля",IF(AND(LEFT(H852,7)&lt;&gt;"http://",LEFT(H852,8)&lt;&gt;"https://"),"Ошибка: некорректная ссылка",IF(COUNTIF($H$6:$H$1005,H852)&gt;1,"Ошибка: дубликат URL",IF(E852&gt;TODAY(),"Ошибка: дата публикации в будущем",IF(S852="Да","Ошибка: подтверждённый дубль",IF(S852="","Проверить: отметьте дубль",IF(S852="Нужно проверить","Проверить возможный дубль",IF(TODAY()-E852&gt;30,"Проверить: старше 30 дней",IF(COUNTIFS(#REF!,G852,#REF!,"Готово")=0,"Проверить источник","Готово"))))))))))</f>
        <v/>
      </c>
    </row>
    <row r="853" spans="1:21" ht="25.5" customHeight="1">
      <c r="A853" s="21"/>
      <c r="B853" s="22"/>
      <c r="C853" s="21"/>
      <c r="D853" s="23"/>
      <c r="E853" s="22"/>
      <c r="F853" s="22"/>
      <c r="G853" s="23"/>
      <c r="H853" s="24"/>
      <c r="I853" s="24"/>
      <c r="J853" s="23"/>
      <c r="K853" s="23"/>
      <c r="L853" s="23"/>
      <c r="M853" s="23"/>
      <c r="N853" s="23"/>
      <c r="O853" s="23"/>
      <c r="P853" s="23"/>
      <c r="Q853" s="25"/>
      <c r="R853" s="23"/>
      <c r="S853" s="23"/>
      <c r="T853" s="23"/>
      <c r="U853" s="20" t="str">
        <f ca="1">IF(COUNTA(A853:T853)=0,"",IF(OR(A853="",B853="",C853="",E853="",G853="",H853="",J853="",K853="",L853="",M853=""),"Ошибка: заполните обязательные поля",IF(AND(LEFT(H853,7)&lt;&gt;"http://",LEFT(H853,8)&lt;&gt;"https://"),"Ошибка: некорректная ссылка",IF(COUNTIF($H$6:$H$1005,H853)&gt;1,"Ошибка: дубликат URL",IF(E853&gt;TODAY(),"Ошибка: дата публикации в будущем",IF(S853="Да","Ошибка: подтверждённый дубль",IF(S853="","Проверить: отметьте дубль",IF(S853="Нужно проверить","Проверить возможный дубль",IF(TODAY()-E853&gt;30,"Проверить: старше 30 дней",IF(COUNTIFS(#REF!,G853,#REF!,"Готово")=0,"Проверить источник","Готово"))))))))))</f>
        <v/>
      </c>
    </row>
    <row r="854" spans="1:21" ht="25.5" customHeight="1">
      <c r="A854" s="21"/>
      <c r="B854" s="22"/>
      <c r="C854" s="21"/>
      <c r="D854" s="23"/>
      <c r="E854" s="22"/>
      <c r="F854" s="22"/>
      <c r="G854" s="23"/>
      <c r="H854" s="24"/>
      <c r="I854" s="24"/>
      <c r="J854" s="23"/>
      <c r="K854" s="23"/>
      <c r="L854" s="23"/>
      <c r="M854" s="23"/>
      <c r="N854" s="23"/>
      <c r="O854" s="23"/>
      <c r="P854" s="23"/>
      <c r="Q854" s="25"/>
      <c r="R854" s="23"/>
      <c r="S854" s="23"/>
      <c r="T854" s="23"/>
      <c r="U854" s="20" t="str">
        <f ca="1">IF(COUNTA(A854:T854)=0,"",IF(OR(A854="",B854="",C854="",E854="",G854="",H854="",J854="",K854="",L854="",M854=""),"Ошибка: заполните обязательные поля",IF(AND(LEFT(H854,7)&lt;&gt;"http://",LEFT(H854,8)&lt;&gt;"https://"),"Ошибка: некорректная ссылка",IF(COUNTIF($H$6:$H$1005,H854)&gt;1,"Ошибка: дубликат URL",IF(E854&gt;TODAY(),"Ошибка: дата публикации в будущем",IF(S854="Да","Ошибка: подтверждённый дубль",IF(S854="","Проверить: отметьте дубль",IF(S854="Нужно проверить","Проверить возможный дубль",IF(TODAY()-E854&gt;30,"Проверить: старше 30 дней",IF(COUNTIFS(#REF!,G854,#REF!,"Готово")=0,"Проверить источник","Готово"))))))))))</f>
        <v/>
      </c>
    </row>
    <row r="855" spans="1:21" ht="25.5" customHeight="1">
      <c r="A855" s="21"/>
      <c r="B855" s="22"/>
      <c r="C855" s="21"/>
      <c r="D855" s="23"/>
      <c r="E855" s="22"/>
      <c r="F855" s="22"/>
      <c r="G855" s="23"/>
      <c r="H855" s="24"/>
      <c r="I855" s="24"/>
      <c r="J855" s="23"/>
      <c r="K855" s="23"/>
      <c r="L855" s="23"/>
      <c r="M855" s="23"/>
      <c r="N855" s="23"/>
      <c r="O855" s="23"/>
      <c r="P855" s="23"/>
      <c r="Q855" s="25"/>
      <c r="R855" s="23"/>
      <c r="S855" s="23"/>
      <c r="T855" s="23"/>
      <c r="U855" s="20" t="str">
        <f ca="1">IF(COUNTA(A855:T855)=0,"",IF(OR(A855="",B855="",C855="",E855="",G855="",H855="",J855="",K855="",L855="",M855=""),"Ошибка: заполните обязательные поля",IF(AND(LEFT(H855,7)&lt;&gt;"http://",LEFT(H855,8)&lt;&gt;"https://"),"Ошибка: некорректная ссылка",IF(COUNTIF($H$6:$H$1005,H855)&gt;1,"Ошибка: дубликат URL",IF(E855&gt;TODAY(),"Ошибка: дата публикации в будущем",IF(S855="Да","Ошибка: подтверждённый дубль",IF(S855="","Проверить: отметьте дубль",IF(S855="Нужно проверить","Проверить возможный дубль",IF(TODAY()-E855&gt;30,"Проверить: старше 30 дней",IF(COUNTIFS(#REF!,G855,#REF!,"Готово")=0,"Проверить источник","Готово"))))))))))</f>
        <v/>
      </c>
    </row>
    <row r="856" spans="1:21" ht="25.5" customHeight="1">
      <c r="A856" s="21"/>
      <c r="B856" s="22"/>
      <c r="C856" s="21"/>
      <c r="D856" s="23"/>
      <c r="E856" s="22"/>
      <c r="F856" s="22"/>
      <c r="G856" s="23"/>
      <c r="H856" s="24"/>
      <c r="I856" s="24"/>
      <c r="J856" s="23"/>
      <c r="K856" s="23"/>
      <c r="L856" s="23"/>
      <c r="M856" s="23"/>
      <c r="N856" s="23"/>
      <c r="O856" s="23"/>
      <c r="P856" s="23"/>
      <c r="Q856" s="25"/>
      <c r="R856" s="23"/>
      <c r="S856" s="23"/>
      <c r="T856" s="23"/>
      <c r="U856" s="20" t="str">
        <f ca="1">IF(COUNTA(A856:T856)=0,"",IF(OR(A856="",B856="",C856="",E856="",G856="",H856="",J856="",K856="",L856="",M856=""),"Ошибка: заполните обязательные поля",IF(AND(LEFT(H856,7)&lt;&gt;"http://",LEFT(H856,8)&lt;&gt;"https://"),"Ошибка: некорректная ссылка",IF(COUNTIF($H$6:$H$1005,H856)&gt;1,"Ошибка: дубликат URL",IF(E856&gt;TODAY(),"Ошибка: дата публикации в будущем",IF(S856="Да","Ошибка: подтверждённый дубль",IF(S856="","Проверить: отметьте дубль",IF(S856="Нужно проверить","Проверить возможный дубль",IF(TODAY()-E856&gt;30,"Проверить: старше 30 дней",IF(COUNTIFS(#REF!,G856,#REF!,"Готово")=0,"Проверить источник","Готово"))))))))))</f>
        <v/>
      </c>
    </row>
    <row r="857" spans="1:21" ht="25.5" customHeight="1">
      <c r="A857" s="21"/>
      <c r="B857" s="22"/>
      <c r="C857" s="21"/>
      <c r="D857" s="23"/>
      <c r="E857" s="22"/>
      <c r="F857" s="22"/>
      <c r="G857" s="23"/>
      <c r="H857" s="24"/>
      <c r="I857" s="24"/>
      <c r="J857" s="23"/>
      <c r="K857" s="23"/>
      <c r="L857" s="23"/>
      <c r="M857" s="23"/>
      <c r="N857" s="23"/>
      <c r="O857" s="23"/>
      <c r="P857" s="23"/>
      <c r="Q857" s="25"/>
      <c r="R857" s="23"/>
      <c r="S857" s="23"/>
      <c r="T857" s="23"/>
      <c r="U857" s="20" t="str">
        <f ca="1">IF(COUNTA(A857:T857)=0,"",IF(OR(A857="",B857="",C857="",E857="",G857="",H857="",J857="",K857="",L857="",M857=""),"Ошибка: заполните обязательные поля",IF(AND(LEFT(H857,7)&lt;&gt;"http://",LEFT(H857,8)&lt;&gt;"https://"),"Ошибка: некорректная ссылка",IF(COUNTIF($H$6:$H$1005,H857)&gt;1,"Ошибка: дубликат URL",IF(E857&gt;TODAY(),"Ошибка: дата публикации в будущем",IF(S857="Да","Ошибка: подтверждённый дубль",IF(S857="","Проверить: отметьте дубль",IF(S857="Нужно проверить","Проверить возможный дубль",IF(TODAY()-E857&gt;30,"Проверить: старше 30 дней",IF(COUNTIFS(#REF!,G857,#REF!,"Готово")=0,"Проверить источник","Готово"))))))))))</f>
        <v/>
      </c>
    </row>
    <row r="858" spans="1:21" ht="25.5" customHeight="1">
      <c r="A858" s="21"/>
      <c r="B858" s="22"/>
      <c r="C858" s="21"/>
      <c r="D858" s="23"/>
      <c r="E858" s="22"/>
      <c r="F858" s="22"/>
      <c r="G858" s="23"/>
      <c r="H858" s="24"/>
      <c r="I858" s="24"/>
      <c r="J858" s="23"/>
      <c r="K858" s="23"/>
      <c r="L858" s="23"/>
      <c r="M858" s="23"/>
      <c r="N858" s="23"/>
      <c r="O858" s="23"/>
      <c r="P858" s="23"/>
      <c r="Q858" s="25"/>
      <c r="R858" s="23"/>
      <c r="S858" s="23"/>
      <c r="T858" s="23"/>
      <c r="U858" s="20" t="str">
        <f ca="1">IF(COUNTA(A858:T858)=0,"",IF(OR(A858="",B858="",C858="",E858="",G858="",H858="",J858="",K858="",L858="",M858=""),"Ошибка: заполните обязательные поля",IF(AND(LEFT(H858,7)&lt;&gt;"http://",LEFT(H858,8)&lt;&gt;"https://"),"Ошибка: некорректная ссылка",IF(COUNTIF($H$6:$H$1005,H858)&gt;1,"Ошибка: дубликат URL",IF(E858&gt;TODAY(),"Ошибка: дата публикации в будущем",IF(S858="Да","Ошибка: подтверждённый дубль",IF(S858="","Проверить: отметьте дубль",IF(S858="Нужно проверить","Проверить возможный дубль",IF(TODAY()-E858&gt;30,"Проверить: старше 30 дней",IF(COUNTIFS(#REF!,G858,#REF!,"Готово")=0,"Проверить источник","Готово"))))))))))</f>
        <v/>
      </c>
    </row>
    <row r="859" spans="1:21" ht="25.5" customHeight="1">
      <c r="A859" s="21"/>
      <c r="B859" s="22"/>
      <c r="C859" s="21"/>
      <c r="D859" s="23"/>
      <c r="E859" s="22"/>
      <c r="F859" s="22"/>
      <c r="G859" s="23"/>
      <c r="H859" s="24"/>
      <c r="I859" s="24"/>
      <c r="J859" s="23"/>
      <c r="K859" s="23"/>
      <c r="L859" s="23"/>
      <c r="M859" s="23"/>
      <c r="N859" s="23"/>
      <c r="O859" s="23"/>
      <c r="P859" s="23"/>
      <c r="Q859" s="25"/>
      <c r="R859" s="23"/>
      <c r="S859" s="23"/>
      <c r="T859" s="23"/>
      <c r="U859" s="20" t="str">
        <f ca="1">IF(COUNTA(A859:T859)=0,"",IF(OR(A859="",B859="",C859="",E859="",G859="",H859="",J859="",K859="",L859="",M859=""),"Ошибка: заполните обязательные поля",IF(AND(LEFT(H859,7)&lt;&gt;"http://",LEFT(H859,8)&lt;&gt;"https://"),"Ошибка: некорректная ссылка",IF(COUNTIF($H$6:$H$1005,H859)&gt;1,"Ошибка: дубликат URL",IF(E859&gt;TODAY(),"Ошибка: дата публикации в будущем",IF(S859="Да","Ошибка: подтверждённый дубль",IF(S859="","Проверить: отметьте дубль",IF(S859="Нужно проверить","Проверить возможный дубль",IF(TODAY()-E859&gt;30,"Проверить: старше 30 дней",IF(COUNTIFS(#REF!,G859,#REF!,"Готово")=0,"Проверить источник","Готово"))))))))))</f>
        <v/>
      </c>
    </row>
    <row r="860" spans="1:21" ht="25.5" customHeight="1">
      <c r="A860" s="21"/>
      <c r="B860" s="22"/>
      <c r="C860" s="21"/>
      <c r="D860" s="23"/>
      <c r="E860" s="22"/>
      <c r="F860" s="22"/>
      <c r="G860" s="23"/>
      <c r="H860" s="24"/>
      <c r="I860" s="24"/>
      <c r="J860" s="23"/>
      <c r="K860" s="23"/>
      <c r="L860" s="23"/>
      <c r="M860" s="23"/>
      <c r="N860" s="23"/>
      <c r="O860" s="23"/>
      <c r="P860" s="23"/>
      <c r="Q860" s="25"/>
      <c r="R860" s="23"/>
      <c r="S860" s="23"/>
      <c r="T860" s="23"/>
      <c r="U860" s="20" t="str">
        <f ca="1">IF(COUNTA(A860:T860)=0,"",IF(OR(A860="",B860="",C860="",E860="",G860="",H860="",J860="",K860="",L860="",M860=""),"Ошибка: заполните обязательные поля",IF(AND(LEFT(H860,7)&lt;&gt;"http://",LEFT(H860,8)&lt;&gt;"https://"),"Ошибка: некорректная ссылка",IF(COUNTIF($H$6:$H$1005,H860)&gt;1,"Ошибка: дубликат URL",IF(E860&gt;TODAY(),"Ошибка: дата публикации в будущем",IF(S860="Да","Ошибка: подтверждённый дубль",IF(S860="","Проверить: отметьте дубль",IF(S860="Нужно проверить","Проверить возможный дубль",IF(TODAY()-E860&gt;30,"Проверить: старше 30 дней",IF(COUNTIFS(#REF!,G860,#REF!,"Готово")=0,"Проверить источник","Готово"))))))))))</f>
        <v/>
      </c>
    </row>
    <row r="861" spans="1:21" ht="25.5" customHeight="1">
      <c r="A861" s="21"/>
      <c r="B861" s="22"/>
      <c r="C861" s="21"/>
      <c r="D861" s="23"/>
      <c r="E861" s="22"/>
      <c r="F861" s="22"/>
      <c r="G861" s="23"/>
      <c r="H861" s="24"/>
      <c r="I861" s="24"/>
      <c r="J861" s="23"/>
      <c r="K861" s="23"/>
      <c r="L861" s="23"/>
      <c r="M861" s="23"/>
      <c r="N861" s="23"/>
      <c r="O861" s="23"/>
      <c r="P861" s="23"/>
      <c r="Q861" s="25"/>
      <c r="R861" s="23"/>
      <c r="S861" s="23"/>
      <c r="T861" s="23"/>
      <c r="U861" s="20" t="str">
        <f ca="1">IF(COUNTA(A861:T861)=0,"",IF(OR(A861="",B861="",C861="",E861="",G861="",H861="",J861="",K861="",L861="",M861=""),"Ошибка: заполните обязательные поля",IF(AND(LEFT(H861,7)&lt;&gt;"http://",LEFT(H861,8)&lt;&gt;"https://"),"Ошибка: некорректная ссылка",IF(COUNTIF($H$6:$H$1005,H861)&gt;1,"Ошибка: дубликат URL",IF(E861&gt;TODAY(),"Ошибка: дата публикации в будущем",IF(S861="Да","Ошибка: подтверждённый дубль",IF(S861="","Проверить: отметьте дубль",IF(S861="Нужно проверить","Проверить возможный дубль",IF(TODAY()-E861&gt;30,"Проверить: старше 30 дней",IF(COUNTIFS(#REF!,G861,#REF!,"Готово")=0,"Проверить источник","Готово"))))))))))</f>
        <v/>
      </c>
    </row>
    <row r="862" spans="1:21" ht="25.5" customHeight="1">
      <c r="A862" s="21"/>
      <c r="B862" s="22"/>
      <c r="C862" s="21"/>
      <c r="D862" s="23"/>
      <c r="E862" s="22"/>
      <c r="F862" s="22"/>
      <c r="G862" s="23"/>
      <c r="H862" s="24"/>
      <c r="I862" s="24"/>
      <c r="J862" s="23"/>
      <c r="K862" s="23"/>
      <c r="L862" s="23"/>
      <c r="M862" s="23"/>
      <c r="N862" s="23"/>
      <c r="O862" s="23"/>
      <c r="P862" s="23"/>
      <c r="Q862" s="25"/>
      <c r="R862" s="23"/>
      <c r="S862" s="23"/>
      <c r="T862" s="23"/>
      <c r="U862" s="20" t="str">
        <f ca="1">IF(COUNTA(A862:T862)=0,"",IF(OR(A862="",B862="",C862="",E862="",G862="",H862="",J862="",K862="",L862="",M862=""),"Ошибка: заполните обязательные поля",IF(AND(LEFT(H862,7)&lt;&gt;"http://",LEFT(H862,8)&lt;&gt;"https://"),"Ошибка: некорректная ссылка",IF(COUNTIF($H$6:$H$1005,H862)&gt;1,"Ошибка: дубликат URL",IF(E862&gt;TODAY(),"Ошибка: дата публикации в будущем",IF(S862="Да","Ошибка: подтверждённый дубль",IF(S862="","Проверить: отметьте дубль",IF(S862="Нужно проверить","Проверить возможный дубль",IF(TODAY()-E862&gt;30,"Проверить: старше 30 дней",IF(COUNTIFS(#REF!,G862,#REF!,"Готово")=0,"Проверить источник","Готово"))))))))))</f>
        <v/>
      </c>
    </row>
    <row r="863" spans="1:21" ht="25.5" customHeight="1">
      <c r="A863" s="21"/>
      <c r="B863" s="22"/>
      <c r="C863" s="21"/>
      <c r="D863" s="23"/>
      <c r="E863" s="22"/>
      <c r="F863" s="22"/>
      <c r="G863" s="23"/>
      <c r="H863" s="24"/>
      <c r="I863" s="24"/>
      <c r="J863" s="23"/>
      <c r="K863" s="23"/>
      <c r="L863" s="23"/>
      <c r="M863" s="23"/>
      <c r="N863" s="23"/>
      <c r="O863" s="23"/>
      <c r="P863" s="23"/>
      <c r="Q863" s="25"/>
      <c r="R863" s="23"/>
      <c r="S863" s="23"/>
      <c r="T863" s="23"/>
      <c r="U863" s="20" t="str">
        <f ca="1">IF(COUNTA(A863:T863)=0,"",IF(OR(A863="",B863="",C863="",E863="",G863="",H863="",J863="",K863="",L863="",M863=""),"Ошибка: заполните обязательные поля",IF(AND(LEFT(H863,7)&lt;&gt;"http://",LEFT(H863,8)&lt;&gt;"https://"),"Ошибка: некорректная ссылка",IF(COUNTIF($H$6:$H$1005,H863)&gt;1,"Ошибка: дубликат URL",IF(E863&gt;TODAY(),"Ошибка: дата публикации в будущем",IF(S863="Да","Ошибка: подтверждённый дубль",IF(S863="","Проверить: отметьте дубль",IF(S863="Нужно проверить","Проверить возможный дубль",IF(TODAY()-E863&gt;30,"Проверить: старше 30 дней",IF(COUNTIFS(#REF!,G863,#REF!,"Готово")=0,"Проверить источник","Готово"))))))))))</f>
        <v/>
      </c>
    </row>
    <row r="864" spans="1:21" ht="25.5" customHeight="1">
      <c r="A864" s="21"/>
      <c r="B864" s="22"/>
      <c r="C864" s="21"/>
      <c r="D864" s="23"/>
      <c r="E864" s="22"/>
      <c r="F864" s="22"/>
      <c r="G864" s="23"/>
      <c r="H864" s="24"/>
      <c r="I864" s="24"/>
      <c r="J864" s="23"/>
      <c r="K864" s="23"/>
      <c r="L864" s="23"/>
      <c r="M864" s="23"/>
      <c r="N864" s="23"/>
      <c r="O864" s="23"/>
      <c r="P864" s="23"/>
      <c r="Q864" s="25"/>
      <c r="R864" s="23"/>
      <c r="S864" s="23"/>
      <c r="T864" s="23"/>
      <c r="U864" s="20" t="str">
        <f ca="1">IF(COUNTA(A864:T864)=0,"",IF(OR(A864="",B864="",C864="",E864="",G864="",H864="",J864="",K864="",L864="",M864=""),"Ошибка: заполните обязательные поля",IF(AND(LEFT(H864,7)&lt;&gt;"http://",LEFT(H864,8)&lt;&gt;"https://"),"Ошибка: некорректная ссылка",IF(COUNTIF($H$6:$H$1005,H864)&gt;1,"Ошибка: дубликат URL",IF(E864&gt;TODAY(),"Ошибка: дата публикации в будущем",IF(S864="Да","Ошибка: подтверждённый дубль",IF(S864="","Проверить: отметьте дубль",IF(S864="Нужно проверить","Проверить возможный дубль",IF(TODAY()-E864&gt;30,"Проверить: старше 30 дней",IF(COUNTIFS(#REF!,G864,#REF!,"Готово")=0,"Проверить источник","Готово"))))))))))</f>
        <v/>
      </c>
    </row>
    <row r="865" spans="1:21" ht="25.5" customHeight="1">
      <c r="A865" s="21"/>
      <c r="B865" s="22"/>
      <c r="C865" s="21"/>
      <c r="D865" s="23"/>
      <c r="E865" s="22"/>
      <c r="F865" s="22"/>
      <c r="G865" s="23"/>
      <c r="H865" s="24"/>
      <c r="I865" s="24"/>
      <c r="J865" s="23"/>
      <c r="K865" s="23"/>
      <c r="L865" s="23"/>
      <c r="M865" s="23"/>
      <c r="N865" s="23"/>
      <c r="O865" s="23"/>
      <c r="P865" s="23"/>
      <c r="Q865" s="25"/>
      <c r="R865" s="23"/>
      <c r="S865" s="23"/>
      <c r="T865" s="23"/>
      <c r="U865" s="20" t="str">
        <f ca="1">IF(COUNTA(A865:T865)=0,"",IF(OR(A865="",B865="",C865="",E865="",G865="",H865="",J865="",K865="",L865="",M865=""),"Ошибка: заполните обязательные поля",IF(AND(LEFT(H865,7)&lt;&gt;"http://",LEFT(H865,8)&lt;&gt;"https://"),"Ошибка: некорректная ссылка",IF(COUNTIF($H$6:$H$1005,H865)&gt;1,"Ошибка: дубликат URL",IF(E865&gt;TODAY(),"Ошибка: дата публикации в будущем",IF(S865="Да","Ошибка: подтверждённый дубль",IF(S865="","Проверить: отметьте дубль",IF(S865="Нужно проверить","Проверить возможный дубль",IF(TODAY()-E865&gt;30,"Проверить: старше 30 дней",IF(COUNTIFS(#REF!,G865,#REF!,"Готово")=0,"Проверить источник","Готово"))))))))))</f>
        <v/>
      </c>
    </row>
    <row r="866" spans="1:21" ht="25.5" customHeight="1">
      <c r="A866" s="21"/>
      <c r="B866" s="22"/>
      <c r="C866" s="21"/>
      <c r="D866" s="23"/>
      <c r="E866" s="22"/>
      <c r="F866" s="22"/>
      <c r="G866" s="23"/>
      <c r="H866" s="24"/>
      <c r="I866" s="24"/>
      <c r="J866" s="23"/>
      <c r="K866" s="23"/>
      <c r="L866" s="23"/>
      <c r="M866" s="23"/>
      <c r="N866" s="23"/>
      <c r="O866" s="23"/>
      <c r="P866" s="23"/>
      <c r="Q866" s="25"/>
      <c r="R866" s="23"/>
      <c r="S866" s="23"/>
      <c r="T866" s="23"/>
      <c r="U866" s="20" t="str">
        <f ca="1">IF(COUNTA(A866:T866)=0,"",IF(OR(A866="",B866="",C866="",E866="",G866="",H866="",J866="",K866="",L866="",M866=""),"Ошибка: заполните обязательные поля",IF(AND(LEFT(H866,7)&lt;&gt;"http://",LEFT(H866,8)&lt;&gt;"https://"),"Ошибка: некорректная ссылка",IF(COUNTIF($H$6:$H$1005,H866)&gt;1,"Ошибка: дубликат URL",IF(E866&gt;TODAY(),"Ошибка: дата публикации в будущем",IF(S866="Да","Ошибка: подтверждённый дубль",IF(S866="","Проверить: отметьте дубль",IF(S866="Нужно проверить","Проверить возможный дубль",IF(TODAY()-E866&gt;30,"Проверить: старше 30 дней",IF(COUNTIFS(#REF!,G866,#REF!,"Готово")=0,"Проверить источник","Готово"))))))))))</f>
        <v/>
      </c>
    </row>
    <row r="867" spans="1:21" ht="25.5" customHeight="1">
      <c r="A867" s="21"/>
      <c r="B867" s="22"/>
      <c r="C867" s="21"/>
      <c r="D867" s="23"/>
      <c r="E867" s="22"/>
      <c r="F867" s="22"/>
      <c r="G867" s="23"/>
      <c r="H867" s="24"/>
      <c r="I867" s="24"/>
      <c r="J867" s="23"/>
      <c r="K867" s="23"/>
      <c r="L867" s="23"/>
      <c r="M867" s="23"/>
      <c r="N867" s="23"/>
      <c r="O867" s="23"/>
      <c r="P867" s="23"/>
      <c r="Q867" s="25"/>
      <c r="R867" s="23"/>
      <c r="S867" s="23"/>
      <c r="T867" s="23"/>
      <c r="U867" s="20" t="str">
        <f ca="1">IF(COUNTA(A867:T867)=0,"",IF(OR(A867="",B867="",C867="",E867="",G867="",H867="",J867="",K867="",L867="",M867=""),"Ошибка: заполните обязательные поля",IF(AND(LEFT(H867,7)&lt;&gt;"http://",LEFT(H867,8)&lt;&gt;"https://"),"Ошибка: некорректная ссылка",IF(COUNTIF($H$6:$H$1005,H867)&gt;1,"Ошибка: дубликат URL",IF(E867&gt;TODAY(),"Ошибка: дата публикации в будущем",IF(S867="Да","Ошибка: подтверждённый дубль",IF(S867="","Проверить: отметьте дубль",IF(S867="Нужно проверить","Проверить возможный дубль",IF(TODAY()-E867&gt;30,"Проверить: старше 30 дней",IF(COUNTIFS(#REF!,G867,#REF!,"Готово")=0,"Проверить источник","Готово"))))))))))</f>
        <v/>
      </c>
    </row>
    <row r="868" spans="1:21" ht="25.5" customHeight="1">
      <c r="A868" s="21"/>
      <c r="B868" s="22"/>
      <c r="C868" s="21"/>
      <c r="D868" s="23"/>
      <c r="E868" s="22"/>
      <c r="F868" s="22"/>
      <c r="G868" s="23"/>
      <c r="H868" s="24"/>
      <c r="I868" s="24"/>
      <c r="J868" s="23"/>
      <c r="K868" s="23"/>
      <c r="L868" s="23"/>
      <c r="M868" s="23"/>
      <c r="N868" s="23"/>
      <c r="O868" s="23"/>
      <c r="P868" s="23"/>
      <c r="Q868" s="25"/>
      <c r="R868" s="23"/>
      <c r="S868" s="23"/>
      <c r="T868" s="23"/>
      <c r="U868" s="20" t="str">
        <f ca="1">IF(COUNTA(A868:T868)=0,"",IF(OR(A868="",B868="",C868="",E868="",G868="",H868="",J868="",K868="",L868="",M868=""),"Ошибка: заполните обязательные поля",IF(AND(LEFT(H868,7)&lt;&gt;"http://",LEFT(H868,8)&lt;&gt;"https://"),"Ошибка: некорректная ссылка",IF(COUNTIF($H$6:$H$1005,H868)&gt;1,"Ошибка: дубликат URL",IF(E868&gt;TODAY(),"Ошибка: дата публикации в будущем",IF(S868="Да","Ошибка: подтверждённый дубль",IF(S868="","Проверить: отметьте дубль",IF(S868="Нужно проверить","Проверить возможный дубль",IF(TODAY()-E868&gt;30,"Проверить: старше 30 дней",IF(COUNTIFS(#REF!,G868,#REF!,"Готово")=0,"Проверить источник","Готово"))))))))))</f>
        <v/>
      </c>
    </row>
    <row r="869" spans="1:21" ht="25.5" customHeight="1">
      <c r="A869" s="21"/>
      <c r="B869" s="22"/>
      <c r="C869" s="21"/>
      <c r="D869" s="23"/>
      <c r="E869" s="22"/>
      <c r="F869" s="22"/>
      <c r="G869" s="23"/>
      <c r="H869" s="24"/>
      <c r="I869" s="24"/>
      <c r="J869" s="23"/>
      <c r="K869" s="23"/>
      <c r="L869" s="23"/>
      <c r="M869" s="23"/>
      <c r="N869" s="23"/>
      <c r="O869" s="23"/>
      <c r="P869" s="23"/>
      <c r="Q869" s="25"/>
      <c r="R869" s="23"/>
      <c r="S869" s="23"/>
      <c r="T869" s="23"/>
      <c r="U869" s="20" t="str">
        <f ca="1">IF(COUNTA(A869:T869)=0,"",IF(OR(A869="",B869="",C869="",E869="",G869="",H869="",J869="",K869="",L869="",M869=""),"Ошибка: заполните обязательные поля",IF(AND(LEFT(H869,7)&lt;&gt;"http://",LEFT(H869,8)&lt;&gt;"https://"),"Ошибка: некорректная ссылка",IF(COUNTIF($H$6:$H$1005,H869)&gt;1,"Ошибка: дубликат URL",IF(E869&gt;TODAY(),"Ошибка: дата публикации в будущем",IF(S869="Да","Ошибка: подтверждённый дубль",IF(S869="","Проверить: отметьте дубль",IF(S869="Нужно проверить","Проверить возможный дубль",IF(TODAY()-E869&gt;30,"Проверить: старше 30 дней",IF(COUNTIFS(#REF!,G869,#REF!,"Готово")=0,"Проверить источник","Готово"))))))))))</f>
        <v/>
      </c>
    </row>
    <row r="870" spans="1:21" ht="25.5" customHeight="1">
      <c r="A870" s="21"/>
      <c r="B870" s="22"/>
      <c r="C870" s="21"/>
      <c r="D870" s="23"/>
      <c r="E870" s="22"/>
      <c r="F870" s="22"/>
      <c r="G870" s="23"/>
      <c r="H870" s="24"/>
      <c r="I870" s="24"/>
      <c r="J870" s="23"/>
      <c r="K870" s="23"/>
      <c r="L870" s="23"/>
      <c r="M870" s="23"/>
      <c r="N870" s="23"/>
      <c r="O870" s="23"/>
      <c r="P870" s="23"/>
      <c r="Q870" s="25"/>
      <c r="R870" s="23"/>
      <c r="S870" s="23"/>
      <c r="T870" s="23"/>
      <c r="U870" s="20" t="str">
        <f ca="1">IF(COUNTA(A870:T870)=0,"",IF(OR(A870="",B870="",C870="",E870="",G870="",H870="",J870="",K870="",L870="",M870=""),"Ошибка: заполните обязательные поля",IF(AND(LEFT(H870,7)&lt;&gt;"http://",LEFT(H870,8)&lt;&gt;"https://"),"Ошибка: некорректная ссылка",IF(COUNTIF($H$6:$H$1005,H870)&gt;1,"Ошибка: дубликат URL",IF(E870&gt;TODAY(),"Ошибка: дата публикации в будущем",IF(S870="Да","Ошибка: подтверждённый дубль",IF(S870="","Проверить: отметьте дубль",IF(S870="Нужно проверить","Проверить возможный дубль",IF(TODAY()-E870&gt;30,"Проверить: старше 30 дней",IF(COUNTIFS(#REF!,G870,#REF!,"Готово")=0,"Проверить источник","Готово"))))))))))</f>
        <v/>
      </c>
    </row>
    <row r="871" spans="1:21" ht="25.5" customHeight="1">
      <c r="A871" s="21"/>
      <c r="B871" s="22"/>
      <c r="C871" s="21"/>
      <c r="D871" s="23"/>
      <c r="E871" s="22"/>
      <c r="F871" s="22"/>
      <c r="G871" s="23"/>
      <c r="H871" s="24"/>
      <c r="I871" s="24"/>
      <c r="J871" s="23"/>
      <c r="K871" s="23"/>
      <c r="L871" s="23"/>
      <c r="M871" s="23"/>
      <c r="N871" s="23"/>
      <c r="O871" s="23"/>
      <c r="P871" s="23"/>
      <c r="Q871" s="25"/>
      <c r="R871" s="23"/>
      <c r="S871" s="23"/>
      <c r="T871" s="23"/>
      <c r="U871" s="20" t="str">
        <f ca="1">IF(COUNTA(A871:T871)=0,"",IF(OR(A871="",B871="",C871="",E871="",G871="",H871="",J871="",K871="",L871="",M871=""),"Ошибка: заполните обязательные поля",IF(AND(LEFT(H871,7)&lt;&gt;"http://",LEFT(H871,8)&lt;&gt;"https://"),"Ошибка: некорректная ссылка",IF(COUNTIF($H$6:$H$1005,H871)&gt;1,"Ошибка: дубликат URL",IF(E871&gt;TODAY(),"Ошибка: дата публикации в будущем",IF(S871="Да","Ошибка: подтверждённый дубль",IF(S871="","Проверить: отметьте дубль",IF(S871="Нужно проверить","Проверить возможный дубль",IF(TODAY()-E871&gt;30,"Проверить: старше 30 дней",IF(COUNTIFS(#REF!,G871,#REF!,"Готово")=0,"Проверить источник","Готово"))))))))))</f>
        <v/>
      </c>
    </row>
    <row r="872" spans="1:21" ht="25.5" customHeight="1">
      <c r="A872" s="21"/>
      <c r="B872" s="22"/>
      <c r="C872" s="21"/>
      <c r="D872" s="23"/>
      <c r="E872" s="22"/>
      <c r="F872" s="22"/>
      <c r="G872" s="23"/>
      <c r="H872" s="24"/>
      <c r="I872" s="24"/>
      <c r="J872" s="23"/>
      <c r="K872" s="23"/>
      <c r="L872" s="23"/>
      <c r="M872" s="23"/>
      <c r="N872" s="23"/>
      <c r="O872" s="23"/>
      <c r="P872" s="23"/>
      <c r="Q872" s="25"/>
      <c r="R872" s="23"/>
      <c r="S872" s="23"/>
      <c r="T872" s="23"/>
      <c r="U872" s="20" t="str">
        <f ca="1">IF(COUNTA(A872:T872)=0,"",IF(OR(A872="",B872="",C872="",E872="",G872="",H872="",J872="",K872="",L872="",M872=""),"Ошибка: заполните обязательные поля",IF(AND(LEFT(H872,7)&lt;&gt;"http://",LEFT(H872,8)&lt;&gt;"https://"),"Ошибка: некорректная ссылка",IF(COUNTIF($H$6:$H$1005,H872)&gt;1,"Ошибка: дубликат URL",IF(E872&gt;TODAY(),"Ошибка: дата публикации в будущем",IF(S872="Да","Ошибка: подтверждённый дубль",IF(S872="","Проверить: отметьте дубль",IF(S872="Нужно проверить","Проверить возможный дубль",IF(TODAY()-E872&gt;30,"Проверить: старше 30 дней",IF(COUNTIFS(#REF!,G872,#REF!,"Готово")=0,"Проверить источник","Готово"))))))))))</f>
        <v/>
      </c>
    </row>
    <row r="873" spans="1:21" ht="25.5" customHeight="1">
      <c r="A873" s="21"/>
      <c r="B873" s="22"/>
      <c r="C873" s="21"/>
      <c r="D873" s="23"/>
      <c r="E873" s="22"/>
      <c r="F873" s="22"/>
      <c r="G873" s="23"/>
      <c r="H873" s="24"/>
      <c r="I873" s="24"/>
      <c r="J873" s="23"/>
      <c r="K873" s="23"/>
      <c r="L873" s="23"/>
      <c r="M873" s="23"/>
      <c r="N873" s="23"/>
      <c r="O873" s="23"/>
      <c r="P873" s="23"/>
      <c r="Q873" s="25"/>
      <c r="R873" s="23"/>
      <c r="S873" s="23"/>
      <c r="T873" s="23"/>
      <c r="U873" s="20" t="str">
        <f ca="1">IF(COUNTA(A873:T873)=0,"",IF(OR(A873="",B873="",C873="",E873="",G873="",H873="",J873="",K873="",L873="",M873=""),"Ошибка: заполните обязательные поля",IF(AND(LEFT(H873,7)&lt;&gt;"http://",LEFT(H873,8)&lt;&gt;"https://"),"Ошибка: некорректная ссылка",IF(COUNTIF($H$6:$H$1005,H873)&gt;1,"Ошибка: дубликат URL",IF(E873&gt;TODAY(),"Ошибка: дата публикации в будущем",IF(S873="Да","Ошибка: подтверждённый дубль",IF(S873="","Проверить: отметьте дубль",IF(S873="Нужно проверить","Проверить возможный дубль",IF(TODAY()-E873&gt;30,"Проверить: старше 30 дней",IF(COUNTIFS(#REF!,G873,#REF!,"Готово")=0,"Проверить источник","Готово"))))))))))</f>
        <v/>
      </c>
    </row>
    <row r="874" spans="1:21" ht="25.5" customHeight="1">
      <c r="A874" s="21"/>
      <c r="B874" s="22"/>
      <c r="C874" s="21"/>
      <c r="D874" s="23"/>
      <c r="E874" s="22"/>
      <c r="F874" s="22"/>
      <c r="G874" s="23"/>
      <c r="H874" s="24"/>
      <c r="I874" s="24"/>
      <c r="J874" s="23"/>
      <c r="K874" s="23"/>
      <c r="L874" s="23"/>
      <c r="M874" s="23"/>
      <c r="N874" s="23"/>
      <c r="O874" s="23"/>
      <c r="P874" s="23"/>
      <c r="Q874" s="25"/>
      <c r="R874" s="23"/>
      <c r="S874" s="23"/>
      <c r="T874" s="23"/>
      <c r="U874" s="20" t="str">
        <f ca="1">IF(COUNTA(A874:T874)=0,"",IF(OR(A874="",B874="",C874="",E874="",G874="",H874="",J874="",K874="",L874="",M874=""),"Ошибка: заполните обязательные поля",IF(AND(LEFT(H874,7)&lt;&gt;"http://",LEFT(H874,8)&lt;&gt;"https://"),"Ошибка: некорректная ссылка",IF(COUNTIF($H$6:$H$1005,H874)&gt;1,"Ошибка: дубликат URL",IF(E874&gt;TODAY(),"Ошибка: дата публикации в будущем",IF(S874="Да","Ошибка: подтверждённый дубль",IF(S874="","Проверить: отметьте дубль",IF(S874="Нужно проверить","Проверить возможный дубль",IF(TODAY()-E874&gt;30,"Проверить: старше 30 дней",IF(COUNTIFS(#REF!,G874,#REF!,"Готово")=0,"Проверить источник","Готово"))))))))))</f>
        <v/>
      </c>
    </row>
    <row r="875" spans="1:21" ht="25.5" customHeight="1">
      <c r="A875" s="21"/>
      <c r="B875" s="22"/>
      <c r="C875" s="21"/>
      <c r="D875" s="23"/>
      <c r="E875" s="22"/>
      <c r="F875" s="22"/>
      <c r="G875" s="23"/>
      <c r="H875" s="24"/>
      <c r="I875" s="24"/>
      <c r="J875" s="23"/>
      <c r="K875" s="23"/>
      <c r="L875" s="23"/>
      <c r="M875" s="23"/>
      <c r="N875" s="23"/>
      <c r="O875" s="23"/>
      <c r="P875" s="23"/>
      <c r="Q875" s="25"/>
      <c r="R875" s="23"/>
      <c r="S875" s="23"/>
      <c r="T875" s="23"/>
      <c r="U875" s="20" t="str">
        <f ca="1">IF(COUNTA(A875:T875)=0,"",IF(OR(A875="",B875="",C875="",E875="",G875="",H875="",J875="",K875="",L875="",M875=""),"Ошибка: заполните обязательные поля",IF(AND(LEFT(H875,7)&lt;&gt;"http://",LEFT(H875,8)&lt;&gt;"https://"),"Ошибка: некорректная ссылка",IF(COUNTIF($H$6:$H$1005,H875)&gt;1,"Ошибка: дубликат URL",IF(E875&gt;TODAY(),"Ошибка: дата публикации в будущем",IF(S875="Да","Ошибка: подтверждённый дубль",IF(S875="","Проверить: отметьте дубль",IF(S875="Нужно проверить","Проверить возможный дубль",IF(TODAY()-E875&gt;30,"Проверить: старше 30 дней",IF(COUNTIFS(#REF!,G875,#REF!,"Готово")=0,"Проверить источник","Готово"))))))))))</f>
        <v/>
      </c>
    </row>
    <row r="876" spans="1:21" ht="25.5" customHeight="1">
      <c r="A876" s="21"/>
      <c r="B876" s="22"/>
      <c r="C876" s="21"/>
      <c r="D876" s="23"/>
      <c r="E876" s="22"/>
      <c r="F876" s="22"/>
      <c r="G876" s="23"/>
      <c r="H876" s="24"/>
      <c r="I876" s="24"/>
      <c r="J876" s="23"/>
      <c r="K876" s="23"/>
      <c r="L876" s="23"/>
      <c r="M876" s="23"/>
      <c r="N876" s="23"/>
      <c r="O876" s="23"/>
      <c r="P876" s="23"/>
      <c r="Q876" s="25"/>
      <c r="R876" s="23"/>
      <c r="S876" s="23"/>
      <c r="T876" s="23"/>
      <c r="U876" s="20" t="str">
        <f ca="1">IF(COUNTA(A876:T876)=0,"",IF(OR(A876="",B876="",C876="",E876="",G876="",H876="",J876="",K876="",L876="",M876=""),"Ошибка: заполните обязательные поля",IF(AND(LEFT(H876,7)&lt;&gt;"http://",LEFT(H876,8)&lt;&gt;"https://"),"Ошибка: некорректная ссылка",IF(COUNTIF($H$6:$H$1005,H876)&gt;1,"Ошибка: дубликат URL",IF(E876&gt;TODAY(),"Ошибка: дата публикации в будущем",IF(S876="Да","Ошибка: подтверждённый дубль",IF(S876="","Проверить: отметьте дубль",IF(S876="Нужно проверить","Проверить возможный дубль",IF(TODAY()-E876&gt;30,"Проверить: старше 30 дней",IF(COUNTIFS(#REF!,G876,#REF!,"Готово")=0,"Проверить источник","Готово"))))))))))</f>
        <v/>
      </c>
    </row>
    <row r="877" spans="1:21" ht="25.5" customHeight="1">
      <c r="A877" s="21"/>
      <c r="B877" s="22"/>
      <c r="C877" s="21"/>
      <c r="D877" s="23"/>
      <c r="E877" s="22"/>
      <c r="F877" s="22"/>
      <c r="G877" s="23"/>
      <c r="H877" s="24"/>
      <c r="I877" s="24"/>
      <c r="J877" s="23"/>
      <c r="K877" s="23"/>
      <c r="L877" s="23"/>
      <c r="M877" s="23"/>
      <c r="N877" s="23"/>
      <c r="O877" s="23"/>
      <c r="P877" s="23"/>
      <c r="Q877" s="25"/>
      <c r="R877" s="23"/>
      <c r="S877" s="23"/>
      <c r="T877" s="23"/>
      <c r="U877" s="20" t="str">
        <f ca="1">IF(COUNTA(A877:T877)=0,"",IF(OR(A877="",B877="",C877="",E877="",G877="",H877="",J877="",K877="",L877="",M877=""),"Ошибка: заполните обязательные поля",IF(AND(LEFT(H877,7)&lt;&gt;"http://",LEFT(H877,8)&lt;&gt;"https://"),"Ошибка: некорректная ссылка",IF(COUNTIF($H$6:$H$1005,H877)&gt;1,"Ошибка: дубликат URL",IF(E877&gt;TODAY(),"Ошибка: дата публикации в будущем",IF(S877="Да","Ошибка: подтверждённый дубль",IF(S877="","Проверить: отметьте дубль",IF(S877="Нужно проверить","Проверить возможный дубль",IF(TODAY()-E877&gt;30,"Проверить: старше 30 дней",IF(COUNTIFS(#REF!,G877,#REF!,"Готово")=0,"Проверить источник","Готово"))))))))))</f>
        <v/>
      </c>
    </row>
    <row r="878" spans="1:21" ht="25.5" customHeight="1">
      <c r="A878" s="21"/>
      <c r="B878" s="22"/>
      <c r="C878" s="21"/>
      <c r="D878" s="23"/>
      <c r="E878" s="22"/>
      <c r="F878" s="22"/>
      <c r="G878" s="23"/>
      <c r="H878" s="24"/>
      <c r="I878" s="24"/>
      <c r="J878" s="23"/>
      <c r="K878" s="23"/>
      <c r="L878" s="23"/>
      <c r="M878" s="23"/>
      <c r="N878" s="23"/>
      <c r="O878" s="23"/>
      <c r="P878" s="23"/>
      <c r="Q878" s="25"/>
      <c r="R878" s="23"/>
      <c r="S878" s="23"/>
      <c r="T878" s="23"/>
      <c r="U878" s="20" t="str">
        <f ca="1">IF(COUNTA(A878:T878)=0,"",IF(OR(A878="",B878="",C878="",E878="",G878="",H878="",J878="",K878="",L878="",M878=""),"Ошибка: заполните обязательные поля",IF(AND(LEFT(H878,7)&lt;&gt;"http://",LEFT(H878,8)&lt;&gt;"https://"),"Ошибка: некорректная ссылка",IF(COUNTIF($H$6:$H$1005,H878)&gt;1,"Ошибка: дубликат URL",IF(E878&gt;TODAY(),"Ошибка: дата публикации в будущем",IF(S878="Да","Ошибка: подтверждённый дубль",IF(S878="","Проверить: отметьте дубль",IF(S878="Нужно проверить","Проверить возможный дубль",IF(TODAY()-E878&gt;30,"Проверить: старше 30 дней",IF(COUNTIFS(#REF!,G878,#REF!,"Готово")=0,"Проверить источник","Готово"))))))))))</f>
        <v/>
      </c>
    </row>
    <row r="879" spans="1:21" ht="25.5" customHeight="1">
      <c r="A879" s="21"/>
      <c r="B879" s="22"/>
      <c r="C879" s="21"/>
      <c r="D879" s="23"/>
      <c r="E879" s="22"/>
      <c r="F879" s="22"/>
      <c r="G879" s="23"/>
      <c r="H879" s="24"/>
      <c r="I879" s="24"/>
      <c r="J879" s="23"/>
      <c r="K879" s="23"/>
      <c r="L879" s="23"/>
      <c r="M879" s="23"/>
      <c r="N879" s="23"/>
      <c r="O879" s="23"/>
      <c r="P879" s="23"/>
      <c r="Q879" s="25"/>
      <c r="R879" s="23"/>
      <c r="S879" s="23"/>
      <c r="T879" s="23"/>
      <c r="U879" s="20" t="str">
        <f ca="1">IF(COUNTA(A879:T879)=0,"",IF(OR(A879="",B879="",C879="",E879="",G879="",H879="",J879="",K879="",L879="",M879=""),"Ошибка: заполните обязательные поля",IF(AND(LEFT(H879,7)&lt;&gt;"http://",LEFT(H879,8)&lt;&gt;"https://"),"Ошибка: некорректная ссылка",IF(COUNTIF($H$6:$H$1005,H879)&gt;1,"Ошибка: дубликат URL",IF(E879&gt;TODAY(),"Ошибка: дата публикации в будущем",IF(S879="Да","Ошибка: подтверждённый дубль",IF(S879="","Проверить: отметьте дубль",IF(S879="Нужно проверить","Проверить возможный дубль",IF(TODAY()-E879&gt;30,"Проверить: старше 30 дней",IF(COUNTIFS(#REF!,G879,#REF!,"Готово")=0,"Проверить источник","Готово"))))))))))</f>
        <v/>
      </c>
    </row>
    <row r="880" spans="1:21" ht="25.5" customHeight="1">
      <c r="A880" s="21"/>
      <c r="B880" s="22"/>
      <c r="C880" s="21"/>
      <c r="D880" s="23"/>
      <c r="E880" s="22"/>
      <c r="F880" s="22"/>
      <c r="G880" s="23"/>
      <c r="H880" s="24"/>
      <c r="I880" s="24"/>
      <c r="J880" s="23"/>
      <c r="K880" s="23"/>
      <c r="L880" s="23"/>
      <c r="M880" s="23"/>
      <c r="N880" s="23"/>
      <c r="O880" s="23"/>
      <c r="P880" s="23"/>
      <c r="Q880" s="25"/>
      <c r="R880" s="23"/>
      <c r="S880" s="23"/>
      <c r="T880" s="23"/>
      <c r="U880" s="20" t="str">
        <f ca="1">IF(COUNTA(A880:T880)=0,"",IF(OR(A880="",B880="",C880="",E880="",G880="",H880="",J880="",K880="",L880="",M880=""),"Ошибка: заполните обязательные поля",IF(AND(LEFT(H880,7)&lt;&gt;"http://",LEFT(H880,8)&lt;&gt;"https://"),"Ошибка: некорректная ссылка",IF(COUNTIF($H$6:$H$1005,H880)&gt;1,"Ошибка: дубликат URL",IF(E880&gt;TODAY(),"Ошибка: дата публикации в будущем",IF(S880="Да","Ошибка: подтверждённый дубль",IF(S880="","Проверить: отметьте дубль",IF(S880="Нужно проверить","Проверить возможный дубль",IF(TODAY()-E880&gt;30,"Проверить: старше 30 дней",IF(COUNTIFS(#REF!,G880,#REF!,"Готово")=0,"Проверить источник","Готово"))))))))))</f>
        <v/>
      </c>
    </row>
    <row r="881" spans="1:21" ht="25.5" customHeight="1">
      <c r="A881" s="21"/>
      <c r="B881" s="22"/>
      <c r="C881" s="21"/>
      <c r="D881" s="23"/>
      <c r="E881" s="22"/>
      <c r="F881" s="22"/>
      <c r="G881" s="23"/>
      <c r="H881" s="24"/>
      <c r="I881" s="24"/>
      <c r="J881" s="23"/>
      <c r="K881" s="23"/>
      <c r="L881" s="23"/>
      <c r="M881" s="23"/>
      <c r="N881" s="23"/>
      <c r="O881" s="23"/>
      <c r="P881" s="23"/>
      <c r="Q881" s="25"/>
      <c r="R881" s="23"/>
      <c r="S881" s="23"/>
      <c r="T881" s="23"/>
      <c r="U881" s="20" t="str">
        <f ca="1">IF(COUNTA(A881:T881)=0,"",IF(OR(A881="",B881="",C881="",E881="",G881="",H881="",J881="",K881="",L881="",M881=""),"Ошибка: заполните обязательные поля",IF(AND(LEFT(H881,7)&lt;&gt;"http://",LEFT(H881,8)&lt;&gt;"https://"),"Ошибка: некорректная ссылка",IF(COUNTIF($H$6:$H$1005,H881)&gt;1,"Ошибка: дубликат URL",IF(E881&gt;TODAY(),"Ошибка: дата публикации в будущем",IF(S881="Да","Ошибка: подтверждённый дубль",IF(S881="","Проверить: отметьте дубль",IF(S881="Нужно проверить","Проверить возможный дубль",IF(TODAY()-E881&gt;30,"Проверить: старше 30 дней",IF(COUNTIFS(#REF!,G881,#REF!,"Готово")=0,"Проверить источник","Готово"))))))))))</f>
        <v/>
      </c>
    </row>
    <row r="882" spans="1:21" ht="25.5" customHeight="1">
      <c r="A882" s="21"/>
      <c r="B882" s="22"/>
      <c r="C882" s="21"/>
      <c r="D882" s="23"/>
      <c r="E882" s="22"/>
      <c r="F882" s="22"/>
      <c r="G882" s="23"/>
      <c r="H882" s="24"/>
      <c r="I882" s="24"/>
      <c r="J882" s="23"/>
      <c r="K882" s="23"/>
      <c r="L882" s="23"/>
      <c r="M882" s="23"/>
      <c r="N882" s="23"/>
      <c r="O882" s="23"/>
      <c r="P882" s="23"/>
      <c r="Q882" s="25"/>
      <c r="R882" s="23"/>
      <c r="S882" s="23"/>
      <c r="T882" s="23"/>
      <c r="U882" s="20" t="str">
        <f ca="1">IF(COUNTA(A882:T882)=0,"",IF(OR(A882="",B882="",C882="",E882="",G882="",H882="",J882="",K882="",L882="",M882=""),"Ошибка: заполните обязательные поля",IF(AND(LEFT(H882,7)&lt;&gt;"http://",LEFT(H882,8)&lt;&gt;"https://"),"Ошибка: некорректная ссылка",IF(COUNTIF($H$6:$H$1005,H882)&gt;1,"Ошибка: дубликат URL",IF(E882&gt;TODAY(),"Ошибка: дата публикации в будущем",IF(S882="Да","Ошибка: подтверждённый дубль",IF(S882="","Проверить: отметьте дубль",IF(S882="Нужно проверить","Проверить возможный дубль",IF(TODAY()-E882&gt;30,"Проверить: старше 30 дней",IF(COUNTIFS(#REF!,G882,#REF!,"Готово")=0,"Проверить источник","Готово"))))))))))</f>
        <v/>
      </c>
    </row>
    <row r="883" spans="1:21" ht="25.5" customHeight="1">
      <c r="A883" s="21"/>
      <c r="B883" s="22"/>
      <c r="C883" s="21"/>
      <c r="D883" s="23"/>
      <c r="E883" s="22"/>
      <c r="F883" s="22"/>
      <c r="G883" s="23"/>
      <c r="H883" s="24"/>
      <c r="I883" s="24"/>
      <c r="J883" s="23"/>
      <c r="K883" s="23"/>
      <c r="L883" s="23"/>
      <c r="M883" s="23"/>
      <c r="N883" s="23"/>
      <c r="O883" s="23"/>
      <c r="P883" s="23"/>
      <c r="Q883" s="25"/>
      <c r="R883" s="23"/>
      <c r="S883" s="23"/>
      <c r="T883" s="23"/>
      <c r="U883" s="20" t="str">
        <f ca="1">IF(COUNTA(A883:T883)=0,"",IF(OR(A883="",B883="",C883="",E883="",G883="",H883="",J883="",K883="",L883="",M883=""),"Ошибка: заполните обязательные поля",IF(AND(LEFT(H883,7)&lt;&gt;"http://",LEFT(H883,8)&lt;&gt;"https://"),"Ошибка: некорректная ссылка",IF(COUNTIF($H$6:$H$1005,H883)&gt;1,"Ошибка: дубликат URL",IF(E883&gt;TODAY(),"Ошибка: дата публикации в будущем",IF(S883="Да","Ошибка: подтверждённый дубль",IF(S883="","Проверить: отметьте дубль",IF(S883="Нужно проверить","Проверить возможный дубль",IF(TODAY()-E883&gt;30,"Проверить: старше 30 дней",IF(COUNTIFS(#REF!,G883,#REF!,"Готово")=0,"Проверить источник","Готово"))))))))))</f>
        <v/>
      </c>
    </row>
    <row r="884" spans="1:21" ht="25.5" customHeight="1">
      <c r="A884" s="21"/>
      <c r="B884" s="22"/>
      <c r="C884" s="21"/>
      <c r="D884" s="23"/>
      <c r="E884" s="22"/>
      <c r="F884" s="22"/>
      <c r="G884" s="23"/>
      <c r="H884" s="24"/>
      <c r="I884" s="24"/>
      <c r="J884" s="23"/>
      <c r="K884" s="23"/>
      <c r="L884" s="23"/>
      <c r="M884" s="23"/>
      <c r="N884" s="23"/>
      <c r="O884" s="23"/>
      <c r="P884" s="23"/>
      <c r="Q884" s="25"/>
      <c r="R884" s="23"/>
      <c r="S884" s="23"/>
      <c r="T884" s="23"/>
      <c r="U884" s="20" t="str">
        <f ca="1">IF(COUNTA(A884:T884)=0,"",IF(OR(A884="",B884="",C884="",E884="",G884="",H884="",J884="",K884="",L884="",M884=""),"Ошибка: заполните обязательные поля",IF(AND(LEFT(H884,7)&lt;&gt;"http://",LEFT(H884,8)&lt;&gt;"https://"),"Ошибка: некорректная ссылка",IF(COUNTIF($H$6:$H$1005,H884)&gt;1,"Ошибка: дубликат URL",IF(E884&gt;TODAY(),"Ошибка: дата публикации в будущем",IF(S884="Да","Ошибка: подтверждённый дубль",IF(S884="","Проверить: отметьте дубль",IF(S884="Нужно проверить","Проверить возможный дубль",IF(TODAY()-E884&gt;30,"Проверить: старше 30 дней",IF(COUNTIFS(#REF!,G884,#REF!,"Готово")=0,"Проверить источник","Готово"))))))))))</f>
        <v/>
      </c>
    </row>
    <row r="885" spans="1:21" ht="25.5" customHeight="1">
      <c r="A885" s="21"/>
      <c r="B885" s="22"/>
      <c r="C885" s="21"/>
      <c r="D885" s="23"/>
      <c r="E885" s="22"/>
      <c r="F885" s="22"/>
      <c r="G885" s="23"/>
      <c r="H885" s="24"/>
      <c r="I885" s="24"/>
      <c r="J885" s="23"/>
      <c r="K885" s="23"/>
      <c r="L885" s="23"/>
      <c r="M885" s="23"/>
      <c r="N885" s="23"/>
      <c r="O885" s="23"/>
      <c r="P885" s="23"/>
      <c r="Q885" s="25"/>
      <c r="R885" s="23"/>
      <c r="S885" s="23"/>
      <c r="T885" s="23"/>
      <c r="U885" s="20" t="str">
        <f ca="1">IF(COUNTA(A885:T885)=0,"",IF(OR(A885="",B885="",C885="",E885="",G885="",H885="",J885="",K885="",L885="",M885=""),"Ошибка: заполните обязательные поля",IF(AND(LEFT(H885,7)&lt;&gt;"http://",LEFT(H885,8)&lt;&gt;"https://"),"Ошибка: некорректная ссылка",IF(COUNTIF($H$6:$H$1005,H885)&gt;1,"Ошибка: дубликат URL",IF(E885&gt;TODAY(),"Ошибка: дата публикации в будущем",IF(S885="Да","Ошибка: подтверждённый дубль",IF(S885="","Проверить: отметьте дубль",IF(S885="Нужно проверить","Проверить возможный дубль",IF(TODAY()-E885&gt;30,"Проверить: старше 30 дней",IF(COUNTIFS(#REF!,G885,#REF!,"Готово")=0,"Проверить источник","Готово"))))))))))</f>
        <v/>
      </c>
    </row>
    <row r="886" spans="1:21" ht="25.5" customHeight="1">
      <c r="A886" s="21"/>
      <c r="B886" s="22"/>
      <c r="C886" s="21"/>
      <c r="D886" s="23"/>
      <c r="E886" s="22"/>
      <c r="F886" s="22"/>
      <c r="G886" s="23"/>
      <c r="H886" s="24"/>
      <c r="I886" s="24"/>
      <c r="J886" s="23"/>
      <c r="K886" s="23"/>
      <c r="L886" s="23"/>
      <c r="M886" s="23"/>
      <c r="N886" s="23"/>
      <c r="O886" s="23"/>
      <c r="P886" s="23"/>
      <c r="Q886" s="25"/>
      <c r="R886" s="23"/>
      <c r="S886" s="23"/>
      <c r="T886" s="23"/>
      <c r="U886" s="20" t="str">
        <f ca="1">IF(COUNTA(A886:T886)=0,"",IF(OR(A886="",B886="",C886="",E886="",G886="",H886="",J886="",K886="",L886="",M886=""),"Ошибка: заполните обязательные поля",IF(AND(LEFT(H886,7)&lt;&gt;"http://",LEFT(H886,8)&lt;&gt;"https://"),"Ошибка: некорректная ссылка",IF(COUNTIF($H$6:$H$1005,H886)&gt;1,"Ошибка: дубликат URL",IF(E886&gt;TODAY(),"Ошибка: дата публикации в будущем",IF(S886="Да","Ошибка: подтверждённый дубль",IF(S886="","Проверить: отметьте дубль",IF(S886="Нужно проверить","Проверить возможный дубль",IF(TODAY()-E886&gt;30,"Проверить: старше 30 дней",IF(COUNTIFS(#REF!,G886,#REF!,"Готово")=0,"Проверить источник","Готово"))))))))))</f>
        <v/>
      </c>
    </row>
    <row r="887" spans="1:21" ht="25.5" customHeight="1">
      <c r="A887" s="21"/>
      <c r="B887" s="22"/>
      <c r="C887" s="21"/>
      <c r="D887" s="23"/>
      <c r="E887" s="22"/>
      <c r="F887" s="22"/>
      <c r="G887" s="23"/>
      <c r="H887" s="24"/>
      <c r="I887" s="24"/>
      <c r="J887" s="23"/>
      <c r="K887" s="23"/>
      <c r="L887" s="23"/>
      <c r="M887" s="23"/>
      <c r="N887" s="23"/>
      <c r="O887" s="23"/>
      <c r="P887" s="23"/>
      <c r="Q887" s="25"/>
      <c r="R887" s="23"/>
      <c r="S887" s="23"/>
      <c r="T887" s="23"/>
      <c r="U887" s="20" t="str">
        <f ca="1">IF(COUNTA(A887:T887)=0,"",IF(OR(A887="",B887="",C887="",E887="",G887="",H887="",J887="",K887="",L887="",M887=""),"Ошибка: заполните обязательные поля",IF(AND(LEFT(H887,7)&lt;&gt;"http://",LEFT(H887,8)&lt;&gt;"https://"),"Ошибка: некорректная ссылка",IF(COUNTIF($H$6:$H$1005,H887)&gt;1,"Ошибка: дубликат URL",IF(E887&gt;TODAY(),"Ошибка: дата публикации в будущем",IF(S887="Да","Ошибка: подтверждённый дубль",IF(S887="","Проверить: отметьте дубль",IF(S887="Нужно проверить","Проверить возможный дубль",IF(TODAY()-E887&gt;30,"Проверить: старше 30 дней",IF(COUNTIFS(#REF!,G887,#REF!,"Готово")=0,"Проверить источник","Готово"))))))))))</f>
        <v/>
      </c>
    </row>
    <row r="888" spans="1:21" ht="25.5" customHeight="1">
      <c r="A888" s="21"/>
      <c r="B888" s="22"/>
      <c r="C888" s="21"/>
      <c r="D888" s="23"/>
      <c r="E888" s="22"/>
      <c r="F888" s="22"/>
      <c r="G888" s="23"/>
      <c r="H888" s="24"/>
      <c r="I888" s="24"/>
      <c r="J888" s="23"/>
      <c r="K888" s="23"/>
      <c r="L888" s="23"/>
      <c r="M888" s="23"/>
      <c r="N888" s="23"/>
      <c r="O888" s="23"/>
      <c r="P888" s="23"/>
      <c r="Q888" s="25"/>
      <c r="R888" s="23"/>
      <c r="S888" s="23"/>
      <c r="T888" s="23"/>
      <c r="U888" s="20" t="str">
        <f ca="1">IF(COUNTA(A888:T888)=0,"",IF(OR(A888="",B888="",C888="",E888="",G888="",H888="",J888="",K888="",L888="",M888=""),"Ошибка: заполните обязательные поля",IF(AND(LEFT(H888,7)&lt;&gt;"http://",LEFT(H888,8)&lt;&gt;"https://"),"Ошибка: некорректная ссылка",IF(COUNTIF($H$6:$H$1005,H888)&gt;1,"Ошибка: дубликат URL",IF(E888&gt;TODAY(),"Ошибка: дата публикации в будущем",IF(S888="Да","Ошибка: подтверждённый дубль",IF(S888="","Проверить: отметьте дубль",IF(S888="Нужно проверить","Проверить возможный дубль",IF(TODAY()-E888&gt;30,"Проверить: старше 30 дней",IF(COUNTIFS(#REF!,G888,#REF!,"Готово")=0,"Проверить источник","Готово"))))))))))</f>
        <v/>
      </c>
    </row>
    <row r="889" spans="1:21" ht="25.5" customHeight="1">
      <c r="A889" s="21"/>
      <c r="B889" s="22"/>
      <c r="C889" s="21"/>
      <c r="D889" s="23"/>
      <c r="E889" s="22"/>
      <c r="F889" s="22"/>
      <c r="G889" s="23"/>
      <c r="H889" s="24"/>
      <c r="I889" s="24"/>
      <c r="J889" s="23"/>
      <c r="K889" s="23"/>
      <c r="L889" s="23"/>
      <c r="M889" s="23"/>
      <c r="N889" s="23"/>
      <c r="O889" s="23"/>
      <c r="P889" s="23"/>
      <c r="Q889" s="25"/>
      <c r="R889" s="23"/>
      <c r="S889" s="23"/>
      <c r="T889" s="23"/>
      <c r="U889" s="20" t="str">
        <f ca="1">IF(COUNTA(A889:T889)=0,"",IF(OR(A889="",B889="",C889="",E889="",G889="",H889="",J889="",K889="",L889="",M889=""),"Ошибка: заполните обязательные поля",IF(AND(LEFT(H889,7)&lt;&gt;"http://",LEFT(H889,8)&lt;&gt;"https://"),"Ошибка: некорректная ссылка",IF(COUNTIF($H$6:$H$1005,H889)&gt;1,"Ошибка: дубликат URL",IF(E889&gt;TODAY(),"Ошибка: дата публикации в будущем",IF(S889="Да","Ошибка: подтверждённый дубль",IF(S889="","Проверить: отметьте дубль",IF(S889="Нужно проверить","Проверить возможный дубль",IF(TODAY()-E889&gt;30,"Проверить: старше 30 дней",IF(COUNTIFS(#REF!,G889,#REF!,"Готово")=0,"Проверить источник","Готово"))))))))))</f>
        <v/>
      </c>
    </row>
    <row r="890" spans="1:21" ht="25.5" customHeight="1">
      <c r="A890" s="21"/>
      <c r="B890" s="22"/>
      <c r="C890" s="21"/>
      <c r="D890" s="23"/>
      <c r="E890" s="22"/>
      <c r="F890" s="22"/>
      <c r="G890" s="23"/>
      <c r="H890" s="24"/>
      <c r="I890" s="24"/>
      <c r="J890" s="23"/>
      <c r="K890" s="23"/>
      <c r="L890" s="23"/>
      <c r="M890" s="23"/>
      <c r="N890" s="23"/>
      <c r="O890" s="23"/>
      <c r="P890" s="23"/>
      <c r="Q890" s="25"/>
      <c r="R890" s="23"/>
      <c r="S890" s="23"/>
      <c r="T890" s="23"/>
      <c r="U890" s="20" t="str">
        <f ca="1">IF(COUNTA(A890:T890)=0,"",IF(OR(A890="",B890="",C890="",E890="",G890="",H890="",J890="",K890="",L890="",M890=""),"Ошибка: заполните обязательные поля",IF(AND(LEFT(H890,7)&lt;&gt;"http://",LEFT(H890,8)&lt;&gt;"https://"),"Ошибка: некорректная ссылка",IF(COUNTIF($H$6:$H$1005,H890)&gt;1,"Ошибка: дубликат URL",IF(E890&gt;TODAY(),"Ошибка: дата публикации в будущем",IF(S890="Да","Ошибка: подтверждённый дубль",IF(S890="","Проверить: отметьте дубль",IF(S890="Нужно проверить","Проверить возможный дубль",IF(TODAY()-E890&gt;30,"Проверить: старше 30 дней",IF(COUNTIFS(#REF!,G890,#REF!,"Готово")=0,"Проверить источник","Готово"))))))))))</f>
        <v/>
      </c>
    </row>
    <row r="891" spans="1:21" ht="25.5" customHeight="1">
      <c r="A891" s="21"/>
      <c r="B891" s="22"/>
      <c r="C891" s="21"/>
      <c r="D891" s="23"/>
      <c r="E891" s="22"/>
      <c r="F891" s="22"/>
      <c r="G891" s="23"/>
      <c r="H891" s="24"/>
      <c r="I891" s="24"/>
      <c r="J891" s="23"/>
      <c r="K891" s="23"/>
      <c r="L891" s="23"/>
      <c r="M891" s="23"/>
      <c r="N891" s="23"/>
      <c r="O891" s="23"/>
      <c r="P891" s="23"/>
      <c r="Q891" s="25"/>
      <c r="R891" s="23"/>
      <c r="S891" s="23"/>
      <c r="T891" s="23"/>
      <c r="U891" s="20" t="str">
        <f ca="1">IF(COUNTA(A891:T891)=0,"",IF(OR(A891="",B891="",C891="",E891="",G891="",H891="",J891="",K891="",L891="",M891=""),"Ошибка: заполните обязательные поля",IF(AND(LEFT(H891,7)&lt;&gt;"http://",LEFT(H891,8)&lt;&gt;"https://"),"Ошибка: некорректная ссылка",IF(COUNTIF($H$6:$H$1005,H891)&gt;1,"Ошибка: дубликат URL",IF(E891&gt;TODAY(),"Ошибка: дата публикации в будущем",IF(S891="Да","Ошибка: подтверждённый дубль",IF(S891="","Проверить: отметьте дубль",IF(S891="Нужно проверить","Проверить возможный дубль",IF(TODAY()-E891&gt;30,"Проверить: старше 30 дней",IF(COUNTIFS(#REF!,G891,#REF!,"Готово")=0,"Проверить источник","Готово"))))))))))</f>
        <v/>
      </c>
    </row>
    <row r="892" spans="1:21" ht="25.5" customHeight="1">
      <c r="A892" s="21"/>
      <c r="B892" s="22"/>
      <c r="C892" s="21"/>
      <c r="D892" s="23"/>
      <c r="E892" s="22"/>
      <c r="F892" s="22"/>
      <c r="G892" s="23"/>
      <c r="H892" s="24"/>
      <c r="I892" s="24"/>
      <c r="J892" s="23"/>
      <c r="K892" s="23"/>
      <c r="L892" s="23"/>
      <c r="M892" s="23"/>
      <c r="N892" s="23"/>
      <c r="O892" s="23"/>
      <c r="P892" s="23"/>
      <c r="Q892" s="25"/>
      <c r="R892" s="23"/>
      <c r="S892" s="23"/>
      <c r="T892" s="23"/>
      <c r="U892" s="20" t="str">
        <f ca="1">IF(COUNTA(A892:T892)=0,"",IF(OR(A892="",B892="",C892="",E892="",G892="",H892="",J892="",K892="",L892="",M892=""),"Ошибка: заполните обязательные поля",IF(AND(LEFT(H892,7)&lt;&gt;"http://",LEFT(H892,8)&lt;&gt;"https://"),"Ошибка: некорректная ссылка",IF(COUNTIF($H$6:$H$1005,H892)&gt;1,"Ошибка: дубликат URL",IF(E892&gt;TODAY(),"Ошибка: дата публикации в будущем",IF(S892="Да","Ошибка: подтверждённый дубль",IF(S892="","Проверить: отметьте дубль",IF(S892="Нужно проверить","Проверить возможный дубль",IF(TODAY()-E892&gt;30,"Проверить: старше 30 дней",IF(COUNTIFS(#REF!,G892,#REF!,"Готово")=0,"Проверить источник","Готово"))))))))))</f>
        <v/>
      </c>
    </row>
    <row r="893" spans="1:21" ht="25.5" customHeight="1">
      <c r="A893" s="21"/>
      <c r="B893" s="22"/>
      <c r="C893" s="21"/>
      <c r="D893" s="23"/>
      <c r="E893" s="22"/>
      <c r="F893" s="22"/>
      <c r="G893" s="23"/>
      <c r="H893" s="24"/>
      <c r="I893" s="24"/>
      <c r="J893" s="23"/>
      <c r="K893" s="23"/>
      <c r="L893" s="23"/>
      <c r="M893" s="23"/>
      <c r="N893" s="23"/>
      <c r="O893" s="23"/>
      <c r="P893" s="23"/>
      <c r="Q893" s="25"/>
      <c r="R893" s="23"/>
      <c r="S893" s="23"/>
      <c r="T893" s="23"/>
      <c r="U893" s="20" t="str">
        <f ca="1">IF(COUNTA(A893:T893)=0,"",IF(OR(A893="",B893="",C893="",E893="",G893="",H893="",J893="",K893="",L893="",M893=""),"Ошибка: заполните обязательные поля",IF(AND(LEFT(H893,7)&lt;&gt;"http://",LEFT(H893,8)&lt;&gt;"https://"),"Ошибка: некорректная ссылка",IF(COUNTIF($H$6:$H$1005,H893)&gt;1,"Ошибка: дубликат URL",IF(E893&gt;TODAY(),"Ошибка: дата публикации в будущем",IF(S893="Да","Ошибка: подтверждённый дубль",IF(S893="","Проверить: отметьте дубль",IF(S893="Нужно проверить","Проверить возможный дубль",IF(TODAY()-E893&gt;30,"Проверить: старше 30 дней",IF(COUNTIFS(#REF!,G893,#REF!,"Готово")=0,"Проверить источник","Готово"))))))))))</f>
        <v/>
      </c>
    </row>
    <row r="894" spans="1:21" ht="25.5" customHeight="1">
      <c r="A894" s="21"/>
      <c r="B894" s="22"/>
      <c r="C894" s="21"/>
      <c r="D894" s="23"/>
      <c r="E894" s="22"/>
      <c r="F894" s="22"/>
      <c r="G894" s="23"/>
      <c r="H894" s="24"/>
      <c r="I894" s="24"/>
      <c r="J894" s="23"/>
      <c r="K894" s="23"/>
      <c r="L894" s="23"/>
      <c r="M894" s="23"/>
      <c r="N894" s="23"/>
      <c r="O894" s="23"/>
      <c r="P894" s="23"/>
      <c r="Q894" s="25"/>
      <c r="R894" s="23"/>
      <c r="S894" s="23"/>
      <c r="T894" s="23"/>
      <c r="U894" s="20" t="str">
        <f ca="1">IF(COUNTA(A894:T894)=0,"",IF(OR(A894="",B894="",C894="",E894="",G894="",H894="",J894="",K894="",L894="",M894=""),"Ошибка: заполните обязательные поля",IF(AND(LEFT(H894,7)&lt;&gt;"http://",LEFT(H894,8)&lt;&gt;"https://"),"Ошибка: некорректная ссылка",IF(COUNTIF($H$6:$H$1005,H894)&gt;1,"Ошибка: дубликат URL",IF(E894&gt;TODAY(),"Ошибка: дата публикации в будущем",IF(S894="Да","Ошибка: подтверждённый дубль",IF(S894="","Проверить: отметьте дубль",IF(S894="Нужно проверить","Проверить возможный дубль",IF(TODAY()-E894&gt;30,"Проверить: старше 30 дней",IF(COUNTIFS(#REF!,G894,#REF!,"Готово")=0,"Проверить источник","Готово"))))))))))</f>
        <v/>
      </c>
    </row>
    <row r="895" spans="1:21" ht="25.5" customHeight="1">
      <c r="A895" s="21"/>
      <c r="B895" s="22"/>
      <c r="C895" s="21"/>
      <c r="D895" s="23"/>
      <c r="E895" s="22"/>
      <c r="F895" s="22"/>
      <c r="G895" s="23"/>
      <c r="H895" s="24"/>
      <c r="I895" s="24"/>
      <c r="J895" s="23"/>
      <c r="K895" s="23"/>
      <c r="L895" s="23"/>
      <c r="M895" s="23"/>
      <c r="N895" s="23"/>
      <c r="O895" s="23"/>
      <c r="P895" s="23"/>
      <c r="Q895" s="25"/>
      <c r="R895" s="23"/>
      <c r="S895" s="23"/>
      <c r="T895" s="23"/>
      <c r="U895" s="20" t="str">
        <f ca="1">IF(COUNTA(A895:T895)=0,"",IF(OR(A895="",B895="",C895="",E895="",G895="",H895="",J895="",K895="",L895="",M895=""),"Ошибка: заполните обязательные поля",IF(AND(LEFT(H895,7)&lt;&gt;"http://",LEFT(H895,8)&lt;&gt;"https://"),"Ошибка: некорректная ссылка",IF(COUNTIF($H$6:$H$1005,H895)&gt;1,"Ошибка: дубликат URL",IF(E895&gt;TODAY(),"Ошибка: дата публикации в будущем",IF(S895="Да","Ошибка: подтверждённый дубль",IF(S895="","Проверить: отметьте дубль",IF(S895="Нужно проверить","Проверить возможный дубль",IF(TODAY()-E895&gt;30,"Проверить: старше 30 дней",IF(COUNTIFS(#REF!,G895,#REF!,"Готово")=0,"Проверить источник","Готово"))))))))))</f>
        <v/>
      </c>
    </row>
    <row r="896" spans="1:21" ht="25.5" customHeight="1">
      <c r="A896" s="21"/>
      <c r="B896" s="22"/>
      <c r="C896" s="21"/>
      <c r="D896" s="23"/>
      <c r="E896" s="22"/>
      <c r="F896" s="22"/>
      <c r="G896" s="23"/>
      <c r="H896" s="24"/>
      <c r="I896" s="24"/>
      <c r="J896" s="23"/>
      <c r="K896" s="23"/>
      <c r="L896" s="23"/>
      <c r="M896" s="23"/>
      <c r="N896" s="23"/>
      <c r="O896" s="23"/>
      <c r="P896" s="23"/>
      <c r="Q896" s="25"/>
      <c r="R896" s="23"/>
      <c r="S896" s="23"/>
      <c r="T896" s="23"/>
      <c r="U896" s="20" t="str">
        <f ca="1">IF(COUNTA(A896:T896)=0,"",IF(OR(A896="",B896="",C896="",E896="",G896="",H896="",J896="",K896="",L896="",M896=""),"Ошибка: заполните обязательные поля",IF(AND(LEFT(H896,7)&lt;&gt;"http://",LEFT(H896,8)&lt;&gt;"https://"),"Ошибка: некорректная ссылка",IF(COUNTIF($H$6:$H$1005,H896)&gt;1,"Ошибка: дубликат URL",IF(E896&gt;TODAY(),"Ошибка: дата публикации в будущем",IF(S896="Да","Ошибка: подтверждённый дубль",IF(S896="","Проверить: отметьте дубль",IF(S896="Нужно проверить","Проверить возможный дубль",IF(TODAY()-E896&gt;30,"Проверить: старше 30 дней",IF(COUNTIFS(#REF!,G896,#REF!,"Готово")=0,"Проверить источник","Готово"))))))))))</f>
        <v/>
      </c>
    </row>
    <row r="897" spans="1:21" ht="25.5" customHeight="1">
      <c r="A897" s="21"/>
      <c r="B897" s="22"/>
      <c r="C897" s="21"/>
      <c r="D897" s="23"/>
      <c r="E897" s="22"/>
      <c r="F897" s="22"/>
      <c r="G897" s="23"/>
      <c r="H897" s="24"/>
      <c r="I897" s="24"/>
      <c r="J897" s="23"/>
      <c r="K897" s="23"/>
      <c r="L897" s="23"/>
      <c r="M897" s="23"/>
      <c r="N897" s="23"/>
      <c r="O897" s="23"/>
      <c r="P897" s="23"/>
      <c r="Q897" s="25"/>
      <c r="R897" s="23"/>
      <c r="S897" s="23"/>
      <c r="T897" s="23"/>
      <c r="U897" s="20" t="str">
        <f ca="1">IF(COUNTA(A897:T897)=0,"",IF(OR(A897="",B897="",C897="",E897="",G897="",H897="",J897="",K897="",L897="",M897=""),"Ошибка: заполните обязательные поля",IF(AND(LEFT(H897,7)&lt;&gt;"http://",LEFT(H897,8)&lt;&gt;"https://"),"Ошибка: некорректная ссылка",IF(COUNTIF($H$6:$H$1005,H897)&gt;1,"Ошибка: дубликат URL",IF(E897&gt;TODAY(),"Ошибка: дата публикации в будущем",IF(S897="Да","Ошибка: подтверждённый дубль",IF(S897="","Проверить: отметьте дубль",IF(S897="Нужно проверить","Проверить возможный дубль",IF(TODAY()-E897&gt;30,"Проверить: старше 30 дней",IF(COUNTIFS(#REF!,G897,#REF!,"Готово")=0,"Проверить источник","Готово"))))))))))</f>
        <v/>
      </c>
    </row>
    <row r="898" spans="1:21" ht="25.5" customHeight="1">
      <c r="A898" s="21"/>
      <c r="B898" s="22"/>
      <c r="C898" s="21"/>
      <c r="D898" s="23"/>
      <c r="E898" s="22"/>
      <c r="F898" s="22"/>
      <c r="G898" s="23"/>
      <c r="H898" s="24"/>
      <c r="I898" s="24"/>
      <c r="J898" s="23"/>
      <c r="K898" s="23"/>
      <c r="L898" s="23"/>
      <c r="M898" s="23"/>
      <c r="N898" s="23"/>
      <c r="O898" s="23"/>
      <c r="P898" s="23"/>
      <c r="Q898" s="25"/>
      <c r="R898" s="23"/>
      <c r="S898" s="23"/>
      <c r="T898" s="23"/>
      <c r="U898" s="20" t="str">
        <f ca="1">IF(COUNTA(A898:T898)=0,"",IF(OR(A898="",B898="",C898="",E898="",G898="",H898="",J898="",K898="",L898="",M898=""),"Ошибка: заполните обязательные поля",IF(AND(LEFT(H898,7)&lt;&gt;"http://",LEFT(H898,8)&lt;&gt;"https://"),"Ошибка: некорректная ссылка",IF(COUNTIF($H$6:$H$1005,H898)&gt;1,"Ошибка: дубликат URL",IF(E898&gt;TODAY(),"Ошибка: дата публикации в будущем",IF(S898="Да","Ошибка: подтверждённый дубль",IF(S898="","Проверить: отметьте дубль",IF(S898="Нужно проверить","Проверить возможный дубль",IF(TODAY()-E898&gt;30,"Проверить: старше 30 дней",IF(COUNTIFS(#REF!,G898,#REF!,"Готово")=0,"Проверить источник","Готово"))))))))))</f>
        <v/>
      </c>
    </row>
    <row r="899" spans="1:21" ht="25.5" customHeight="1">
      <c r="A899" s="21"/>
      <c r="B899" s="22"/>
      <c r="C899" s="21"/>
      <c r="D899" s="23"/>
      <c r="E899" s="22"/>
      <c r="F899" s="22"/>
      <c r="G899" s="23"/>
      <c r="H899" s="24"/>
      <c r="I899" s="24"/>
      <c r="J899" s="23"/>
      <c r="K899" s="23"/>
      <c r="L899" s="23"/>
      <c r="M899" s="23"/>
      <c r="N899" s="23"/>
      <c r="O899" s="23"/>
      <c r="P899" s="23"/>
      <c r="Q899" s="25"/>
      <c r="R899" s="23"/>
      <c r="S899" s="23"/>
      <c r="T899" s="23"/>
      <c r="U899" s="20" t="str">
        <f ca="1">IF(COUNTA(A899:T899)=0,"",IF(OR(A899="",B899="",C899="",E899="",G899="",H899="",J899="",K899="",L899="",M899=""),"Ошибка: заполните обязательные поля",IF(AND(LEFT(H899,7)&lt;&gt;"http://",LEFT(H899,8)&lt;&gt;"https://"),"Ошибка: некорректная ссылка",IF(COUNTIF($H$6:$H$1005,H899)&gt;1,"Ошибка: дубликат URL",IF(E899&gt;TODAY(),"Ошибка: дата публикации в будущем",IF(S899="Да","Ошибка: подтверждённый дубль",IF(S899="","Проверить: отметьте дубль",IF(S899="Нужно проверить","Проверить возможный дубль",IF(TODAY()-E899&gt;30,"Проверить: старше 30 дней",IF(COUNTIFS(#REF!,G899,#REF!,"Готово")=0,"Проверить источник","Готово"))))))))))</f>
        <v/>
      </c>
    </row>
    <row r="900" spans="1:21" ht="25.5" customHeight="1">
      <c r="A900" s="21"/>
      <c r="B900" s="22"/>
      <c r="C900" s="21"/>
      <c r="D900" s="23"/>
      <c r="E900" s="22"/>
      <c r="F900" s="22"/>
      <c r="G900" s="23"/>
      <c r="H900" s="24"/>
      <c r="I900" s="24"/>
      <c r="J900" s="23"/>
      <c r="K900" s="23"/>
      <c r="L900" s="23"/>
      <c r="M900" s="23"/>
      <c r="N900" s="23"/>
      <c r="O900" s="23"/>
      <c r="P900" s="23"/>
      <c r="Q900" s="25"/>
      <c r="R900" s="23"/>
      <c r="S900" s="23"/>
      <c r="T900" s="23"/>
      <c r="U900" s="20" t="str">
        <f ca="1">IF(COUNTA(A900:T900)=0,"",IF(OR(A900="",B900="",C900="",E900="",G900="",H900="",J900="",K900="",L900="",M900=""),"Ошибка: заполните обязательные поля",IF(AND(LEFT(H900,7)&lt;&gt;"http://",LEFT(H900,8)&lt;&gt;"https://"),"Ошибка: некорректная ссылка",IF(COUNTIF($H$6:$H$1005,H900)&gt;1,"Ошибка: дубликат URL",IF(E900&gt;TODAY(),"Ошибка: дата публикации в будущем",IF(S900="Да","Ошибка: подтверждённый дубль",IF(S900="","Проверить: отметьте дубль",IF(S900="Нужно проверить","Проверить возможный дубль",IF(TODAY()-E900&gt;30,"Проверить: старше 30 дней",IF(COUNTIFS(#REF!,G900,#REF!,"Готово")=0,"Проверить источник","Готово"))))))))))</f>
        <v/>
      </c>
    </row>
    <row r="901" spans="1:21" ht="25.5" customHeight="1">
      <c r="A901" s="21"/>
      <c r="B901" s="22"/>
      <c r="C901" s="21"/>
      <c r="D901" s="23"/>
      <c r="E901" s="22"/>
      <c r="F901" s="22"/>
      <c r="G901" s="23"/>
      <c r="H901" s="24"/>
      <c r="I901" s="24"/>
      <c r="J901" s="23"/>
      <c r="K901" s="23"/>
      <c r="L901" s="23"/>
      <c r="M901" s="23"/>
      <c r="N901" s="23"/>
      <c r="O901" s="23"/>
      <c r="P901" s="23"/>
      <c r="Q901" s="25"/>
      <c r="R901" s="23"/>
      <c r="S901" s="23"/>
      <c r="T901" s="23"/>
      <c r="U901" s="20" t="str">
        <f ca="1">IF(COUNTA(A901:T901)=0,"",IF(OR(A901="",B901="",C901="",E901="",G901="",H901="",J901="",K901="",L901="",M901=""),"Ошибка: заполните обязательные поля",IF(AND(LEFT(H901,7)&lt;&gt;"http://",LEFT(H901,8)&lt;&gt;"https://"),"Ошибка: некорректная ссылка",IF(COUNTIF($H$6:$H$1005,H901)&gt;1,"Ошибка: дубликат URL",IF(E901&gt;TODAY(),"Ошибка: дата публикации в будущем",IF(S901="Да","Ошибка: подтверждённый дубль",IF(S901="","Проверить: отметьте дубль",IF(S901="Нужно проверить","Проверить возможный дубль",IF(TODAY()-E901&gt;30,"Проверить: старше 30 дней",IF(COUNTIFS(#REF!,G901,#REF!,"Готово")=0,"Проверить источник","Готово"))))))))))</f>
        <v/>
      </c>
    </row>
    <row r="902" spans="1:21" ht="25.5" customHeight="1">
      <c r="A902" s="21"/>
      <c r="B902" s="22"/>
      <c r="C902" s="21"/>
      <c r="D902" s="23"/>
      <c r="E902" s="22"/>
      <c r="F902" s="22"/>
      <c r="G902" s="23"/>
      <c r="H902" s="24"/>
      <c r="I902" s="24"/>
      <c r="J902" s="23"/>
      <c r="K902" s="23"/>
      <c r="L902" s="23"/>
      <c r="M902" s="23"/>
      <c r="N902" s="23"/>
      <c r="O902" s="23"/>
      <c r="P902" s="23"/>
      <c r="Q902" s="25"/>
      <c r="R902" s="23"/>
      <c r="S902" s="23"/>
      <c r="T902" s="23"/>
      <c r="U902" s="20" t="str">
        <f ca="1">IF(COUNTA(A902:T902)=0,"",IF(OR(A902="",B902="",C902="",E902="",G902="",H902="",J902="",K902="",L902="",M902=""),"Ошибка: заполните обязательные поля",IF(AND(LEFT(H902,7)&lt;&gt;"http://",LEFT(H902,8)&lt;&gt;"https://"),"Ошибка: некорректная ссылка",IF(COUNTIF($H$6:$H$1005,H902)&gt;1,"Ошибка: дубликат URL",IF(E902&gt;TODAY(),"Ошибка: дата публикации в будущем",IF(S902="Да","Ошибка: подтверждённый дубль",IF(S902="","Проверить: отметьте дубль",IF(S902="Нужно проверить","Проверить возможный дубль",IF(TODAY()-E902&gt;30,"Проверить: старше 30 дней",IF(COUNTIFS(#REF!,G902,#REF!,"Готово")=0,"Проверить источник","Готово"))))))))))</f>
        <v/>
      </c>
    </row>
    <row r="903" spans="1:21" ht="25.5" customHeight="1">
      <c r="A903" s="21"/>
      <c r="B903" s="22"/>
      <c r="C903" s="21"/>
      <c r="D903" s="23"/>
      <c r="E903" s="22"/>
      <c r="F903" s="22"/>
      <c r="G903" s="23"/>
      <c r="H903" s="24"/>
      <c r="I903" s="24"/>
      <c r="J903" s="23"/>
      <c r="K903" s="23"/>
      <c r="L903" s="23"/>
      <c r="M903" s="23"/>
      <c r="N903" s="23"/>
      <c r="O903" s="23"/>
      <c r="P903" s="23"/>
      <c r="Q903" s="25"/>
      <c r="R903" s="23"/>
      <c r="S903" s="23"/>
      <c r="T903" s="23"/>
      <c r="U903" s="20" t="str">
        <f ca="1">IF(COUNTA(A903:T903)=0,"",IF(OR(A903="",B903="",C903="",E903="",G903="",H903="",J903="",K903="",L903="",M903=""),"Ошибка: заполните обязательные поля",IF(AND(LEFT(H903,7)&lt;&gt;"http://",LEFT(H903,8)&lt;&gt;"https://"),"Ошибка: некорректная ссылка",IF(COUNTIF($H$6:$H$1005,H903)&gt;1,"Ошибка: дубликат URL",IF(E903&gt;TODAY(),"Ошибка: дата публикации в будущем",IF(S903="Да","Ошибка: подтверждённый дубль",IF(S903="","Проверить: отметьте дубль",IF(S903="Нужно проверить","Проверить возможный дубль",IF(TODAY()-E903&gt;30,"Проверить: старше 30 дней",IF(COUNTIFS(#REF!,G903,#REF!,"Готово")=0,"Проверить источник","Готово"))))))))))</f>
        <v/>
      </c>
    </row>
    <row r="904" spans="1:21" ht="25.5" customHeight="1">
      <c r="A904" s="21"/>
      <c r="B904" s="22"/>
      <c r="C904" s="21"/>
      <c r="D904" s="23"/>
      <c r="E904" s="22"/>
      <c r="F904" s="22"/>
      <c r="G904" s="23"/>
      <c r="H904" s="24"/>
      <c r="I904" s="24"/>
      <c r="J904" s="23"/>
      <c r="K904" s="23"/>
      <c r="L904" s="23"/>
      <c r="M904" s="23"/>
      <c r="N904" s="23"/>
      <c r="O904" s="23"/>
      <c r="P904" s="23"/>
      <c r="Q904" s="25"/>
      <c r="R904" s="23"/>
      <c r="S904" s="23"/>
      <c r="T904" s="23"/>
      <c r="U904" s="20" t="str">
        <f ca="1">IF(COUNTA(A904:T904)=0,"",IF(OR(A904="",B904="",C904="",E904="",G904="",H904="",J904="",K904="",L904="",M904=""),"Ошибка: заполните обязательные поля",IF(AND(LEFT(H904,7)&lt;&gt;"http://",LEFT(H904,8)&lt;&gt;"https://"),"Ошибка: некорректная ссылка",IF(COUNTIF($H$6:$H$1005,H904)&gt;1,"Ошибка: дубликат URL",IF(E904&gt;TODAY(),"Ошибка: дата публикации в будущем",IF(S904="Да","Ошибка: подтверждённый дубль",IF(S904="","Проверить: отметьте дубль",IF(S904="Нужно проверить","Проверить возможный дубль",IF(TODAY()-E904&gt;30,"Проверить: старше 30 дней",IF(COUNTIFS(#REF!,G904,#REF!,"Готово")=0,"Проверить источник","Готово"))))))))))</f>
        <v/>
      </c>
    </row>
    <row r="905" spans="1:21" ht="25.5" customHeight="1">
      <c r="A905" s="21"/>
      <c r="B905" s="22"/>
      <c r="C905" s="21"/>
      <c r="D905" s="23"/>
      <c r="E905" s="22"/>
      <c r="F905" s="22"/>
      <c r="G905" s="23"/>
      <c r="H905" s="24"/>
      <c r="I905" s="24"/>
      <c r="J905" s="23"/>
      <c r="K905" s="23"/>
      <c r="L905" s="23"/>
      <c r="M905" s="23"/>
      <c r="N905" s="23"/>
      <c r="O905" s="23"/>
      <c r="P905" s="23"/>
      <c r="Q905" s="25"/>
      <c r="R905" s="23"/>
      <c r="S905" s="23"/>
      <c r="T905" s="23"/>
      <c r="U905" s="20" t="str">
        <f ca="1">IF(COUNTA(A905:T905)=0,"",IF(OR(A905="",B905="",C905="",E905="",G905="",H905="",J905="",K905="",L905="",M905=""),"Ошибка: заполните обязательные поля",IF(AND(LEFT(H905,7)&lt;&gt;"http://",LEFT(H905,8)&lt;&gt;"https://"),"Ошибка: некорректная ссылка",IF(COUNTIF($H$6:$H$1005,H905)&gt;1,"Ошибка: дубликат URL",IF(E905&gt;TODAY(),"Ошибка: дата публикации в будущем",IF(S905="Да","Ошибка: подтверждённый дубль",IF(S905="","Проверить: отметьте дубль",IF(S905="Нужно проверить","Проверить возможный дубль",IF(TODAY()-E905&gt;30,"Проверить: старше 30 дней",IF(COUNTIFS(#REF!,G905,#REF!,"Готово")=0,"Проверить источник","Готово"))))))))))</f>
        <v/>
      </c>
    </row>
    <row r="906" spans="1:21" ht="25.5" customHeight="1">
      <c r="A906" s="21"/>
      <c r="B906" s="22"/>
      <c r="C906" s="21"/>
      <c r="D906" s="23"/>
      <c r="E906" s="22"/>
      <c r="F906" s="22"/>
      <c r="G906" s="23"/>
      <c r="H906" s="24"/>
      <c r="I906" s="24"/>
      <c r="J906" s="23"/>
      <c r="K906" s="23"/>
      <c r="L906" s="23"/>
      <c r="M906" s="23"/>
      <c r="N906" s="23"/>
      <c r="O906" s="23"/>
      <c r="P906" s="23"/>
      <c r="Q906" s="25"/>
      <c r="R906" s="23"/>
      <c r="S906" s="23"/>
      <c r="T906" s="23"/>
      <c r="U906" s="20" t="str">
        <f ca="1">IF(COUNTA(A906:T906)=0,"",IF(OR(A906="",B906="",C906="",E906="",G906="",H906="",J906="",K906="",L906="",M906=""),"Ошибка: заполните обязательные поля",IF(AND(LEFT(H906,7)&lt;&gt;"http://",LEFT(H906,8)&lt;&gt;"https://"),"Ошибка: некорректная ссылка",IF(COUNTIF($H$6:$H$1005,H906)&gt;1,"Ошибка: дубликат URL",IF(E906&gt;TODAY(),"Ошибка: дата публикации в будущем",IF(S906="Да","Ошибка: подтверждённый дубль",IF(S906="","Проверить: отметьте дубль",IF(S906="Нужно проверить","Проверить возможный дубль",IF(TODAY()-E906&gt;30,"Проверить: старше 30 дней",IF(COUNTIFS(#REF!,G906,#REF!,"Готово")=0,"Проверить источник","Готово"))))))))))</f>
        <v/>
      </c>
    </row>
    <row r="907" spans="1:21" ht="25.5" customHeight="1">
      <c r="A907" s="21"/>
      <c r="B907" s="22"/>
      <c r="C907" s="21"/>
      <c r="D907" s="23"/>
      <c r="E907" s="22"/>
      <c r="F907" s="22"/>
      <c r="G907" s="23"/>
      <c r="H907" s="24"/>
      <c r="I907" s="24"/>
      <c r="J907" s="23"/>
      <c r="K907" s="23"/>
      <c r="L907" s="23"/>
      <c r="M907" s="23"/>
      <c r="N907" s="23"/>
      <c r="O907" s="23"/>
      <c r="P907" s="23"/>
      <c r="Q907" s="25"/>
      <c r="R907" s="23"/>
      <c r="S907" s="23"/>
      <c r="T907" s="23"/>
      <c r="U907" s="20" t="str">
        <f ca="1">IF(COUNTA(A907:T907)=0,"",IF(OR(A907="",B907="",C907="",E907="",G907="",H907="",J907="",K907="",L907="",M907=""),"Ошибка: заполните обязательные поля",IF(AND(LEFT(H907,7)&lt;&gt;"http://",LEFT(H907,8)&lt;&gt;"https://"),"Ошибка: некорректная ссылка",IF(COUNTIF($H$6:$H$1005,H907)&gt;1,"Ошибка: дубликат URL",IF(E907&gt;TODAY(),"Ошибка: дата публикации в будущем",IF(S907="Да","Ошибка: подтверждённый дубль",IF(S907="","Проверить: отметьте дубль",IF(S907="Нужно проверить","Проверить возможный дубль",IF(TODAY()-E907&gt;30,"Проверить: старше 30 дней",IF(COUNTIFS(#REF!,G907,#REF!,"Готово")=0,"Проверить источник","Готово"))))))))))</f>
        <v/>
      </c>
    </row>
    <row r="908" spans="1:21" ht="25.5" customHeight="1">
      <c r="A908" s="21"/>
      <c r="B908" s="22"/>
      <c r="C908" s="21"/>
      <c r="D908" s="23"/>
      <c r="E908" s="22"/>
      <c r="F908" s="22"/>
      <c r="G908" s="23"/>
      <c r="H908" s="24"/>
      <c r="I908" s="24"/>
      <c r="J908" s="23"/>
      <c r="K908" s="23"/>
      <c r="L908" s="23"/>
      <c r="M908" s="23"/>
      <c r="N908" s="23"/>
      <c r="O908" s="23"/>
      <c r="P908" s="23"/>
      <c r="Q908" s="25"/>
      <c r="R908" s="23"/>
      <c r="S908" s="23"/>
      <c r="T908" s="23"/>
      <c r="U908" s="20" t="str">
        <f ca="1">IF(COUNTA(A908:T908)=0,"",IF(OR(A908="",B908="",C908="",E908="",G908="",H908="",J908="",K908="",L908="",M908=""),"Ошибка: заполните обязательные поля",IF(AND(LEFT(H908,7)&lt;&gt;"http://",LEFT(H908,8)&lt;&gt;"https://"),"Ошибка: некорректная ссылка",IF(COUNTIF($H$6:$H$1005,H908)&gt;1,"Ошибка: дубликат URL",IF(E908&gt;TODAY(),"Ошибка: дата публикации в будущем",IF(S908="Да","Ошибка: подтверждённый дубль",IF(S908="","Проверить: отметьте дубль",IF(S908="Нужно проверить","Проверить возможный дубль",IF(TODAY()-E908&gt;30,"Проверить: старше 30 дней",IF(COUNTIFS(#REF!,G908,#REF!,"Готово")=0,"Проверить источник","Готово"))))))))))</f>
        <v/>
      </c>
    </row>
    <row r="909" spans="1:21" ht="25.5" customHeight="1">
      <c r="A909" s="21"/>
      <c r="B909" s="22"/>
      <c r="C909" s="21"/>
      <c r="D909" s="23"/>
      <c r="E909" s="22"/>
      <c r="F909" s="22"/>
      <c r="G909" s="23"/>
      <c r="H909" s="24"/>
      <c r="I909" s="24"/>
      <c r="J909" s="23"/>
      <c r="K909" s="23"/>
      <c r="L909" s="23"/>
      <c r="M909" s="23"/>
      <c r="N909" s="23"/>
      <c r="O909" s="23"/>
      <c r="P909" s="23"/>
      <c r="Q909" s="25"/>
      <c r="R909" s="23"/>
      <c r="S909" s="23"/>
      <c r="T909" s="23"/>
      <c r="U909" s="20" t="str">
        <f ca="1">IF(COUNTA(A909:T909)=0,"",IF(OR(A909="",B909="",C909="",E909="",G909="",H909="",J909="",K909="",L909="",M909=""),"Ошибка: заполните обязательные поля",IF(AND(LEFT(H909,7)&lt;&gt;"http://",LEFT(H909,8)&lt;&gt;"https://"),"Ошибка: некорректная ссылка",IF(COUNTIF($H$6:$H$1005,H909)&gt;1,"Ошибка: дубликат URL",IF(E909&gt;TODAY(),"Ошибка: дата публикации в будущем",IF(S909="Да","Ошибка: подтверждённый дубль",IF(S909="","Проверить: отметьте дубль",IF(S909="Нужно проверить","Проверить возможный дубль",IF(TODAY()-E909&gt;30,"Проверить: старше 30 дней",IF(COUNTIFS(#REF!,G909,#REF!,"Готово")=0,"Проверить источник","Готово"))))))))))</f>
        <v/>
      </c>
    </row>
    <row r="910" spans="1:21" ht="25.5" customHeight="1">
      <c r="A910" s="21"/>
      <c r="B910" s="22"/>
      <c r="C910" s="21"/>
      <c r="D910" s="23"/>
      <c r="E910" s="22"/>
      <c r="F910" s="22"/>
      <c r="G910" s="23"/>
      <c r="H910" s="24"/>
      <c r="I910" s="24"/>
      <c r="J910" s="23"/>
      <c r="K910" s="23"/>
      <c r="L910" s="23"/>
      <c r="M910" s="23"/>
      <c r="N910" s="23"/>
      <c r="O910" s="23"/>
      <c r="P910" s="23"/>
      <c r="Q910" s="25"/>
      <c r="R910" s="23"/>
      <c r="S910" s="23"/>
      <c r="T910" s="23"/>
      <c r="U910" s="20" t="str">
        <f ca="1">IF(COUNTA(A910:T910)=0,"",IF(OR(A910="",B910="",C910="",E910="",G910="",H910="",J910="",K910="",L910="",M910=""),"Ошибка: заполните обязательные поля",IF(AND(LEFT(H910,7)&lt;&gt;"http://",LEFT(H910,8)&lt;&gt;"https://"),"Ошибка: некорректная ссылка",IF(COUNTIF($H$6:$H$1005,H910)&gt;1,"Ошибка: дубликат URL",IF(E910&gt;TODAY(),"Ошибка: дата публикации в будущем",IF(S910="Да","Ошибка: подтверждённый дубль",IF(S910="","Проверить: отметьте дубль",IF(S910="Нужно проверить","Проверить возможный дубль",IF(TODAY()-E910&gt;30,"Проверить: старше 30 дней",IF(COUNTIFS(#REF!,G910,#REF!,"Готово")=0,"Проверить источник","Готово"))))))))))</f>
        <v/>
      </c>
    </row>
    <row r="911" spans="1:21" ht="25.5" customHeight="1">
      <c r="A911" s="21"/>
      <c r="B911" s="22"/>
      <c r="C911" s="21"/>
      <c r="D911" s="23"/>
      <c r="E911" s="22"/>
      <c r="F911" s="22"/>
      <c r="G911" s="23"/>
      <c r="H911" s="24"/>
      <c r="I911" s="24"/>
      <c r="J911" s="23"/>
      <c r="K911" s="23"/>
      <c r="L911" s="23"/>
      <c r="M911" s="23"/>
      <c r="N911" s="23"/>
      <c r="O911" s="23"/>
      <c r="P911" s="23"/>
      <c r="Q911" s="25"/>
      <c r="R911" s="23"/>
      <c r="S911" s="23"/>
      <c r="T911" s="23"/>
      <c r="U911" s="20" t="str">
        <f ca="1">IF(COUNTA(A911:T911)=0,"",IF(OR(A911="",B911="",C911="",E911="",G911="",H911="",J911="",K911="",L911="",M911=""),"Ошибка: заполните обязательные поля",IF(AND(LEFT(H911,7)&lt;&gt;"http://",LEFT(H911,8)&lt;&gt;"https://"),"Ошибка: некорректная ссылка",IF(COUNTIF($H$6:$H$1005,H911)&gt;1,"Ошибка: дубликат URL",IF(E911&gt;TODAY(),"Ошибка: дата публикации в будущем",IF(S911="Да","Ошибка: подтверждённый дубль",IF(S911="","Проверить: отметьте дубль",IF(S911="Нужно проверить","Проверить возможный дубль",IF(TODAY()-E911&gt;30,"Проверить: старше 30 дней",IF(COUNTIFS(#REF!,G911,#REF!,"Готово")=0,"Проверить источник","Готово"))))))))))</f>
        <v/>
      </c>
    </row>
    <row r="912" spans="1:21" ht="25.5" customHeight="1">
      <c r="A912" s="21"/>
      <c r="B912" s="22"/>
      <c r="C912" s="21"/>
      <c r="D912" s="23"/>
      <c r="E912" s="22"/>
      <c r="F912" s="22"/>
      <c r="G912" s="23"/>
      <c r="H912" s="24"/>
      <c r="I912" s="24"/>
      <c r="J912" s="23"/>
      <c r="K912" s="23"/>
      <c r="L912" s="23"/>
      <c r="M912" s="23"/>
      <c r="N912" s="23"/>
      <c r="O912" s="23"/>
      <c r="P912" s="23"/>
      <c r="Q912" s="25"/>
      <c r="R912" s="23"/>
      <c r="S912" s="23"/>
      <c r="T912" s="23"/>
      <c r="U912" s="20" t="str">
        <f ca="1">IF(COUNTA(A912:T912)=0,"",IF(OR(A912="",B912="",C912="",E912="",G912="",H912="",J912="",K912="",L912="",M912=""),"Ошибка: заполните обязательные поля",IF(AND(LEFT(H912,7)&lt;&gt;"http://",LEFT(H912,8)&lt;&gt;"https://"),"Ошибка: некорректная ссылка",IF(COUNTIF($H$6:$H$1005,H912)&gt;1,"Ошибка: дубликат URL",IF(E912&gt;TODAY(),"Ошибка: дата публикации в будущем",IF(S912="Да","Ошибка: подтверждённый дубль",IF(S912="","Проверить: отметьте дубль",IF(S912="Нужно проверить","Проверить возможный дубль",IF(TODAY()-E912&gt;30,"Проверить: старше 30 дней",IF(COUNTIFS(#REF!,G912,#REF!,"Готово")=0,"Проверить источник","Готово"))))))))))</f>
        <v/>
      </c>
    </row>
    <row r="913" spans="1:21" ht="25.5" customHeight="1">
      <c r="A913" s="21"/>
      <c r="B913" s="22"/>
      <c r="C913" s="21"/>
      <c r="D913" s="23"/>
      <c r="E913" s="22"/>
      <c r="F913" s="22"/>
      <c r="G913" s="23"/>
      <c r="H913" s="24"/>
      <c r="I913" s="24"/>
      <c r="J913" s="23"/>
      <c r="K913" s="23"/>
      <c r="L913" s="23"/>
      <c r="M913" s="23"/>
      <c r="N913" s="23"/>
      <c r="O913" s="23"/>
      <c r="P913" s="23"/>
      <c r="Q913" s="25"/>
      <c r="R913" s="23"/>
      <c r="S913" s="23"/>
      <c r="T913" s="23"/>
      <c r="U913" s="20" t="str">
        <f ca="1">IF(COUNTA(A913:T913)=0,"",IF(OR(A913="",B913="",C913="",E913="",G913="",H913="",J913="",K913="",L913="",M913=""),"Ошибка: заполните обязательные поля",IF(AND(LEFT(H913,7)&lt;&gt;"http://",LEFT(H913,8)&lt;&gt;"https://"),"Ошибка: некорректная ссылка",IF(COUNTIF($H$6:$H$1005,H913)&gt;1,"Ошибка: дубликат URL",IF(E913&gt;TODAY(),"Ошибка: дата публикации в будущем",IF(S913="Да","Ошибка: подтверждённый дубль",IF(S913="","Проверить: отметьте дубль",IF(S913="Нужно проверить","Проверить возможный дубль",IF(TODAY()-E913&gt;30,"Проверить: старше 30 дней",IF(COUNTIFS(#REF!,G913,#REF!,"Готово")=0,"Проверить источник","Готово"))))))))))</f>
        <v/>
      </c>
    </row>
    <row r="914" spans="1:21" ht="25.5" customHeight="1">
      <c r="A914" s="21"/>
      <c r="B914" s="22"/>
      <c r="C914" s="21"/>
      <c r="D914" s="23"/>
      <c r="E914" s="22"/>
      <c r="F914" s="22"/>
      <c r="G914" s="23"/>
      <c r="H914" s="24"/>
      <c r="I914" s="24"/>
      <c r="J914" s="23"/>
      <c r="K914" s="23"/>
      <c r="L914" s="23"/>
      <c r="M914" s="23"/>
      <c r="N914" s="23"/>
      <c r="O914" s="23"/>
      <c r="P914" s="23"/>
      <c r="Q914" s="25"/>
      <c r="R914" s="23"/>
      <c r="S914" s="23"/>
      <c r="T914" s="23"/>
      <c r="U914" s="20" t="str">
        <f ca="1">IF(COUNTA(A914:T914)=0,"",IF(OR(A914="",B914="",C914="",E914="",G914="",H914="",J914="",K914="",L914="",M914=""),"Ошибка: заполните обязательные поля",IF(AND(LEFT(H914,7)&lt;&gt;"http://",LEFT(H914,8)&lt;&gt;"https://"),"Ошибка: некорректная ссылка",IF(COUNTIF($H$6:$H$1005,H914)&gt;1,"Ошибка: дубликат URL",IF(E914&gt;TODAY(),"Ошибка: дата публикации в будущем",IF(S914="Да","Ошибка: подтверждённый дубль",IF(S914="","Проверить: отметьте дубль",IF(S914="Нужно проверить","Проверить возможный дубль",IF(TODAY()-E914&gt;30,"Проверить: старше 30 дней",IF(COUNTIFS(#REF!,G914,#REF!,"Готово")=0,"Проверить источник","Готово"))))))))))</f>
        <v/>
      </c>
    </row>
    <row r="915" spans="1:21" ht="25.5" customHeight="1">
      <c r="A915" s="21"/>
      <c r="B915" s="22"/>
      <c r="C915" s="21"/>
      <c r="D915" s="23"/>
      <c r="E915" s="22"/>
      <c r="F915" s="22"/>
      <c r="G915" s="23"/>
      <c r="H915" s="24"/>
      <c r="I915" s="24"/>
      <c r="J915" s="23"/>
      <c r="K915" s="23"/>
      <c r="L915" s="23"/>
      <c r="M915" s="23"/>
      <c r="N915" s="23"/>
      <c r="O915" s="23"/>
      <c r="P915" s="23"/>
      <c r="Q915" s="25"/>
      <c r="R915" s="23"/>
      <c r="S915" s="23"/>
      <c r="T915" s="23"/>
      <c r="U915" s="20" t="str">
        <f ca="1">IF(COUNTA(A915:T915)=0,"",IF(OR(A915="",B915="",C915="",E915="",G915="",H915="",J915="",K915="",L915="",M915=""),"Ошибка: заполните обязательные поля",IF(AND(LEFT(H915,7)&lt;&gt;"http://",LEFT(H915,8)&lt;&gt;"https://"),"Ошибка: некорректная ссылка",IF(COUNTIF($H$6:$H$1005,H915)&gt;1,"Ошибка: дубликат URL",IF(E915&gt;TODAY(),"Ошибка: дата публикации в будущем",IF(S915="Да","Ошибка: подтверждённый дубль",IF(S915="","Проверить: отметьте дубль",IF(S915="Нужно проверить","Проверить возможный дубль",IF(TODAY()-E915&gt;30,"Проверить: старше 30 дней",IF(COUNTIFS(#REF!,G915,#REF!,"Готово")=0,"Проверить источник","Готово"))))))))))</f>
        <v/>
      </c>
    </row>
    <row r="916" spans="1:21" ht="25.5" customHeight="1">
      <c r="A916" s="21"/>
      <c r="B916" s="22"/>
      <c r="C916" s="21"/>
      <c r="D916" s="23"/>
      <c r="E916" s="22"/>
      <c r="F916" s="22"/>
      <c r="G916" s="23"/>
      <c r="H916" s="24"/>
      <c r="I916" s="24"/>
      <c r="J916" s="23"/>
      <c r="K916" s="23"/>
      <c r="L916" s="23"/>
      <c r="M916" s="23"/>
      <c r="N916" s="23"/>
      <c r="O916" s="23"/>
      <c r="P916" s="23"/>
      <c r="Q916" s="25"/>
      <c r="R916" s="23"/>
      <c r="S916" s="23"/>
      <c r="T916" s="23"/>
      <c r="U916" s="20" t="str">
        <f ca="1">IF(COUNTA(A916:T916)=0,"",IF(OR(A916="",B916="",C916="",E916="",G916="",H916="",J916="",K916="",L916="",M916=""),"Ошибка: заполните обязательные поля",IF(AND(LEFT(H916,7)&lt;&gt;"http://",LEFT(H916,8)&lt;&gt;"https://"),"Ошибка: некорректная ссылка",IF(COUNTIF($H$6:$H$1005,H916)&gt;1,"Ошибка: дубликат URL",IF(E916&gt;TODAY(),"Ошибка: дата публикации в будущем",IF(S916="Да","Ошибка: подтверждённый дубль",IF(S916="","Проверить: отметьте дубль",IF(S916="Нужно проверить","Проверить возможный дубль",IF(TODAY()-E916&gt;30,"Проверить: старше 30 дней",IF(COUNTIFS(#REF!,G916,#REF!,"Готово")=0,"Проверить источник","Готово"))))))))))</f>
        <v/>
      </c>
    </row>
    <row r="917" spans="1:21" ht="25.5" customHeight="1">
      <c r="A917" s="21"/>
      <c r="B917" s="22"/>
      <c r="C917" s="21"/>
      <c r="D917" s="23"/>
      <c r="E917" s="22"/>
      <c r="F917" s="22"/>
      <c r="G917" s="23"/>
      <c r="H917" s="24"/>
      <c r="I917" s="24"/>
      <c r="J917" s="23"/>
      <c r="K917" s="23"/>
      <c r="L917" s="23"/>
      <c r="M917" s="23"/>
      <c r="N917" s="23"/>
      <c r="O917" s="23"/>
      <c r="P917" s="23"/>
      <c r="Q917" s="25"/>
      <c r="R917" s="23"/>
      <c r="S917" s="23"/>
      <c r="T917" s="23"/>
      <c r="U917" s="20" t="str">
        <f ca="1">IF(COUNTA(A917:T917)=0,"",IF(OR(A917="",B917="",C917="",E917="",G917="",H917="",J917="",K917="",L917="",M917=""),"Ошибка: заполните обязательные поля",IF(AND(LEFT(H917,7)&lt;&gt;"http://",LEFT(H917,8)&lt;&gt;"https://"),"Ошибка: некорректная ссылка",IF(COUNTIF($H$6:$H$1005,H917)&gt;1,"Ошибка: дубликат URL",IF(E917&gt;TODAY(),"Ошибка: дата публикации в будущем",IF(S917="Да","Ошибка: подтверждённый дубль",IF(S917="","Проверить: отметьте дубль",IF(S917="Нужно проверить","Проверить возможный дубль",IF(TODAY()-E917&gt;30,"Проверить: старше 30 дней",IF(COUNTIFS(#REF!,G917,#REF!,"Готово")=0,"Проверить источник","Готово"))))))))))</f>
        <v/>
      </c>
    </row>
    <row r="918" spans="1:21" ht="25.5" customHeight="1">
      <c r="A918" s="21"/>
      <c r="B918" s="22"/>
      <c r="C918" s="21"/>
      <c r="D918" s="23"/>
      <c r="E918" s="22"/>
      <c r="F918" s="22"/>
      <c r="G918" s="23"/>
      <c r="H918" s="24"/>
      <c r="I918" s="24"/>
      <c r="J918" s="23"/>
      <c r="K918" s="23"/>
      <c r="L918" s="23"/>
      <c r="M918" s="23"/>
      <c r="N918" s="23"/>
      <c r="O918" s="23"/>
      <c r="P918" s="23"/>
      <c r="Q918" s="25"/>
      <c r="R918" s="23"/>
      <c r="S918" s="23"/>
      <c r="T918" s="23"/>
      <c r="U918" s="20" t="str">
        <f ca="1">IF(COUNTA(A918:T918)=0,"",IF(OR(A918="",B918="",C918="",E918="",G918="",H918="",J918="",K918="",L918="",M918=""),"Ошибка: заполните обязательные поля",IF(AND(LEFT(H918,7)&lt;&gt;"http://",LEFT(H918,8)&lt;&gt;"https://"),"Ошибка: некорректная ссылка",IF(COUNTIF($H$6:$H$1005,H918)&gt;1,"Ошибка: дубликат URL",IF(E918&gt;TODAY(),"Ошибка: дата публикации в будущем",IF(S918="Да","Ошибка: подтверждённый дубль",IF(S918="","Проверить: отметьте дубль",IF(S918="Нужно проверить","Проверить возможный дубль",IF(TODAY()-E918&gt;30,"Проверить: старше 30 дней",IF(COUNTIFS(#REF!,G918,#REF!,"Готово")=0,"Проверить источник","Готово"))))))))))</f>
        <v/>
      </c>
    </row>
    <row r="919" spans="1:21" ht="25.5" customHeight="1">
      <c r="A919" s="21"/>
      <c r="B919" s="22"/>
      <c r="C919" s="21"/>
      <c r="D919" s="23"/>
      <c r="E919" s="22"/>
      <c r="F919" s="22"/>
      <c r="G919" s="23"/>
      <c r="H919" s="24"/>
      <c r="I919" s="24"/>
      <c r="J919" s="23"/>
      <c r="K919" s="23"/>
      <c r="L919" s="23"/>
      <c r="M919" s="23"/>
      <c r="N919" s="23"/>
      <c r="O919" s="23"/>
      <c r="P919" s="23"/>
      <c r="Q919" s="25"/>
      <c r="R919" s="23"/>
      <c r="S919" s="23"/>
      <c r="T919" s="23"/>
      <c r="U919" s="20" t="str">
        <f ca="1">IF(COUNTA(A919:T919)=0,"",IF(OR(A919="",B919="",C919="",E919="",G919="",H919="",J919="",K919="",L919="",M919=""),"Ошибка: заполните обязательные поля",IF(AND(LEFT(H919,7)&lt;&gt;"http://",LEFT(H919,8)&lt;&gt;"https://"),"Ошибка: некорректная ссылка",IF(COUNTIF($H$6:$H$1005,H919)&gt;1,"Ошибка: дубликат URL",IF(E919&gt;TODAY(),"Ошибка: дата публикации в будущем",IF(S919="Да","Ошибка: подтверждённый дубль",IF(S919="","Проверить: отметьте дубль",IF(S919="Нужно проверить","Проверить возможный дубль",IF(TODAY()-E919&gt;30,"Проверить: старше 30 дней",IF(COUNTIFS(#REF!,G919,#REF!,"Готово")=0,"Проверить источник","Готово"))))))))))</f>
        <v/>
      </c>
    </row>
    <row r="920" spans="1:21" ht="25.5" customHeight="1">
      <c r="A920" s="21"/>
      <c r="B920" s="22"/>
      <c r="C920" s="21"/>
      <c r="D920" s="23"/>
      <c r="E920" s="22"/>
      <c r="F920" s="22"/>
      <c r="G920" s="23"/>
      <c r="H920" s="24"/>
      <c r="I920" s="24"/>
      <c r="J920" s="23"/>
      <c r="K920" s="23"/>
      <c r="L920" s="23"/>
      <c r="M920" s="23"/>
      <c r="N920" s="23"/>
      <c r="O920" s="23"/>
      <c r="P920" s="23"/>
      <c r="Q920" s="25"/>
      <c r="R920" s="23"/>
      <c r="S920" s="23"/>
      <c r="T920" s="23"/>
      <c r="U920" s="20" t="str">
        <f ca="1">IF(COUNTA(A920:T920)=0,"",IF(OR(A920="",B920="",C920="",E920="",G920="",H920="",J920="",K920="",L920="",M920=""),"Ошибка: заполните обязательные поля",IF(AND(LEFT(H920,7)&lt;&gt;"http://",LEFT(H920,8)&lt;&gt;"https://"),"Ошибка: некорректная ссылка",IF(COUNTIF($H$6:$H$1005,H920)&gt;1,"Ошибка: дубликат URL",IF(E920&gt;TODAY(),"Ошибка: дата публикации в будущем",IF(S920="Да","Ошибка: подтверждённый дубль",IF(S920="","Проверить: отметьте дубль",IF(S920="Нужно проверить","Проверить возможный дубль",IF(TODAY()-E920&gt;30,"Проверить: старше 30 дней",IF(COUNTIFS(#REF!,G920,#REF!,"Готово")=0,"Проверить источник","Готово"))))))))))</f>
        <v/>
      </c>
    </row>
    <row r="921" spans="1:21" ht="25.5" customHeight="1">
      <c r="A921" s="21"/>
      <c r="B921" s="22"/>
      <c r="C921" s="21"/>
      <c r="D921" s="23"/>
      <c r="E921" s="22"/>
      <c r="F921" s="22"/>
      <c r="G921" s="23"/>
      <c r="H921" s="24"/>
      <c r="I921" s="24"/>
      <c r="J921" s="23"/>
      <c r="K921" s="23"/>
      <c r="L921" s="23"/>
      <c r="M921" s="23"/>
      <c r="N921" s="23"/>
      <c r="O921" s="23"/>
      <c r="P921" s="23"/>
      <c r="Q921" s="25"/>
      <c r="R921" s="23"/>
      <c r="S921" s="23"/>
      <c r="T921" s="23"/>
      <c r="U921" s="20" t="str">
        <f ca="1">IF(COUNTA(A921:T921)=0,"",IF(OR(A921="",B921="",C921="",E921="",G921="",H921="",J921="",K921="",L921="",M921=""),"Ошибка: заполните обязательные поля",IF(AND(LEFT(H921,7)&lt;&gt;"http://",LEFT(H921,8)&lt;&gt;"https://"),"Ошибка: некорректная ссылка",IF(COUNTIF($H$6:$H$1005,H921)&gt;1,"Ошибка: дубликат URL",IF(E921&gt;TODAY(),"Ошибка: дата публикации в будущем",IF(S921="Да","Ошибка: подтверждённый дубль",IF(S921="","Проверить: отметьте дубль",IF(S921="Нужно проверить","Проверить возможный дубль",IF(TODAY()-E921&gt;30,"Проверить: старше 30 дней",IF(COUNTIFS(#REF!,G921,#REF!,"Готово")=0,"Проверить источник","Готово"))))))))))</f>
        <v/>
      </c>
    </row>
    <row r="922" spans="1:21" ht="25.5" customHeight="1">
      <c r="A922" s="21"/>
      <c r="B922" s="22"/>
      <c r="C922" s="21"/>
      <c r="D922" s="23"/>
      <c r="E922" s="22"/>
      <c r="F922" s="22"/>
      <c r="G922" s="23"/>
      <c r="H922" s="24"/>
      <c r="I922" s="24"/>
      <c r="J922" s="23"/>
      <c r="K922" s="23"/>
      <c r="L922" s="23"/>
      <c r="M922" s="23"/>
      <c r="N922" s="23"/>
      <c r="O922" s="23"/>
      <c r="P922" s="23"/>
      <c r="Q922" s="25"/>
      <c r="R922" s="23"/>
      <c r="S922" s="23"/>
      <c r="T922" s="23"/>
      <c r="U922" s="20" t="str">
        <f ca="1">IF(COUNTA(A922:T922)=0,"",IF(OR(A922="",B922="",C922="",E922="",G922="",H922="",J922="",K922="",L922="",M922=""),"Ошибка: заполните обязательные поля",IF(AND(LEFT(H922,7)&lt;&gt;"http://",LEFT(H922,8)&lt;&gt;"https://"),"Ошибка: некорректная ссылка",IF(COUNTIF($H$6:$H$1005,H922)&gt;1,"Ошибка: дубликат URL",IF(E922&gt;TODAY(),"Ошибка: дата публикации в будущем",IF(S922="Да","Ошибка: подтверждённый дубль",IF(S922="","Проверить: отметьте дубль",IF(S922="Нужно проверить","Проверить возможный дубль",IF(TODAY()-E922&gt;30,"Проверить: старше 30 дней",IF(COUNTIFS(#REF!,G922,#REF!,"Готово")=0,"Проверить источник","Готово"))))))))))</f>
        <v/>
      </c>
    </row>
    <row r="923" spans="1:21" ht="25.5" customHeight="1">
      <c r="A923" s="21"/>
      <c r="B923" s="22"/>
      <c r="C923" s="21"/>
      <c r="D923" s="23"/>
      <c r="E923" s="22"/>
      <c r="F923" s="22"/>
      <c r="G923" s="23"/>
      <c r="H923" s="24"/>
      <c r="I923" s="24"/>
      <c r="J923" s="23"/>
      <c r="K923" s="23"/>
      <c r="L923" s="23"/>
      <c r="M923" s="23"/>
      <c r="N923" s="23"/>
      <c r="O923" s="23"/>
      <c r="P923" s="23"/>
      <c r="Q923" s="25"/>
      <c r="R923" s="23"/>
      <c r="S923" s="23"/>
      <c r="T923" s="23"/>
      <c r="U923" s="20" t="str">
        <f ca="1">IF(COUNTA(A923:T923)=0,"",IF(OR(A923="",B923="",C923="",E923="",G923="",H923="",J923="",K923="",L923="",M923=""),"Ошибка: заполните обязательные поля",IF(AND(LEFT(H923,7)&lt;&gt;"http://",LEFT(H923,8)&lt;&gt;"https://"),"Ошибка: некорректная ссылка",IF(COUNTIF($H$6:$H$1005,H923)&gt;1,"Ошибка: дубликат URL",IF(E923&gt;TODAY(),"Ошибка: дата публикации в будущем",IF(S923="Да","Ошибка: подтверждённый дубль",IF(S923="","Проверить: отметьте дубль",IF(S923="Нужно проверить","Проверить возможный дубль",IF(TODAY()-E923&gt;30,"Проверить: старше 30 дней",IF(COUNTIFS(#REF!,G923,#REF!,"Готово")=0,"Проверить источник","Готово"))))))))))</f>
        <v/>
      </c>
    </row>
    <row r="924" spans="1:21" ht="25.5" customHeight="1">
      <c r="A924" s="21"/>
      <c r="B924" s="22"/>
      <c r="C924" s="21"/>
      <c r="D924" s="23"/>
      <c r="E924" s="22"/>
      <c r="F924" s="22"/>
      <c r="G924" s="23"/>
      <c r="H924" s="24"/>
      <c r="I924" s="24"/>
      <c r="J924" s="23"/>
      <c r="K924" s="23"/>
      <c r="L924" s="23"/>
      <c r="M924" s="23"/>
      <c r="N924" s="23"/>
      <c r="O924" s="23"/>
      <c r="P924" s="23"/>
      <c r="Q924" s="25"/>
      <c r="R924" s="23"/>
      <c r="S924" s="23"/>
      <c r="T924" s="23"/>
      <c r="U924" s="20" t="str">
        <f ca="1">IF(COUNTA(A924:T924)=0,"",IF(OR(A924="",B924="",C924="",E924="",G924="",H924="",J924="",K924="",L924="",M924=""),"Ошибка: заполните обязательные поля",IF(AND(LEFT(H924,7)&lt;&gt;"http://",LEFT(H924,8)&lt;&gt;"https://"),"Ошибка: некорректная ссылка",IF(COUNTIF($H$6:$H$1005,H924)&gt;1,"Ошибка: дубликат URL",IF(E924&gt;TODAY(),"Ошибка: дата публикации в будущем",IF(S924="Да","Ошибка: подтверждённый дубль",IF(S924="","Проверить: отметьте дубль",IF(S924="Нужно проверить","Проверить возможный дубль",IF(TODAY()-E924&gt;30,"Проверить: старше 30 дней",IF(COUNTIFS(#REF!,G924,#REF!,"Готово")=0,"Проверить источник","Готово"))))))))))</f>
        <v/>
      </c>
    </row>
    <row r="925" spans="1:21" ht="25.5" customHeight="1">
      <c r="A925" s="21"/>
      <c r="B925" s="22"/>
      <c r="C925" s="21"/>
      <c r="D925" s="23"/>
      <c r="E925" s="22"/>
      <c r="F925" s="22"/>
      <c r="G925" s="23"/>
      <c r="H925" s="24"/>
      <c r="I925" s="24"/>
      <c r="J925" s="23"/>
      <c r="K925" s="23"/>
      <c r="L925" s="23"/>
      <c r="M925" s="23"/>
      <c r="N925" s="23"/>
      <c r="O925" s="23"/>
      <c r="P925" s="23"/>
      <c r="Q925" s="25"/>
      <c r="R925" s="23"/>
      <c r="S925" s="23"/>
      <c r="T925" s="23"/>
      <c r="U925" s="20" t="str">
        <f ca="1">IF(COUNTA(A925:T925)=0,"",IF(OR(A925="",B925="",C925="",E925="",G925="",H925="",J925="",K925="",L925="",M925=""),"Ошибка: заполните обязательные поля",IF(AND(LEFT(H925,7)&lt;&gt;"http://",LEFT(H925,8)&lt;&gt;"https://"),"Ошибка: некорректная ссылка",IF(COUNTIF($H$6:$H$1005,H925)&gt;1,"Ошибка: дубликат URL",IF(E925&gt;TODAY(),"Ошибка: дата публикации в будущем",IF(S925="Да","Ошибка: подтверждённый дубль",IF(S925="","Проверить: отметьте дубль",IF(S925="Нужно проверить","Проверить возможный дубль",IF(TODAY()-E925&gt;30,"Проверить: старше 30 дней",IF(COUNTIFS(#REF!,G925,#REF!,"Готово")=0,"Проверить источник","Готово"))))))))))</f>
        <v/>
      </c>
    </row>
    <row r="926" spans="1:21" ht="25.5" customHeight="1">
      <c r="A926" s="21"/>
      <c r="B926" s="22"/>
      <c r="C926" s="21"/>
      <c r="D926" s="23"/>
      <c r="E926" s="22"/>
      <c r="F926" s="22"/>
      <c r="G926" s="23"/>
      <c r="H926" s="24"/>
      <c r="I926" s="24"/>
      <c r="J926" s="23"/>
      <c r="K926" s="23"/>
      <c r="L926" s="23"/>
      <c r="M926" s="23"/>
      <c r="N926" s="23"/>
      <c r="O926" s="23"/>
      <c r="P926" s="23"/>
      <c r="Q926" s="25"/>
      <c r="R926" s="23"/>
      <c r="S926" s="23"/>
      <c r="T926" s="23"/>
      <c r="U926" s="20" t="str">
        <f ca="1">IF(COUNTA(A926:T926)=0,"",IF(OR(A926="",B926="",C926="",E926="",G926="",H926="",J926="",K926="",L926="",M926=""),"Ошибка: заполните обязательные поля",IF(AND(LEFT(H926,7)&lt;&gt;"http://",LEFT(H926,8)&lt;&gt;"https://"),"Ошибка: некорректная ссылка",IF(COUNTIF($H$6:$H$1005,H926)&gt;1,"Ошибка: дубликат URL",IF(E926&gt;TODAY(),"Ошибка: дата публикации в будущем",IF(S926="Да","Ошибка: подтверждённый дубль",IF(S926="","Проверить: отметьте дубль",IF(S926="Нужно проверить","Проверить возможный дубль",IF(TODAY()-E926&gt;30,"Проверить: старше 30 дней",IF(COUNTIFS(#REF!,G926,#REF!,"Готово")=0,"Проверить источник","Готово"))))))))))</f>
        <v/>
      </c>
    </row>
    <row r="927" spans="1:21" ht="25.5" customHeight="1">
      <c r="A927" s="21"/>
      <c r="B927" s="22"/>
      <c r="C927" s="21"/>
      <c r="D927" s="23"/>
      <c r="E927" s="22"/>
      <c r="F927" s="22"/>
      <c r="G927" s="23"/>
      <c r="H927" s="24"/>
      <c r="I927" s="24"/>
      <c r="J927" s="23"/>
      <c r="K927" s="23"/>
      <c r="L927" s="23"/>
      <c r="M927" s="23"/>
      <c r="N927" s="23"/>
      <c r="O927" s="23"/>
      <c r="P927" s="23"/>
      <c r="Q927" s="25"/>
      <c r="R927" s="23"/>
      <c r="S927" s="23"/>
      <c r="T927" s="23"/>
      <c r="U927" s="20" t="str">
        <f ca="1">IF(COUNTA(A927:T927)=0,"",IF(OR(A927="",B927="",C927="",E927="",G927="",H927="",J927="",K927="",L927="",M927=""),"Ошибка: заполните обязательные поля",IF(AND(LEFT(H927,7)&lt;&gt;"http://",LEFT(H927,8)&lt;&gt;"https://"),"Ошибка: некорректная ссылка",IF(COUNTIF($H$6:$H$1005,H927)&gt;1,"Ошибка: дубликат URL",IF(E927&gt;TODAY(),"Ошибка: дата публикации в будущем",IF(S927="Да","Ошибка: подтверждённый дубль",IF(S927="","Проверить: отметьте дубль",IF(S927="Нужно проверить","Проверить возможный дубль",IF(TODAY()-E927&gt;30,"Проверить: старше 30 дней",IF(COUNTIFS(#REF!,G927,#REF!,"Готово")=0,"Проверить источник","Готово"))))))))))</f>
        <v/>
      </c>
    </row>
    <row r="928" spans="1:21" ht="25.5" customHeight="1">
      <c r="A928" s="21"/>
      <c r="B928" s="22"/>
      <c r="C928" s="21"/>
      <c r="D928" s="23"/>
      <c r="E928" s="22"/>
      <c r="F928" s="22"/>
      <c r="G928" s="23"/>
      <c r="H928" s="24"/>
      <c r="I928" s="24"/>
      <c r="J928" s="23"/>
      <c r="K928" s="23"/>
      <c r="L928" s="23"/>
      <c r="M928" s="23"/>
      <c r="N928" s="23"/>
      <c r="O928" s="23"/>
      <c r="P928" s="23"/>
      <c r="Q928" s="25"/>
      <c r="R928" s="23"/>
      <c r="S928" s="23"/>
      <c r="T928" s="23"/>
      <c r="U928" s="20" t="str">
        <f ca="1">IF(COUNTA(A928:T928)=0,"",IF(OR(A928="",B928="",C928="",E928="",G928="",H928="",J928="",K928="",L928="",M928=""),"Ошибка: заполните обязательные поля",IF(AND(LEFT(H928,7)&lt;&gt;"http://",LEFT(H928,8)&lt;&gt;"https://"),"Ошибка: некорректная ссылка",IF(COUNTIF($H$6:$H$1005,H928)&gt;1,"Ошибка: дубликат URL",IF(E928&gt;TODAY(),"Ошибка: дата публикации в будущем",IF(S928="Да","Ошибка: подтверждённый дубль",IF(S928="","Проверить: отметьте дубль",IF(S928="Нужно проверить","Проверить возможный дубль",IF(TODAY()-E928&gt;30,"Проверить: старше 30 дней",IF(COUNTIFS(#REF!,G928,#REF!,"Готово")=0,"Проверить источник","Готово"))))))))))</f>
        <v/>
      </c>
    </row>
    <row r="929" spans="1:21" ht="25.5" customHeight="1">
      <c r="A929" s="21"/>
      <c r="B929" s="22"/>
      <c r="C929" s="21"/>
      <c r="D929" s="23"/>
      <c r="E929" s="22"/>
      <c r="F929" s="22"/>
      <c r="G929" s="23"/>
      <c r="H929" s="24"/>
      <c r="I929" s="24"/>
      <c r="J929" s="23"/>
      <c r="K929" s="23"/>
      <c r="L929" s="23"/>
      <c r="M929" s="23"/>
      <c r="N929" s="23"/>
      <c r="O929" s="23"/>
      <c r="P929" s="23"/>
      <c r="Q929" s="25"/>
      <c r="R929" s="23"/>
      <c r="S929" s="23"/>
      <c r="T929" s="23"/>
      <c r="U929" s="20" t="str">
        <f ca="1">IF(COUNTA(A929:T929)=0,"",IF(OR(A929="",B929="",C929="",E929="",G929="",H929="",J929="",K929="",L929="",M929=""),"Ошибка: заполните обязательные поля",IF(AND(LEFT(H929,7)&lt;&gt;"http://",LEFT(H929,8)&lt;&gt;"https://"),"Ошибка: некорректная ссылка",IF(COUNTIF($H$6:$H$1005,H929)&gt;1,"Ошибка: дубликат URL",IF(E929&gt;TODAY(),"Ошибка: дата публикации в будущем",IF(S929="Да","Ошибка: подтверждённый дубль",IF(S929="","Проверить: отметьте дубль",IF(S929="Нужно проверить","Проверить возможный дубль",IF(TODAY()-E929&gt;30,"Проверить: старше 30 дней",IF(COUNTIFS(#REF!,G929,#REF!,"Готово")=0,"Проверить источник","Готово"))))))))))</f>
        <v/>
      </c>
    </row>
    <row r="930" spans="1:21" ht="25.5" customHeight="1">
      <c r="A930" s="21"/>
      <c r="B930" s="22"/>
      <c r="C930" s="21"/>
      <c r="D930" s="23"/>
      <c r="E930" s="22"/>
      <c r="F930" s="22"/>
      <c r="G930" s="23"/>
      <c r="H930" s="24"/>
      <c r="I930" s="24"/>
      <c r="J930" s="23"/>
      <c r="K930" s="23"/>
      <c r="L930" s="23"/>
      <c r="M930" s="23"/>
      <c r="N930" s="23"/>
      <c r="O930" s="23"/>
      <c r="P930" s="23"/>
      <c r="Q930" s="25"/>
      <c r="R930" s="23"/>
      <c r="S930" s="23"/>
      <c r="T930" s="23"/>
      <c r="U930" s="20" t="str">
        <f ca="1">IF(COUNTA(A930:T930)=0,"",IF(OR(A930="",B930="",C930="",E930="",G930="",H930="",J930="",K930="",L930="",M930=""),"Ошибка: заполните обязательные поля",IF(AND(LEFT(H930,7)&lt;&gt;"http://",LEFT(H930,8)&lt;&gt;"https://"),"Ошибка: некорректная ссылка",IF(COUNTIF($H$6:$H$1005,H930)&gt;1,"Ошибка: дубликат URL",IF(E930&gt;TODAY(),"Ошибка: дата публикации в будущем",IF(S930="Да","Ошибка: подтверждённый дубль",IF(S930="","Проверить: отметьте дубль",IF(S930="Нужно проверить","Проверить возможный дубль",IF(TODAY()-E930&gt;30,"Проверить: старше 30 дней",IF(COUNTIFS(#REF!,G930,#REF!,"Готово")=0,"Проверить источник","Готово"))))))))))</f>
        <v/>
      </c>
    </row>
    <row r="931" spans="1:21" ht="25.5" customHeight="1">
      <c r="A931" s="21"/>
      <c r="B931" s="22"/>
      <c r="C931" s="21"/>
      <c r="D931" s="23"/>
      <c r="E931" s="22"/>
      <c r="F931" s="22"/>
      <c r="G931" s="23"/>
      <c r="H931" s="24"/>
      <c r="I931" s="24"/>
      <c r="J931" s="23"/>
      <c r="K931" s="23"/>
      <c r="L931" s="23"/>
      <c r="M931" s="23"/>
      <c r="N931" s="23"/>
      <c r="O931" s="23"/>
      <c r="P931" s="23"/>
      <c r="Q931" s="25"/>
      <c r="R931" s="23"/>
      <c r="S931" s="23"/>
      <c r="T931" s="23"/>
      <c r="U931" s="20" t="str">
        <f ca="1">IF(COUNTA(A931:T931)=0,"",IF(OR(A931="",B931="",C931="",E931="",G931="",H931="",J931="",K931="",L931="",M931=""),"Ошибка: заполните обязательные поля",IF(AND(LEFT(H931,7)&lt;&gt;"http://",LEFT(H931,8)&lt;&gt;"https://"),"Ошибка: некорректная ссылка",IF(COUNTIF($H$6:$H$1005,H931)&gt;1,"Ошибка: дубликат URL",IF(E931&gt;TODAY(),"Ошибка: дата публикации в будущем",IF(S931="Да","Ошибка: подтверждённый дубль",IF(S931="","Проверить: отметьте дубль",IF(S931="Нужно проверить","Проверить возможный дубль",IF(TODAY()-E931&gt;30,"Проверить: старше 30 дней",IF(COUNTIFS(#REF!,G931,#REF!,"Готово")=0,"Проверить источник","Готово"))))))))))</f>
        <v/>
      </c>
    </row>
    <row r="932" spans="1:21" ht="25.5" customHeight="1">
      <c r="A932" s="21"/>
      <c r="B932" s="22"/>
      <c r="C932" s="21"/>
      <c r="D932" s="23"/>
      <c r="E932" s="22"/>
      <c r="F932" s="22"/>
      <c r="G932" s="23"/>
      <c r="H932" s="24"/>
      <c r="I932" s="24"/>
      <c r="J932" s="23"/>
      <c r="K932" s="23"/>
      <c r="L932" s="23"/>
      <c r="M932" s="23"/>
      <c r="N932" s="23"/>
      <c r="O932" s="23"/>
      <c r="P932" s="23"/>
      <c r="Q932" s="25"/>
      <c r="R932" s="23"/>
      <c r="S932" s="23"/>
      <c r="T932" s="23"/>
      <c r="U932" s="20" t="str">
        <f ca="1">IF(COUNTA(A932:T932)=0,"",IF(OR(A932="",B932="",C932="",E932="",G932="",H932="",J932="",K932="",L932="",M932=""),"Ошибка: заполните обязательные поля",IF(AND(LEFT(H932,7)&lt;&gt;"http://",LEFT(H932,8)&lt;&gt;"https://"),"Ошибка: некорректная ссылка",IF(COUNTIF($H$6:$H$1005,H932)&gt;1,"Ошибка: дубликат URL",IF(E932&gt;TODAY(),"Ошибка: дата публикации в будущем",IF(S932="Да","Ошибка: подтверждённый дубль",IF(S932="","Проверить: отметьте дубль",IF(S932="Нужно проверить","Проверить возможный дубль",IF(TODAY()-E932&gt;30,"Проверить: старше 30 дней",IF(COUNTIFS(#REF!,G932,#REF!,"Готово")=0,"Проверить источник","Готово"))))))))))</f>
        <v/>
      </c>
    </row>
    <row r="933" spans="1:21" ht="25.5" customHeight="1">
      <c r="A933" s="21"/>
      <c r="B933" s="22"/>
      <c r="C933" s="21"/>
      <c r="D933" s="23"/>
      <c r="E933" s="22"/>
      <c r="F933" s="22"/>
      <c r="G933" s="23"/>
      <c r="H933" s="24"/>
      <c r="I933" s="24"/>
      <c r="J933" s="23"/>
      <c r="K933" s="23"/>
      <c r="L933" s="23"/>
      <c r="M933" s="23"/>
      <c r="N933" s="23"/>
      <c r="O933" s="23"/>
      <c r="P933" s="23"/>
      <c r="Q933" s="25"/>
      <c r="R933" s="23"/>
      <c r="S933" s="23"/>
      <c r="T933" s="23"/>
      <c r="U933" s="20" t="str">
        <f ca="1">IF(COUNTA(A933:T933)=0,"",IF(OR(A933="",B933="",C933="",E933="",G933="",H933="",J933="",K933="",L933="",M933=""),"Ошибка: заполните обязательные поля",IF(AND(LEFT(H933,7)&lt;&gt;"http://",LEFT(H933,8)&lt;&gt;"https://"),"Ошибка: некорректная ссылка",IF(COUNTIF($H$6:$H$1005,H933)&gt;1,"Ошибка: дубликат URL",IF(E933&gt;TODAY(),"Ошибка: дата публикации в будущем",IF(S933="Да","Ошибка: подтверждённый дубль",IF(S933="","Проверить: отметьте дубль",IF(S933="Нужно проверить","Проверить возможный дубль",IF(TODAY()-E933&gt;30,"Проверить: старше 30 дней",IF(COUNTIFS(#REF!,G933,#REF!,"Готово")=0,"Проверить источник","Готово"))))))))))</f>
        <v/>
      </c>
    </row>
    <row r="934" spans="1:21" ht="25.5" customHeight="1">
      <c r="A934" s="21"/>
      <c r="B934" s="22"/>
      <c r="C934" s="21"/>
      <c r="D934" s="23"/>
      <c r="E934" s="22"/>
      <c r="F934" s="22"/>
      <c r="G934" s="23"/>
      <c r="H934" s="24"/>
      <c r="I934" s="24"/>
      <c r="J934" s="23"/>
      <c r="K934" s="23"/>
      <c r="L934" s="23"/>
      <c r="M934" s="23"/>
      <c r="N934" s="23"/>
      <c r="O934" s="23"/>
      <c r="P934" s="23"/>
      <c r="Q934" s="25"/>
      <c r="R934" s="23"/>
      <c r="S934" s="23"/>
      <c r="T934" s="23"/>
      <c r="U934" s="20" t="str">
        <f ca="1">IF(COUNTA(A934:T934)=0,"",IF(OR(A934="",B934="",C934="",E934="",G934="",H934="",J934="",K934="",L934="",M934=""),"Ошибка: заполните обязательные поля",IF(AND(LEFT(H934,7)&lt;&gt;"http://",LEFT(H934,8)&lt;&gt;"https://"),"Ошибка: некорректная ссылка",IF(COUNTIF($H$6:$H$1005,H934)&gt;1,"Ошибка: дубликат URL",IF(E934&gt;TODAY(),"Ошибка: дата публикации в будущем",IF(S934="Да","Ошибка: подтверждённый дубль",IF(S934="","Проверить: отметьте дубль",IF(S934="Нужно проверить","Проверить возможный дубль",IF(TODAY()-E934&gt;30,"Проверить: старше 30 дней",IF(COUNTIFS(#REF!,G934,#REF!,"Готово")=0,"Проверить источник","Готово"))))))))))</f>
        <v/>
      </c>
    </row>
    <row r="935" spans="1:21" ht="25.5" customHeight="1">
      <c r="A935" s="21"/>
      <c r="B935" s="22"/>
      <c r="C935" s="21"/>
      <c r="D935" s="23"/>
      <c r="E935" s="22"/>
      <c r="F935" s="22"/>
      <c r="G935" s="23"/>
      <c r="H935" s="24"/>
      <c r="I935" s="24"/>
      <c r="J935" s="23"/>
      <c r="K935" s="23"/>
      <c r="L935" s="23"/>
      <c r="M935" s="23"/>
      <c r="N935" s="23"/>
      <c r="O935" s="23"/>
      <c r="P935" s="23"/>
      <c r="Q935" s="25"/>
      <c r="R935" s="23"/>
      <c r="S935" s="23"/>
      <c r="T935" s="23"/>
      <c r="U935" s="20" t="str">
        <f ca="1">IF(COUNTA(A935:T935)=0,"",IF(OR(A935="",B935="",C935="",E935="",G935="",H935="",J935="",K935="",L935="",M935=""),"Ошибка: заполните обязательные поля",IF(AND(LEFT(H935,7)&lt;&gt;"http://",LEFT(H935,8)&lt;&gt;"https://"),"Ошибка: некорректная ссылка",IF(COUNTIF($H$6:$H$1005,H935)&gt;1,"Ошибка: дубликат URL",IF(E935&gt;TODAY(),"Ошибка: дата публикации в будущем",IF(S935="Да","Ошибка: подтверждённый дубль",IF(S935="","Проверить: отметьте дубль",IF(S935="Нужно проверить","Проверить возможный дубль",IF(TODAY()-E935&gt;30,"Проверить: старше 30 дней",IF(COUNTIFS(#REF!,G935,#REF!,"Готово")=0,"Проверить источник","Готово"))))))))))</f>
        <v/>
      </c>
    </row>
    <row r="936" spans="1:21" ht="25.5" customHeight="1">
      <c r="A936" s="21"/>
      <c r="B936" s="22"/>
      <c r="C936" s="21"/>
      <c r="D936" s="23"/>
      <c r="E936" s="22"/>
      <c r="F936" s="22"/>
      <c r="G936" s="23"/>
      <c r="H936" s="24"/>
      <c r="I936" s="24"/>
      <c r="J936" s="23"/>
      <c r="K936" s="23"/>
      <c r="L936" s="23"/>
      <c r="M936" s="23"/>
      <c r="N936" s="23"/>
      <c r="O936" s="23"/>
      <c r="P936" s="23"/>
      <c r="Q936" s="25"/>
      <c r="R936" s="23"/>
      <c r="S936" s="23"/>
      <c r="T936" s="23"/>
      <c r="U936" s="20" t="str">
        <f ca="1">IF(COUNTA(A936:T936)=0,"",IF(OR(A936="",B936="",C936="",E936="",G936="",H936="",J936="",K936="",L936="",M936=""),"Ошибка: заполните обязательные поля",IF(AND(LEFT(H936,7)&lt;&gt;"http://",LEFT(H936,8)&lt;&gt;"https://"),"Ошибка: некорректная ссылка",IF(COUNTIF($H$6:$H$1005,H936)&gt;1,"Ошибка: дубликат URL",IF(E936&gt;TODAY(),"Ошибка: дата публикации в будущем",IF(S936="Да","Ошибка: подтверждённый дубль",IF(S936="","Проверить: отметьте дубль",IF(S936="Нужно проверить","Проверить возможный дубль",IF(TODAY()-E936&gt;30,"Проверить: старше 30 дней",IF(COUNTIFS(#REF!,G936,#REF!,"Готово")=0,"Проверить источник","Готово"))))))))))</f>
        <v/>
      </c>
    </row>
    <row r="937" spans="1:21" ht="25.5" customHeight="1">
      <c r="A937" s="21"/>
      <c r="B937" s="22"/>
      <c r="C937" s="21"/>
      <c r="D937" s="23"/>
      <c r="E937" s="22"/>
      <c r="F937" s="22"/>
      <c r="G937" s="23"/>
      <c r="H937" s="24"/>
      <c r="I937" s="24"/>
      <c r="J937" s="23"/>
      <c r="K937" s="23"/>
      <c r="L937" s="23"/>
      <c r="M937" s="23"/>
      <c r="N937" s="23"/>
      <c r="O937" s="23"/>
      <c r="P937" s="23"/>
      <c r="Q937" s="25"/>
      <c r="R937" s="23"/>
      <c r="S937" s="23"/>
      <c r="T937" s="23"/>
      <c r="U937" s="20" t="str">
        <f ca="1">IF(COUNTA(A937:T937)=0,"",IF(OR(A937="",B937="",C937="",E937="",G937="",H937="",J937="",K937="",L937="",M937=""),"Ошибка: заполните обязательные поля",IF(AND(LEFT(H937,7)&lt;&gt;"http://",LEFT(H937,8)&lt;&gt;"https://"),"Ошибка: некорректная ссылка",IF(COUNTIF($H$6:$H$1005,H937)&gt;1,"Ошибка: дубликат URL",IF(E937&gt;TODAY(),"Ошибка: дата публикации в будущем",IF(S937="Да","Ошибка: подтверждённый дубль",IF(S937="","Проверить: отметьте дубль",IF(S937="Нужно проверить","Проверить возможный дубль",IF(TODAY()-E937&gt;30,"Проверить: старше 30 дней",IF(COUNTIFS(#REF!,G937,#REF!,"Готово")=0,"Проверить источник","Готово"))))))))))</f>
        <v/>
      </c>
    </row>
    <row r="938" spans="1:21" ht="25.5" customHeight="1">
      <c r="A938" s="21"/>
      <c r="B938" s="22"/>
      <c r="C938" s="21"/>
      <c r="D938" s="23"/>
      <c r="E938" s="22"/>
      <c r="F938" s="22"/>
      <c r="G938" s="23"/>
      <c r="H938" s="24"/>
      <c r="I938" s="24"/>
      <c r="J938" s="23"/>
      <c r="K938" s="23"/>
      <c r="L938" s="23"/>
      <c r="M938" s="23"/>
      <c r="N938" s="23"/>
      <c r="O938" s="23"/>
      <c r="P938" s="23"/>
      <c r="Q938" s="25"/>
      <c r="R938" s="23"/>
      <c r="S938" s="23"/>
      <c r="T938" s="23"/>
      <c r="U938" s="20" t="str">
        <f ca="1">IF(COUNTA(A938:T938)=0,"",IF(OR(A938="",B938="",C938="",E938="",G938="",H938="",J938="",K938="",L938="",M938=""),"Ошибка: заполните обязательные поля",IF(AND(LEFT(H938,7)&lt;&gt;"http://",LEFT(H938,8)&lt;&gt;"https://"),"Ошибка: некорректная ссылка",IF(COUNTIF($H$6:$H$1005,H938)&gt;1,"Ошибка: дубликат URL",IF(E938&gt;TODAY(),"Ошибка: дата публикации в будущем",IF(S938="Да","Ошибка: подтверждённый дубль",IF(S938="","Проверить: отметьте дубль",IF(S938="Нужно проверить","Проверить возможный дубль",IF(TODAY()-E938&gt;30,"Проверить: старше 30 дней",IF(COUNTIFS(#REF!,G938,#REF!,"Готово")=0,"Проверить источник","Готово"))))))))))</f>
        <v/>
      </c>
    </row>
    <row r="939" spans="1:21" ht="25.5" customHeight="1">
      <c r="A939" s="21"/>
      <c r="B939" s="22"/>
      <c r="C939" s="21"/>
      <c r="D939" s="23"/>
      <c r="E939" s="22"/>
      <c r="F939" s="22"/>
      <c r="G939" s="23"/>
      <c r="H939" s="24"/>
      <c r="I939" s="24"/>
      <c r="J939" s="23"/>
      <c r="K939" s="23"/>
      <c r="L939" s="23"/>
      <c r="M939" s="23"/>
      <c r="N939" s="23"/>
      <c r="O939" s="23"/>
      <c r="P939" s="23"/>
      <c r="Q939" s="25"/>
      <c r="R939" s="23"/>
      <c r="S939" s="23"/>
      <c r="T939" s="23"/>
      <c r="U939" s="20" t="str">
        <f ca="1">IF(COUNTA(A939:T939)=0,"",IF(OR(A939="",B939="",C939="",E939="",G939="",H939="",J939="",K939="",L939="",M939=""),"Ошибка: заполните обязательные поля",IF(AND(LEFT(H939,7)&lt;&gt;"http://",LEFT(H939,8)&lt;&gt;"https://"),"Ошибка: некорректная ссылка",IF(COUNTIF($H$6:$H$1005,H939)&gt;1,"Ошибка: дубликат URL",IF(E939&gt;TODAY(),"Ошибка: дата публикации в будущем",IF(S939="Да","Ошибка: подтверждённый дубль",IF(S939="","Проверить: отметьте дубль",IF(S939="Нужно проверить","Проверить возможный дубль",IF(TODAY()-E939&gt;30,"Проверить: старше 30 дней",IF(COUNTIFS(#REF!,G939,#REF!,"Готово")=0,"Проверить источник","Готово"))))))))))</f>
        <v/>
      </c>
    </row>
    <row r="940" spans="1:21" ht="25.5" customHeight="1">
      <c r="A940" s="21"/>
      <c r="B940" s="22"/>
      <c r="C940" s="21"/>
      <c r="D940" s="23"/>
      <c r="E940" s="22"/>
      <c r="F940" s="22"/>
      <c r="G940" s="23"/>
      <c r="H940" s="24"/>
      <c r="I940" s="24"/>
      <c r="J940" s="23"/>
      <c r="K940" s="23"/>
      <c r="L940" s="23"/>
      <c r="M940" s="23"/>
      <c r="N940" s="23"/>
      <c r="O940" s="23"/>
      <c r="P940" s="23"/>
      <c r="Q940" s="25"/>
      <c r="R940" s="23"/>
      <c r="S940" s="23"/>
      <c r="T940" s="23"/>
      <c r="U940" s="20" t="str">
        <f ca="1">IF(COUNTA(A940:T940)=0,"",IF(OR(A940="",B940="",C940="",E940="",G940="",H940="",J940="",K940="",L940="",M940=""),"Ошибка: заполните обязательные поля",IF(AND(LEFT(H940,7)&lt;&gt;"http://",LEFT(H940,8)&lt;&gt;"https://"),"Ошибка: некорректная ссылка",IF(COUNTIF($H$6:$H$1005,H940)&gt;1,"Ошибка: дубликат URL",IF(E940&gt;TODAY(),"Ошибка: дата публикации в будущем",IF(S940="Да","Ошибка: подтверждённый дубль",IF(S940="","Проверить: отметьте дубль",IF(S940="Нужно проверить","Проверить возможный дубль",IF(TODAY()-E940&gt;30,"Проверить: старше 30 дней",IF(COUNTIFS(#REF!,G940,#REF!,"Готово")=0,"Проверить источник","Готово"))))))))))</f>
        <v/>
      </c>
    </row>
    <row r="941" spans="1:21" ht="25.5" customHeight="1">
      <c r="A941" s="21"/>
      <c r="B941" s="22"/>
      <c r="C941" s="21"/>
      <c r="D941" s="23"/>
      <c r="E941" s="22"/>
      <c r="F941" s="22"/>
      <c r="G941" s="23"/>
      <c r="H941" s="24"/>
      <c r="I941" s="24"/>
      <c r="J941" s="23"/>
      <c r="K941" s="23"/>
      <c r="L941" s="23"/>
      <c r="M941" s="23"/>
      <c r="N941" s="23"/>
      <c r="O941" s="23"/>
      <c r="P941" s="23"/>
      <c r="Q941" s="25"/>
      <c r="R941" s="23"/>
      <c r="S941" s="23"/>
      <c r="T941" s="23"/>
      <c r="U941" s="20" t="str">
        <f ca="1">IF(COUNTA(A941:T941)=0,"",IF(OR(A941="",B941="",C941="",E941="",G941="",H941="",J941="",K941="",L941="",M941=""),"Ошибка: заполните обязательные поля",IF(AND(LEFT(H941,7)&lt;&gt;"http://",LEFT(H941,8)&lt;&gt;"https://"),"Ошибка: некорректная ссылка",IF(COUNTIF($H$6:$H$1005,H941)&gt;1,"Ошибка: дубликат URL",IF(E941&gt;TODAY(),"Ошибка: дата публикации в будущем",IF(S941="Да","Ошибка: подтверждённый дубль",IF(S941="","Проверить: отметьте дубль",IF(S941="Нужно проверить","Проверить возможный дубль",IF(TODAY()-E941&gt;30,"Проверить: старше 30 дней",IF(COUNTIFS(#REF!,G941,#REF!,"Готово")=0,"Проверить источник","Готово"))))))))))</f>
        <v/>
      </c>
    </row>
    <row r="942" spans="1:21" ht="25.5" customHeight="1">
      <c r="A942" s="21"/>
      <c r="B942" s="22"/>
      <c r="C942" s="21"/>
      <c r="D942" s="23"/>
      <c r="E942" s="22"/>
      <c r="F942" s="22"/>
      <c r="G942" s="23"/>
      <c r="H942" s="24"/>
      <c r="I942" s="24"/>
      <c r="J942" s="23"/>
      <c r="K942" s="23"/>
      <c r="L942" s="23"/>
      <c r="M942" s="23"/>
      <c r="N942" s="23"/>
      <c r="O942" s="23"/>
      <c r="P942" s="23"/>
      <c r="Q942" s="25"/>
      <c r="R942" s="23"/>
      <c r="S942" s="23"/>
      <c r="T942" s="23"/>
      <c r="U942" s="20" t="str">
        <f ca="1">IF(COUNTA(A942:T942)=0,"",IF(OR(A942="",B942="",C942="",E942="",G942="",H942="",J942="",K942="",L942="",M942=""),"Ошибка: заполните обязательные поля",IF(AND(LEFT(H942,7)&lt;&gt;"http://",LEFT(H942,8)&lt;&gt;"https://"),"Ошибка: некорректная ссылка",IF(COUNTIF($H$6:$H$1005,H942)&gt;1,"Ошибка: дубликат URL",IF(E942&gt;TODAY(),"Ошибка: дата публикации в будущем",IF(S942="Да","Ошибка: подтверждённый дубль",IF(S942="","Проверить: отметьте дубль",IF(S942="Нужно проверить","Проверить возможный дубль",IF(TODAY()-E942&gt;30,"Проверить: старше 30 дней",IF(COUNTIFS(#REF!,G942,#REF!,"Готово")=0,"Проверить источник","Готово"))))))))))</f>
        <v/>
      </c>
    </row>
    <row r="943" spans="1:21" ht="25.5" customHeight="1">
      <c r="A943" s="21"/>
      <c r="B943" s="22"/>
      <c r="C943" s="21"/>
      <c r="D943" s="23"/>
      <c r="E943" s="22"/>
      <c r="F943" s="22"/>
      <c r="G943" s="23"/>
      <c r="H943" s="24"/>
      <c r="I943" s="24"/>
      <c r="J943" s="23"/>
      <c r="K943" s="23"/>
      <c r="L943" s="23"/>
      <c r="M943" s="23"/>
      <c r="N943" s="23"/>
      <c r="O943" s="23"/>
      <c r="P943" s="23"/>
      <c r="Q943" s="25"/>
      <c r="R943" s="23"/>
      <c r="S943" s="23"/>
      <c r="T943" s="23"/>
      <c r="U943" s="20" t="str">
        <f ca="1">IF(COUNTA(A943:T943)=0,"",IF(OR(A943="",B943="",C943="",E943="",G943="",H943="",J943="",K943="",L943="",M943=""),"Ошибка: заполните обязательные поля",IF(AND(LEFT(H943,7)&lt;&gt;"http://",LEFT(H943,8)&lt;&gt;"https://"),"Ошибка: некорректная ссылка",IF(COUNTIF($H$6:$H$1005,H943)&gt;1,"Ошибка: дубликат URL",IF(E943&gt;TODAY(),"Ошибка: дата публикации в будущем",IF(S943="Да","Ошибка: подтверждённый дубль",IF(S943="","Проверить: отметьте дубль",IF(S943="Нужно проверить","Проверить возможный дубль",IF(TODAY()-E943&gt;30,"Проверить: старше 30 дней",IF(COUNTIFS(#REF!,G943,#REF!,"Готово")=0,"Проверить источник","Готово"))))))))))</f>
        <v/>
      </c>
    </row>
    <row r="944" spans="1:21" ht="25.5" customHeight="1">
      <c r="A944" s="21"/>
      <c r="B944" s="22"/>
      <c r="C944" s="21"/>
      <c r="D944" s="23"/>
      <c r="E944" s="22"/>
      <c r="F944" s="22"/>
      <c r="G944" s="23"/>
      <c r="H944" s="24"/>
      <c r="I944" s="24"/>
      <c r="J944" s="23"/>
      <c r="K944" s="23"/>
      <c r="L944" s="23"/>
      <c r="M944" s="23"/>
      <c r="N944" s="23"/>
      <c r="O944" s="23"/>
      <c r="P944" s="23"/>
      <c r="Q944" s="25"/>
      <c r="R944" s="23"/>
      <c r="S944" s="23"/>
      <c r="T944" s="23"/>
      <c r="U944" s="20" t="str">
        <f ca="1">IF(COUNTA(A944:T944)=0,"",IF(OR(A944="",B944="",C944="",E944="",G944="",H944="",J944="",K944="",L944="",M944=""),"Ошибка: заполните обязательные поля",IF(AND(LEFT(H944,7)&lt;&gt;"http://",LEFT(H944,8)&lt;&gt;"https://"),"Ошибка: некорректная ссылка",IF(COUNTIF($H$6:$H$1005,H944)&gt;1,"Ошибка: дубликат URL",IF(E944&gt;TODAY(),"Ошибка: дата публикации в будущем",IF(S944="Да","Ошибка: подтверждённый дубль",IF(S944="","Проверить: отметьте дубль",IF(S944="Нужно проверить","Проверить возможный дубль",IF(TODAY()-E944&gt;30,"Проверить: старше 30 дней",IF(COUNTIFS(#REF!,G944,#REF!,"Готово")=0,"Проверить источник","Готово"))))))))))</f>
        <v/>
      </c>
    </row>
    <row r="945" spans="1:21" ht="25.5" customHeight="1">
      <c r="A945" s="21"/>
      <c r="B945" s="22"/>
      <c r="C945" s="21"/>
      <c r="D945" s="23"/>
      <c r="E945" s="22"/>
      <c r="F945" s="22"/>
      <c r="G945" s="23"/>
      <c r="H945" s="24"/>
      <c r="I945" s="24"/>
      <c r="J945" s="23"/>
      <c r="K945" s="23"/>
      <c r="L945" s="23"/>
      <c r="M945" s="23"/>
      <c r="N945" s="23"/>
      <c r="O945" s="23"/>
      <c r="P945" s="23"/>
      <c r="Q945" s="25"/>
      <c r="R945" s="23"/>
      <c r="S945" s="23"/>
      <c r="T945" s="23"/>
      <c r="U945" s="20" t="str">
        <f ca="1">IF(COUNTA(A945:T945)=0,"",IF(OR(A945="",B945="",C945="",E945="",G945="",H945="",J945="",K945="",L945="",M945=""),"Ошибка: заполните обязательные поля",IF(AND(LEFT(H945,7)&lt;&gt;"http://",LEFT(H945,8)&lt;&gt;"https://"),"Ошибка: некорректная ссылка",IF(COUNTIF($H$6:$H$1005,H945)&gt;1,"Ошибка: дубликат URL",IF(E945&gt;TODAY(),"Ошибка: дата публикации в будущем",IF(S945="Да","Ошибка: подтверждённый дубль",IF(S945="","Проверить: отметьте дубль",IF(S945="Нужно проверить","Проверить возможный дубль",IF(TODAY()-E945&gt;30,"Проверить: старше 30 дней",IF(COUNTIFS(#REF!,G945,#REF!,"Готово")=0,"Проверить источник","Готово"))))))))))</f>
        <v/>
      </c>
    </row>
    <row r="946" spans="1:21" ht="25.5" customHeight="1">
      <c r="A946" s="21"/>
      <c r="B946" s="22"/>
      <c r="C946" s="21"/>
      <c r="D946" s="23"/>
      <c r="E946" s="22"/>
      <c r="F946" s="22"/>
      <c r="G946" s="23"/>
      <c r="H946" s="24"/>
      <c r="I946" s="24"/>
      <c r="J946" s="23"/>
      <c r="K946" s="23"/>
      <c r="L946" s="23"/>
      <c r="M946" s="23"/>
      <c r="N946" s="23"/>
      <c r="O946" s="23"/>
      <c r="P946" s="23"/>
      <c r="Q946" s="25"/>
      <c r="R946" s="23"/>
      <c r="S946" s="23"/>
      <c r="T946" s="23"/>
      <c r="U946" s="20" t="str">
        <f ca="1">IF(COUNTA(A946:T946)=0,"",IF(OR(A946="",B946="",C946="",E946="",G946="",H946="",J946="",K946="",L946="",M946=""),"Ошибка: заполните обязательные поля",IF(AND(LEFT(H946,7)&lt;&gt;"http://",LEFT(H946,8)&lt;&gt;"https://"),"Ошибка: некорректная ссылка",IF(COUNTIF($H$6:$H$1005,H946)&gt;1,"Ошибка: дубликат URL",IF(E946&gt;TODAY(),"Ошибка: дата публикации в будущем",IF(S946="Да","Ошибка: подтверждённый дубль",IF(S946="","Проверить: отметьте дубль",IF(S946="Нужно проверить","Проверить возможный дубль",IF(TODAY()-E946&gt;30,"Проверить: старше 30 дней",IF(COUNTIFS(#REF!,G946,#REF!,"Готово")=0,"Проверить источник","Готово"))))))))))</f>
        <v/>
      </c>
    </row>
    <row r="947" spans="1:21" ht="25.5" customHeight="1">
      <c r="A947" s="21"/>
      <c r="B947" s="22"/>
      <c r="C947" s="21"/>
      <c r="D947" s="23"/>
      <c r="E947" s="22"/>
      <c r="F947" s="22"/>
      <c r="G947" s="23"/>
      <c r="H947" s="24"/>
      <c r="I947" s="24"/>
      <c r="J947" s="23"/>
      <c r="K947" s="23"/>
      <c r="L947" s="23"/>
      <c r="M947" s="23"/>
      <c r="N947" s="23"/>
      <c r="O947" s="23"/>
      <c r="P947" s="23"/>
      <c r="Q947" s="25"/>
      <c r="R947" s="23"/>
      <c r="S947" s="23"/>
      <c r="T947" s="23"/>
      <c r="U947" s="20" t="str">
        <f ca="1">IF(COUNTA(A947:T947)=0,"",IF(OR(A947="",B947="",C947="",E947="",G947="",H947="",J947="",K947="",L947="",M947=""),"Ошибка: заполните обязательные поля",IF(AND(LEFT(H947,7)&lt;&gt;"http://",LEFT(H947,8)&lt;&gt;"https://"),"Ошибка: некорректная ссылка",IF(COUNTIF($H$6:$H$1005,H947)&gt;1,"Ошибка: дубликат URL",IF(E947&gt;TODAY(),"Ошибка: дата публикации в будущем",IF(S947="Да","Ошибка: подтверждённый дубль",IF(S947="","Проверить: отметьте дубль",IF(S947="Нужно проверить","Проверить возможный дубль",IF(TODAY()-E947&gt;30,"Проверить: старше 30 дней",IF(COUNTIFS(#REF!,G947,#REF!,"Готово")=0,"Проверить источник","Готово"))))))))))</f>
        <v/>
      </c>
    </row>
    <row r="948" spans="1:21" ht="25.5" customHeight="1">
      <c r="A948" s="21"/>
      <c r="B948" s="22"/>
      <c r="C948" s="21"/>
      <c r="D948" s="23"/>
      <c r="E948" s="22"/>
      <c r="F948" s="22"/>
      <c r="G948" s="23"/>
      <c r="H948" s="24"/>
      <c r="I948" s="24"/>
      <c r="J948" s="23"/>
      <c r="K948" s="23"/>
      <c r="L948" s="23"/>
      <c r="M948" s="23"/>
      <c r="N948" s="23"/>
      <c r="O948" s="23"/>
      <c r="P948" s="23"/>
      <c r="Q948" s="25"/>
      <c r="R948" s="23"/>
      <c r="S948" s="23"/>
      <c r="T948" s="23"/>
      <c r="U948" s="20" t="str">
        <f ca="1">IF(COUNTA(A948:T948)=0,"",IF(OR(A948="",B948="",C948="",E948="",G948="",H948="",J948="",K948="",L948="",M948=""),"Ошибка: заполните обязательные поля",IF(AND(LEFT(H948,7)&lt;&gt;"http://",LEFT(H948,8)&lt;&gt;"https://"),"Ошибка: некорректная ссылка",IF(COUNTIF($H$6:$H$1005,H948)&gt;1,"Ошибка: дубликат URL",IF(E948&gt;TODAY(),"Ошибка: дата публикации в будущем",IF(S948="Да","Ошибка: подтверждённый дубль",IF(S948="","Проверить: отметьте дубль",IF(S948="Нужно проверить","Проверить возможный дубль",IF(TODAY()-E948&gt;30,"Проверить: старше 30 дней",IF(COUNTIFS(#REF!,G948,#REF!,"Готово")=0,"Проверить источник","Готово"))))))))))</f>
        <v/>
      </c>
    </row>
    <row r="949" spans="1:21" ht="25.5" customHeight="1">
      <c r="A949" s="21"/>
      <c r="B949" s="22"/>
      <c r="C949" s="21"/>
      <c r="D949" s="23"/>
      <c r="E949" s="22"/>
      <c r="F949" s="22"/>
      <c r="G949" s="23"/>
      <c r="H949" s="24"/>
      <c r="I949" s="24"/>
      <c r="J949" s="23"/>
      <c r="K949" s="23"/>
      <c r="L949" s="23"/>
      <c r="M949" s="23"/>
      <c r="N949" s="23"/>
      <c r="O949" s="23"/>
      <c r="P949" s="23"/>
      <c r="Q949" s="25"/>
      <c r="R949" s="23"/>
      <c r="S949" s="23"/>
      <c r="T949" s="23"/>
      <c r="U949" s="20" t="str">
        <f ca="1">IF(COUNTA(A949:T949)=0,"",IF(OR(A949="",B949="",C949="",E949="",G949="",H949="",J949="",K949="",L949="",M949=""),"Ошибка: заполните обязательные поля",IF(AND(LEFT(H949,7)&lt;&gt;"http://",LEFT(H949,8)&lt;&gt;"https://"),"Ошибка: некорректная ссылка",IF(COUNTIF($H$6:$H$1005,H949)&gt;1,"Ошибка: дубликат URL",IF(E949&gt;TODAY(),"Ошибка: дата публикации в будущем",IF(S949="Да","Ошибка: подтверждённый дубль",IF(S949="","Проверить: отметьте дубль",IF(S949="Нужно проверить","Проверить возможный дубль",IF(TODAY()-E949&gt;30,"Проверить: старше 30 дней",IF(COUNTIFS(#REF!,G949,#REF!,"Готово")=0,"Проверить источник","Готово"))))))))))</f>
        <v/>
      </c>
    </row>
    <row r="950" spans="1:21" ht="25.5" customHeight="1">
      <c r="A950" s="21"/>
      <c r="B950" s="22"/>
      <c r="C950" s="21"/>
      <c r="D950" s="23"/>
      <c r="E950" s="22"/>
      <c r="F950" s="22"/>
      <c r="G950" s="23"/>
      <c r="H950" s="24"/>
      <c r="I950" s="24"/>
      <c r="J950" s="23"/>
      <c r="K950" s="23"/>
      <c r="L950" s="23"/>
      <c r="M950" s="23"/>
      <c r="N950" s="23"/>
      <c r="O950" s="23"/>
      <c r="P950" s="23"/>
      <c r="Q950" s="25"/>
      <c r="R950" s="23"/>
      <c r="S950" s="23"/>
      <c r="T950" s="23"/>
      <c r="U950" s="20" t="str">
        <f ca="1">IF(COUNTA(A950:T950)=0,"",IF(OR(A950="",B950="",C950="",E950="",G950="",H950="",J950="",K950="",L950="",M950=""),"Ошибка: заполните обязательные поля",IF(AND(LEFT(H950,7)&lt;&gt;"http://",LEFT(H950,8)&lt;&gt;"https://"),"Ошибка: некорректная ссылка",IF(COUNTIF($H$6:$H$1005,H950)&gt;1,"Ошибка: дубликат URL",IF(E950&gt;TODAY(),"Ошибка: дата публикации в будущем",IF(S950="Да","Ошибка: подтверждённый дубль",IF(S950="","Проверить: отметьте дубль",IF(S950="Нужно проверить","Проверить возможный дубль",IF(TODAY()-E950&gt;30,"Проверить: старше 30 дней",IF(COUNTIFS(#REF!,G950,#REF!,"Готово")=0,"Проверить источник","Готово"))))))))))</f>
        <v/>
      </c>
    </row>
    <row r="951" spans="1:21" ht="25.5" customHeight="1">
      <c r="A951" s="21"/>
      <c r="B951" s="22"/>
      <c r="C951" s="21"/>
      <c r="D951" s="23"/>
      <c r="E951" s="22"/>
      <c r="F951" s="22"/>
      <c r="G951" s="23"/>
      <c r="H951" s="24"/>
      <c r="I951" s="24"/>
      <c r="J951" s="23"/>
      <c r="K951" s="23"/>
      <c r="L951" s="23"/>
      <c r="M951" s="23"/>
      <c r="N951" s="23"/>
      <c r="O951" s="23"/>
      <c r="P951" s="23"/>
      <c r="Q951" s="25"/>
      <c r="R951" s="23"/>
      <c r="S951" s="23"/>
      <c r="T951" s="23"/>
      <c r="U951" s="20" t="str">
        <f ca="1">IF(COUNTA(A951:T951)=0,"",IF(OR(A951="",B951="",C951="",E951="",G951="",H951="",J951="",K951="",L951="",M951=""),"Ошибка: заполните обязательные поля",IF(AND(LEFT(H951,7)&lt;&gt;"http://",LEFT(H951,8)&lt;&gt;"https://"),"Ошибка: некорректная ссылка",IF(COUNTIF($H$6:$H$1005,H951)&gt;1,"Ошибка: дубликат URL",IF(E951&gt;TODAY(),"Ошибка: дата публикации в будущем",IF(S951="Да","Ошибка: подтверждённый дубль",IF(S951="","Проверить: отметьте дубль",IF(S951="Нужно проверить","Проверить возможный дубль",IF(TODAY()-E951&gt;30,"Проверить: старше 30 дней",IF(COUNTIFS(#REF!,G951,#REF!,"Готово")=0,"Проверить источник","Готово"))))))))))</f>
        <v/>
      </c>
    </row>
    <row r="952" spans="1:21" ht="25.5" customHeight="1">
      <c r="A952" s="21"/>
      <c r="B952" s="22"/>
      <c r="C952" s="21"/>
      <c r="D952" s="23"/>
      <c r="E952" s="22"/>
      <c r="F952" s="22"/>
      <c r="G952" s="23"/>
      <c r="H952" s="24"/>
      <c r="I952" s="24"/>
      <c r="J952" s="23"/>
      <c r="K952" s="23"/>
      <c r="L952" s="23"/>
      <c r="M952" s="23"/>
      <c r="N952" s="23"/>
      <c r="O952" s="23"/>
      <c r="P952" s="23"/>
      <c r="Q952" s="25"/>
      <c r="R952" s="23"/>
      <c r="S952" s="23"/>
      <c r="T952" s="23"/>
      <c r="U952" s="20" t="str">
        <f ca="1">IF(COUNTA(A952:T952)=0,"",IF(OR(A952="",B952="",C952="",E952="",G952="",H952="",J952="",K952="",L952="",M952=""),"Ошибка: заполните обязательные поля",IF(AND(LEFT(H952,7)&lt;&gt;"http://",LEFT(H952,8)&lt;&gt;"https://"),"Ошибка: некорректная ссылка",IF(COUNTIF($H$6:$H$1005,H952)&gt;1,"Ошибка: дубликат URL",IF(E952&gt;TODAY(),"Ошибка: дата публикации в будущем",IF(S952="Да","Ошибка: подтверждённый дубль",IF(S952="","Проверить: отметьте дубль",IF(S952="Нужно проверить","Проверить возможный дубль",IF(TODAY()-E952&gt;30,"Проверить: старше 30 дней",IF(COUNTIFS(#REF!,G952,#REF!,"Готово")=0,"Проверить источник","Готово"))))))))))</f>
        <v/>
      </c>
    </row>
    <row r="953" spans="1:21" ht="25.5" customHeight="1">
      <c r="A953" s="21"/>
      <c r="B953" s="22"/>
      <c r="C953" s="21"/>
      <c r="D953" s="23"/>
      <c r="E953" s="22"/>
      <c r="F953" s="22"/>
      <c r="G953" s="23"/>
      <c r="H953" s="24"/>
      <c r="I953" s="24"/>
      <c r="J953" s="23"/>
      <c r="K953" s="23"/>
      <c r="L953" s="23"/>
      <c r="M953" s="23"/>
      <c r="N953" s="23"/>
      <c r="O953" s="23"/>
      <c r="P953" s="23"/>
      <c r="Q953" s="25"/>
      <c r="R953" s="23"/>
      <c r="S953" s="23"/>
      <c r="T953" s="23"/>
      <c r="U953" s="20" t="str">
        <f ca="1">IF(COUNTA(A953:T953)=0,"",IF(OR(A953="",B953="",C953="",E953="",G953="",H953="",J953="",K953="",L953="",M953=""),"Ошибка: заполните обязательные поля",IF(AND(LEFT(H953,7)&lt;&gt;"http://",LEFT(H953,8)&lt;&gt;"https://"),"Ошибка: некорректная ссылка",IF(COUNTIF($H$6:$H$1005,H953)&gt;1,"Ошибка: дубликат URL",IF(E953&gt;TODAY(),"Ошибка: дата публикации в будущем",IF(S953="Да","Ошибка: подтверждённый дубль",IF(S953="","Проверить: отметьте дубль",IF(S953="Нужно проверить","Проверить возможный дубль",IF(TODAY()-E953&gt;30,"Проверить: старше 30 дней",IF(COUNTIFS(#REF!,G953,#REF!,"Готово")=0,"Проверить источник","Готово"))))))))))</f>
        <v/>
      </c>
    </row>
    <row r="954" spans="1:21" ht="25.5" customHeight="1">
      <c r="A954" s="21"/>
      <c r="B954" s="22"/>
      <c r="C954" s="21"/>
      <c r="D954" s="23"/>
      <c r="E954" s="22"/>
      <c r="F954" s="22"/>
      <c r="G954" s="23"/>
      <c r="H954" s="24"/>
      <c r="I954" s="24"/>
      <c r="J954" s="23"/>
      <c r="K954" s="23"/>
      <c r="L954" s="23"/>
      <c r="M954" s="23"/>
      <c r="N954" s="23"/>
      <c r="O954" s="23"/>
      <c r="P954" s="23"/>
      <c r="Q954" s="25"/>
      <c r="R954" s="23"/>
      <c r="S954" s="23"/>
      <c r="T954" s="23"/>
      <c r="U954" s="20" t="str">
        <f ca="1">IF(COUNTA(A954:T954)=0,"",IF(OR(A954="",B954="",C954="",E954="",G954="",H954="",J954="",K954="",L954="",M954=""),"Ошибка: заполните обязательные поля",IF(AND(LEFT(H954,7)&lt;&gt;"http://",LEFT(H954,8)&lt;&gt;"https://"),"Ошибка: некорректная ссылка",IF(COUNTIF($H$6:$H$1005,H954)&gt;1,"Ошибка: дубликат URL",IF(E954&gt;TODAY(),"Ошибка: дата публикации в будущем",IF(S954="Да","Ошибка: подтверждённый дубль",IF(S954="","Проверить: отметьте дубль",IF(S954="Нужно проверить","Проверить возможный дубль",IF(TODAY()-E954&gt;30,"Проверить: старше 30 дней",IF(COUNTIFS(#REF!,G954,#REF!,"Готово")=0,"Проверить источник","Готово"))))))))))</f>
        <v/>
      </c>
    </row>
    <row r="955" spans="1:21" ht="25.5" customHeight="1">
      <c r="A955" s="21"/>
      <c r="B955" s="22"/>
      <c r="C955" s="21"/>
      <c r="D955" s="23"/>
      <c r="E955" s="22"/>
      <c r="F955" s="22"/>
      <c r="G955" s="23"/>
      <c r="H955" s="24"/>
      <c r="I955" s="24"/>
      <c r="J955" s="23"/>
      <c r="K955" s="23"/>
      <c r="L955" s="23"/>
      <c r="M955" s="23"/>
      <c r="N955" s="23"/>
      <c r="O955" s="23"/>
      <c r="P955" s="23"/>
      <c r="Q955" s="25"/>
      <c r="R955" s="23"/>
      <c r="S955" s="23"/>
      <c r="T955" s="23"/>
      <c r="U955" s="20" t="str">
        <f ca="1">IF(COUNTA(A955:T955)=0,"",IF(OR(A955="",B955="",C955="",E955="",G955="",H955="",J955="",K955="",L955="",M955=""),"Ошибка: заполните обязательные поля",IF(AND(LEFT(H955,7)&lt;&gt;"http://",LEFT(H955,8)&lt;&gt;"https://"),"Ошибка: некорректная ссылка",IF(COUNTIF($H$6:$H$1005,H955)&gt;1,"Ошибка: дубликат URL",IF(E955&gt;TODAY(),"Ошибка: дата публикации в будущем",IF(S955="Да","Ошибка: подтверждённый дубль",IF(S955="","Проверить: отметьте дубль",IF(S955="Нужно проверить","Проверить возможный дубль",IF(TODAY()-E955&gt;30,"Проверить: старше 30 дней",IF(COUNTIFS(#REF!,G955,#REF!,"Готово")=0,"Проверить источник","Готово"))))))))))</f>
        <v/>
      </c>
    </row>
    <row r="956" spans="1:21" ht="25.5" customHeight="1">
      <c r="A956" s="21"/>
      <c r="B956" s="22"/>
      <c r="C956" s="21"/>
      <c r="D956" s="23"/>
      <c r="E956" s="22"/>
      <c r="F956" s="22"/>
      <c r="G956" s="23"/>
      <c r="H956" s="24"/>
      <c r="I956" s="24"/>
      <c r="J956" s="23"/>
      <c r="K956" s="23"/>
      <c r="L956" s="23"/>
      <c r="M956" s="23"/>
      <c r="N956" s="23"/>
      <c r="O956" s="23"/>
      <c r="P956" s="23"/>
      <c r="Q956" s="25"/>
      <c r="R956" s="23"/>
      <c r="S956" s="23"/>
      <c r="T956" s="23"/>
      <c r="U956" s="20" t="str">
        <f ca="1">IF(COUNTA(A956:T956)=0,"",IF(OR(A956="",B956="",C956="",E956="",G956="",H956="",J956="",K956="",L956="",M956=""),"Ошибка: заполните обязательные поля",IF(AND(LEFT(H956,7)&lt;&gt;"http://",LEFT(H956,8)&lt;&gt;"https://"),"Ошибка: некорректная ссылка",IF(COUNTIF($H$6:$H$1005,H956)&gt;1,"Ошибка: дубликат URL",IF(E956&gt;TODAY(),"Ошибка: дата публикации в будущем",IF(S956="Да","Ошибка: подтверждённый дубль",IF(S956="","Проверить: отметьте дубль",IF(S956="Нужно проверить","Проверить возможный дубль",IF(TODAY()-E956&gt;30,"Проверить: старше 30 дней",IF(COUNTIFS(#REF!,G956,#REF!,"Готово")=0,"Проверить источник","Готово"))))))))))</f>
        <v/>
      </c>
    </row>
    <row r="957" spans="1:21" ht="25.5" customHeight="1">
      <c r="A957" s="21"/>
      <c r="B957" s="22"/>
      <c r="C957" s="21"/>
      <c r="D957" s="23"/>
      <c r="E957" s="22"/>
      <c r="F957" s="22"/>
      <c r="G957" s="23"/>
      <c r="H957" s="24"/>
      <c r="I957" s="24"/>
      <c r="J957" s="23"/>
      <c r="K957" s="23"/>
      <c r="L957" s="23"/>
      <c r="M957" s="23"/>
      <c r="N957" s="23"/>
      <c r="O957" s="23"/>
      <c r="P957" s="23"/>
      <c r="Q957" s="25"/>
      <c r="R957" s="23"/>
      <c r="S957" s="23"/>
      <c r="T957" s="23"/>
      <c r="U957" s="20" t="str">
        <f ca="1">IF(COUNTA(A957:T957)=0,"",IF(OR(A957="",B957="",C957="",E957="",G957="",H957="",J957="",K957="",L957="",M957=""),"Ошибка: заполните обязательные поля",IF(AND(LEFT(H957,7)&lt;&gt;"http://",LEFT(H957,8)&lt;&gt;"https://"),"Ошибка: некорректная ссылка",IF(COUNTIF($H$6:$H$1005,H957)&gt;1,"Ошибка: дубликат URL",IF(E957&gt;TODAY(),"Ошибка: дата публикации в будущем",IF(S957="Да","Ошибка: подтверждённый дубль",IF(S957="","Проверить: отметьте дубль",IF(S957="Нужно проверить","Проверить возможный дубль",IF(TODAY()-E957&gt;30,"Проверить: старше 30 дней",IF(COUNTIFS(#REF!,G957,#REF!,"Готово")=0,"Проверить источник","Готово"))))))))))</f>
        <v/>
      </c>
    </row>
    <row r="958" spans="1:21" ht="25.5" customHeight="1">
      <c r="A958" s="21"/>
      <c r="B958" s="22"/>
      <c r="C958" s="21"/>
      <c r="D958" s="23"/>
      <c r="E958" s="22"/>
      <c r="F958" s="22"/>
      <c r="G958" s="23"/>
      <c r="H958" s="24"/>
      <c r="I958" s="24"/>
      <c r="J958" s="23"/>
      <c r="K958" s="23"/>
      <c r="L958" s="23"/>
      <c r="M958" s="23"/>
      <c r="N958" s="23"/>
      <c r="O958" s="23"/>
      <c r="P958" s="23"/>
      <c r="Q958" s="25"/>
      <c r="R958" s="23"/>
      <c r="S958" s="23"/>
      <c r="T958" s="23"/>
      <c r="U958" s="20" t="str">
        <f ca="1">IF(COUNTA(A958:T958)=0,"",IF(OR(A958="",B958="",C958="",E958="",G958="",H958="",J958="",K958="",L958="",M958=""),"Ошибка: заполните обязательные поля",IF(AND(LEFT(H958,7)&lt;&gt;"http://",LEFT(H958,8)&lt;&gt;"https://"),"Ошибка: некорректная ссылка",IF(COUNTIF($H$6:$H$1005,H958)&gt;1,"Ошибка: дубликат URL",IF(E958&gt;TODAY(),"Ошибка: дата публикации в будущем",IF(S958="Да","Ошибка: подтверждённый дубль",IF(S958="","Проверить: отметьте дубль",IF(S958="Нужно проверить","Проверить возможный дубль",IF(TODAY()-E958&gt;30,"Проверить: старше 30 дней",IF(COUNTIFS(#REF!,G958,#REF!,"Готово")=0,"Проверить источник","Готово"))))))))))</f>
        <v/>
      </c>
    </row>
    <row r="959" spans="1:21" ht="25.5" customHeight="1">
      <c r="A959" s="21"/>
      <c r="B959" s="22"/>
      <c r="C959" s="21"/>
      <c r="D959" s="23"/>
      <c r="E959" s="22"/>
      <c r="F959" s="22"/>
      <c r="G959" s="23"/>
      <c r="H959" s="24"/>
      <c r="I959" s="24"/>
      <c r="J959" s="23"/>
      <c r="K959" s="23"/>
      <c r="L959" s="23"/>
      <c r="M959" s="23"/>
      <c r="N959" s="23"/>
      <c r="O959" s="23"/>
      <c r="P959" s="23"/>
      <c r="Q959" s="25"/>
      <c r="R959" s="23"/>
      <c r="S959" s="23"/>
      <c r="T959" s="23"/>
      <c r="U959" s="20" t="str">
        <f ca="1">IF(COUNTA(A959:T959)=0,"",IF(OR(A959="",B959="",C959="",E959="",G959="",H959="",J959="",K959="",L959="",M959=""),"Ошибка: заполните обязательные поля",IF(AND(LEFT(H959,7)&lt;&gt;"http://",LEFT(H959,8)&lt;&gt;"https://"),"Ошибка: некорректная ссылка",IF(COUNTIF($H$6:$H$1005,H959)&gt;1,"Ошибка: дубликат URL",IF(E959&gt;TODAY(),"Ошибка: дата публикации в будущем",IF(S959="Да","Ошибка: подтверждённый дубль",IF(S959="","Проверить: отметьте дубль",IF(S959="Нужно проверить","Проверить возможный дубль",IF(TODAY()-E959&gt;30,"Проверить: старше 30 дней",IF(COUNTIFS(#REF!,G959,#REF!,"Готово")=0,"Проверить источник","Готово"))))))))))</f>
        <v/>
      </c>
    </row>
    <row r="960" spans="1:21" ht="25.5" customHeight="1">
      <c r="A960" s="21"/>
      <c r="B960" s="22"/>
      <c r="C960" s="21"/>
      <c r="D960" s="23"/>
      <c r="E960" s="22"/>
      <c r="F960" s="22"/>
      <c r="G960" s="23"/>
      <c r="H960" s="24"/>
      <c r="I960" s="24"/>
      <c r="J960" s="23"/>
      <c r="K960" s="23"/>
      <c r="L960" s="23"/>
      <c r="M960" s="23"/>
      <c r="N960" s="23"/>
      <c r="O960" s="23"/>
      <c r="P960" s="23"/>
      <c r="Q960" s="25"/>
      <c r="R960" s="23"/>
      <c r="S960" s="23"/>
      <c r="T960" s="23"/>
      <c r="U960" s="20" t="str">
        <f ca="1">IF(COUNTA(A960:T960)=0,"",IF(OR(A960="",B960="",C960="",E960="",G960="",H960="",J960="",K960="",L960="",M960=""),"Ошибка: заполните обязательные поля",IF(AND(LEFT(H960,7)&lt;&gt;"http://",LEFT(H960,8)&lt;&gt;"https://"),"Ошибка: некорректная ссылка",IF(COUNTIF($H$6:$H$1005,H960)&gt;1,"Ошибка: дубликат URL",IF(E960&gt;TODAY(),"Ошибка: дата публикации в будущем",IF(S960="Да","Ошибка: подтверждённый дубль",IF(S960="","Проверить: отметьте дубль",IF(S960="Нужно проверить","Проверить возможный дубль",IF(TODAY()-E960&gt;30,"Проверить: старше 30 дней",IF(COUNTIFS(#REF!,G960,#REF!,"Готово")=0,"Проверить источник","Готово"))))))))))</f>
        <v/>
      </c>
    </row>
    <row r="961" spans="1:21" ht="25.5" customHeight="1">
      <c r="A961" s="21"/>
      <c r="B961" s="22"/>
      <c r="C961" s="21"/>
      <c r="D961" s="23"/>
      <c r="E961" s="22"/>
      <c r="F961" s="22"/>
      <c r="G961" s="23"/>
      <c r="H961" s="24"/>
      <c r="I961" s="24"/>
      <c r="J961" s="23"/>
      <c r="K961" s="23"/>
      <c r="L961" s="23"/>
      <c r="M961" s="23"/>
      <c r="N961" s="23"/>
      <c r="O961" s="23"/>
      <c r="P961" s="23"/>
      <c r="Q961" s="25"/>
      <c r="R961" s="23"/>
      <c r="S961" s="23"/>
      <c r="T961" s="23"/>
      <c r="U961" s="20" t="str">
        <f ca="1">IF(COUNTA(A961:T961)=0,"",IF(OR(A961="",B961="",C961="",E961="",G961="",H961="",J961="",K961="",L961="",M961=""),"Ошибка: заполните обязательные поля",IF(AND(LEFT(H961,7)&lt;&gt;"http://",LEFT(H961,8)&lt;&gt;"https://"),"Ошибка: некорректная ссылка",IF(COUNTIF($H$6:$H$1005,H961)&gt;1,"Ошибка: дубликат URL",IF(E961&gt;TODAY(),"Ошибка: дата публикации в будущем",IF(S961="Да","Ошибка: подтверждённый дубль",IF(S961="","Проверить: отметьте дубль",IF(S961="Нужно проверить","Проверить возможный дубль",IF(TODAY()-E961&gt;30,"Проверить: старше 30 дней",IF(COUNTIFS(#REF!,G961,#REF!,"Готово")=0,"Проверить источник","Готово"))))))))))</f>
        <v/>
      </c>
    </row>
    <row r="962" spans="1:21" ht="25.5" customHeight="1">
      <c r="A962" s="21"/>
      <c r="B962" s="22"/>
      <c r="C962" s="21"/>
      <c r="D962" s="23"/>
      <c r="E962" s="22"/>
      <c r="F962" s="22"/>
      <c r="G962" s="23"/>
      <c r="H962" s="24"/>
      <c r="I962" s="24"/>
      <c r="J962" s="23"/>
      <c r="K962" s="23"/>
      <c r="L962" s="23"/>
      <c r="M962" s="23"/>
      <c r="N962" s="23"/>
      <c r="O962" s="23"/>
      <c r="P962" s="23"/>
      <c r="Q962" s="25"/>
      <c r="R962" s="23"/>
      <c r="S962" s="23"/>
      <c r="T962" s="23"/>
      <c r="U962" s="20" t="str">
        <f ca="1">IF(COUNTA(A962:T962)=0,"",IF(OR(A962="",B962="",C962="",E962="",G962="",H962="",J962="",K962="",L962="",M962=""),"Ошибка: заполните обязательные поля",IF(AND(LEFT(H962,7)&lt;&gt;"http://",LEFT(H962,8)&lt;&gt;"https://"),"Ошибка: некорректная ссылка",IF(COUNTIF($H$6:$H$1005,H962)&gt;1,"Ошибка: дубликат URL",IF(E962&gt;TODAY(),"Ошибка: дата публикации в будущем",IF(S962="Да","Ошибка: подтверждённый дубль",IF(S962="","Проверить: отметьте дубль",IF(S962="Нужно проверить","Проверить возможный дубль",IF(TODAY()-E962&gt;30,"Проверить: старше 30 дней",IF(COUNTIFS(#REF!,G962,#REF!,"Готово")=0,"Проверить источник","Готово"))))))))))</f>
        <v/>
      </c>
    </row>
    <row r="963" spans="1:21" ht="25.5" customHeight="1">
      <c r="A963" s="21"/>
      <c r="B963" s="22"/>
      <c r="C963" s="21"/>
      <c r="D963" s="23"/>
      <c r="E963" s="22"/>
      <c r="F963" s="22"/>
      <c r="G963" s="23"/>
      <c r="H963" s="24"/>
      <c r="I963" s="24"/>
      <c r="J963" s="23"/>
      <c r="K963" s="23"/>
      <c r="L963" s="23"/>
      <c r="M963" s="23"/>
      <c r="N963" s="23"/>
      <c r="O963" s="23"/>
      <c r="P963" s="23"/>
      <c r="Q963" s="25"/>
      <c r="R963" s="23"/>
      <c r="S963" s="23"/>
      <c r="T963" s="23"/>
      <c r="U963" s="20" t="str">
        <f ca="1">IF(COUNTA(A963:T963)=0,"",IF(OR(A963="",B963="",C963="",E963="",G963="",H963="",J963="",K963="",L963="",M963=""),"Ошибка: заполните обязательные поля",IF(AND(LEFT(H963,7)&lt;&gt;"http://",LEFT(H963,8)&lt;&gt;"https://"),"Ошибка: некорректная ссылка",IF(COUNTIF($H$6:$H$1005,H963)&gt;1,"Ошибка: дубликат URL",IF(E963&gt;TODAY(),"Ошибка: дата публикации в будущем",IF(S963="Да","Ошибка: подтверждённый дубль",IF(S963="","Проверить: отметьте дубль",IF(S963="Нужно проверить","Проверить возможный дубль",IF(TODAY()-E963&gt;30,"Проверить: старше 30 дней",IF(COUNTIFS(#REF!,G963,#REF!,"Готово")=0,"Проверить источник","Готово"))))))))))</f>
        <v/>
      </c>
    </row>
    <row r="964" spans="1:21" ht="25.5" customHeight="1">
      <c r="A964" s="21"/>
      <c r="B964" s="22"/>
      <c r="C964" s="21"/>
      <c r="D964" s="23"/>
      <c r="E964" s="22"/>
      <c r="F964" s="22"/>
      <c r="G964" s="23"/>
      <c r="H964" s="24"/>
      <c r="I964" s="24"/>
      <c r="J964" s="23"/>
      <c r="K964" s="23"/>
      <c r="L964" s="23"/>
      <c r="M964" s="23"/>
      <c r="N964" s="23"/>
      <c r="O964" s="23"/>
      <c r="P964" s="23"/>
      <c r="Q964" s="25"/>
      <c r="R964" s="23"/>
      <c r="S964" s="23"/>
      <c r="T964" s="23"/>
      <c r="U964" s="20" t="str">
        <f ca="1">IF(COUNTA(A964:T964)=0,"",IF(OR(A964="",B964="",C964="",E964="",G964="",H964="",J964="",K964="",L964="",M964=""),"Ошибка: заполните обязательные поля",IF(AND(LEFT(H964,7)&lt;&gt;"http://",LEFT(H964,8)&lt;&gt;"https://"),"Ошибка: некорректная ссылка",IF(COUNTIF($H$6:$H$1005,H964)&gt;1,"Ошибка: дубликат URL",IF(E964&gt;TODAY(),"Ошибка: дата публикации в будущем",IF(S964="Да","Ошибка: подтверждённый дубль",IF(S964="","Проверить: отметьте дубль",IF(S964="Нужно проверить","Проверить возможный дубль",IF(TODAY()-E964&gt;30,"Проверить: старше 30 дней",IF(COUNTIFS(#REF!,G964,#REF!,"Готово")=0,"Проверить источник","Готово"))))))))))</f>
        <v/>
      </c>
    </row>
    <row r="965" spans="1:21" ht="25.5" customHeight="1">
      <c r="A965" s="21"/>
      <c r="B965" s="22"/>
      <c r="C965" s="21"/>
      <c r="D965" s="23"/>
      <c r="E965" s="22"/>
      <c r="F965" s="22"/>
      <c r="G965" s="23"/>
      <c r="H965" s="24"/>
      <c r="I965" s="24"/>
      <c r="J965" s="23"/>
      <c r="K965" s="23"/>
      <c r="L965" s="23"/>
      <c r="M965" s="23"/>
      <c r="N965" s="23"/>
      <c r="O965" s="23"/>
      <c r="P965" s="23"/>
      <c r="Q965" s="25"/>
      <c r="R965" s="23"/>
      <c r="S965" s="23"/>
      <c r="T965" s="23"/>
      <c r="U965" s="20" t="str">
        <f ca="1">IF(COUNTA(A965:T965)=0,"",IF(OR(A965="",B965="",C965="",E965="",G965="",H965="",J965="",K965="",L965="",M965=""),"Ошибка: заполните обязательные поля",IF(AND(LEFT(H965,7)&lt;&gt;"http://",LEFT(H965,8)&lt;&gt;"https://"),"Ошибка: некорректная ссылка",IF(COUNTIF($H$6:$H$1005,H965)&gt;1,"Ошибка: дубликат URL",IF(E965&gt;TODAY(),"Ошибка: дата публикации в будущем",IF(S965="Да","Ошибка: подтверждённый дубль",IF(S965="","Проверить: отметьте дубль",IF(S965="Нужно проверить","Проверить возможный дубль",IF(TODAY()-E965&gt;30,"Проверить: старше 30 дней",IF(COUNTIFS(#REF!,G965,#REF!,"Готово")=0,"Проверить источник","Готово"))))))))))</f>
        <v/>
      </c>
    </row>
    <row r="966" spans="1:21" ht="25.5" customHeight="1">
      <c r="A966" s="21"/>
      <c r="B966" s="22"/>
      <c r="C966" s="21"/>
      <c r="D966" s="23"/>
      <c r="E966" s="22"/>
      <c r="F966" s="22"/>
      <c r="G966" s="23"/>
      <c r="H966" s="24"/>
      <c r="I966" s="24"/>
      <c r="J966" s="23"/>
      <c r="K966" s="23"/>
      <c r="L966" s="23"/>
      <c r="M966" s="23"/>
      <c r="N966" s="23"/>
      <c r="O966" s="23"/>
      <c r="P966" s="23"/>
      <c r="Q966" s="25"/>
      <c r="R966" s="23"/>
      <c r="S966" s="23"/>
      <c r="T966" s="23"/>
      <c r="U966" s="20" t="str">
        <f ca="1">IF(COUNTA(A966:T966)=0,"",IF(OR(A966="",B966="",C966="",E966="",G966="",H966="",J966="",K966="",L966="",M966=""),"Ошибка: заполните обязательные поля",IF(AND(LEFT(H966,7)&lt;&gt;"http://",LEFT(H966,8)&lt;&gt;"https://"),"Ошибка: некорректная ссылка",IF(COUNTIF($H$6:$H$1005,H966)&gt;1,"Ошибка: дубликат URL",IF(E966&gt;TODAY(),"Ошибка: дата публикации в будущем",IF(S966="Да","Ошибка: подтверждённый дубль",IF(S966="","Проверить: отметьте дубль",IF(S966="Нужно проверить","Проверить возможный дубль",IF(TODAY()-E966&gt;30,"Проверить: старше 30 дней",IF(COUNTIFS(#REF!,G966,#REF!,"Готово")=0,"Проверить источник","Готово"))))))))))</f>
        <v/>
      </c>
    </row>
    <row r="967" spans="1:21" ht="25.5" customHeight="1">
      <c r="A967" s="21"/>
      <c r="B967" s="22"/>
      <c r="C967" s="21"/>
      <c r="D967" s="23"/>
      <c r="E967" s="22"/>
      <c r="F967" s="22"/>
      <c r="G967" s="23"/>
      <c r="H967" s="24"/>
      <c r="I967" s="24"/>
      <c r="J967" s="23"/>
      <c r="K967" s="23"/>
      <c r="L967" s="23"/>
      <c r="M967" s="23"/>
      <c r="N967" s="23"/>
      <c r="O967" s="23"/>
      <c r="P967" s="23"/>
      <c r="Q967" s="25"/>
      <c r="R967" s="23"/>
      <c r="S967" s="23"/>
      <c r="T967" s="23"/>
      <c r="U967" s="20" t="str">
        <f ca="1">IF(COUNTA(A967:T967)=0,"",IF(OR(A967="",B967="",C967="",E967="",G967="",H967="",J967="",K967="",L967="",M967=""),"Ошибка: заполните обязательные поля",IF(AND(LEFT(H967,7)&lt;&gt;"http://",LEFT(H967,8)&lt;&gt;"https://"),"Ошибка: некорректная ссылка",IF(COUNTIF($H$6:$H$1005,H967)&gt;1,"Ошибка: дубликат URL",IF(E967&gt;TODAY(),"Ошибка: дата публикации в будущем",IF(S967="Да","Ошибка: подтверждённый дубль",IF(S967="","Проверить: отметьте дубль",IF(S967="Нужно проверить","Проверить возможный дубль",IF(TODAY()-E967&gt;30,"Проверить: старше 30 дней",IF(COUNTIFS(#REF!,G967,#REF!,"Готово")=0,"Проверить источник","Готово"))))))))))</f>
        <v/>
      </c>
    </row>
    <row r="968" spans="1:21" ht="25.5" customHeight="1">
      <c r="A968" s="21"/>
      <c r="B968" s="22"/>
      <c r="C968" s="21"/>
      <c r="D968" s="23"/>
      <c r="E968" s="22"/>
      <c r="F968" s="22"/>
      <c r="G968" s="23"/>
      <c r="H968" s="24"/>
      <c r="I968" s="24"/>
      <c r="J968" s="23"/>
      <c r="K968" s="23"/>
      <c r="L968" s="23"/>
      <c r="M968" s="23"/>
      <c r="N968" s="23"/>
      <c r="O968" s="23"/>
      <c r="P968" s="23"/>
      <c r="Q968" s="25"/>
      <c r="R968" s="23"/>
      <c r="S968" s="23"/>
      <c r="T968" s="23"/>
      <c r="U968" s="20" t="str">
        <f ca="1">IF(COUNTA(A968:T968)=0,"",IF(OR(A968="",B968="",C968="",E968="",G968="",H968="",J968="",K968="",L968="",M968=""),"Ошибка: заполните обязательные поля",IF(AND(LEFT(H968,7)&lt;&gt;"http://",LEFT(H968,8)&lt;&gt;"https://"),"Ошибка: некорректная ссылка",IF(COUNTIF($H$6:$H$1005,H968)&gt;1,"Ошибка: дубликат URL",IF(E968&gt;TODAY(),"Ошибка: дата публикации в будущем",IF(S968="Да","Ошибка: подтверждённый дубль",IF(S968="","Проверить: отметьте дубль",IF(S968="Нужно проверить","Проверить возможный дубль",IF(TODAY()-E968&gt;30,"Проверить: старше 30 дней",IF(COUNTIFS(#REF!,G968,#REF!,"Готово")=0,"Проверить источник","Готово"))))))))))</f>
        <v/>
      </c>
    </row>
    <row r="969" spans="1:21" ht="25.5" customHeight="1">
      <c r="A969" s="21"/>
      <c r="B969" s="22"/>
      <c r="C969" s="21"/>
      <c r="D969" s="23"/>
      <c r="E969" s="22"/>
      <c r="F969" s="22"/>
      <c r="G969" s="23"/>
      <c r="H969" s="24"/>
      <c r="I969" s="24"/>
      <c r="J969" s="23"/>
      <c r="K969" s="23"/>
      <c r="L969" s="23"/>
      <c r="M969" s="23"/>
      <c r="N969" s="23"/>
      <c r="O969" s="23"/>
      <c r="P969" s="23"/>
      <c r="Q969" s="25"/>
      <c r="R969" s="23"/>
      <c r="S969" s="23"/>
      <c r="T969" s="23"/>
      <c r="U969" s="20" t="str">
        <f ca="1">IF(COUNTA(A969:T969)=0,"",IF(OR(A969="",B969="",C969="",E969="",G969="",H969="",J969="",K969="",L969="",M969=""),"Ошибка: заполните обязательные поля",IF(AND(LEFT(H969,7)&lt;&gt;"http://",LEFT(H969,8)&lt;&gt;"https://"),"Ошибка: некорректная ссылка",IF(COUNTIF($H$6:$H$1005,H969)&gt;1,"Ошибка: дубликат URL",IF(E969&gt;TODAY(),"Ошибка: дата публикации в будущем",IF(S969="Да","Ошибка: подтверждённый дубль",IF(S969="","Проверить: отметьте дубль",IF(S969="Нужно проверить","Проверить возможный дубль",IF(TODAY()-E969&gt;30,"Проверить: старше 30 дней",IF(COUNTIFS(#REF!,G969,#REF!,"Готово")=0,"Проверить источник","Готово"))))))))))</f>
        <v/>
      </c>
    </row>
    <row r="970" spans="1:21" ht="25.5" customHeight="1">
      <c r="A970" s="21"/>
      <c r="B970" s="22"/>
      <c r="C970" s="21"/>
      <c r="D970" s="23"/>
      <c r="E970" s="22"/>
      <c r="F970" s="22"/>
      <c r="G970" s="23"/>
      <c r="H970" s="24"/>
      <c r="I970" s="24"/>
      <c r="J970" s="23"/>
      <c r="K970" s="23"/>
      <c r="L970" s="23"/>
      <c r="M970" s="23"/>
      <c r="N970" s="23"/>
      <c r="O970" s="23"/>
      <c r="P970" s="23"/>
      <c r="Q970" s="25"/>
      <c r="R970" s="23"/>
      <c r="S970" s="23"/>
      <c r="T970" s="23"/>
      <c r="U970" s="20" t="str">
        <f ca="1">IF(COUNTA(A970:T970)=0,"",IF(OR(A970="",B970="",C970="",E970="",G970="",H970="",J970="",K970="",L970="",M970=""),"Ошибка: заполните обязательные поля",IF(AND(LEFT(H970,7)&lt;&gt;"http://",LEFT(H970,8)&lt;&gt;"https://"),"Ошибка: некорректная ссылка",IF(COUNTIF($H$6:$H$1005,H970)&gt;1,"Ошибка: дубликат URL",IF(E970&gt;TODAY(),"Ошибка: дата публикации в будущем",IF(S970="Да","Ошибка: подтверждённый дубль",IF(S970="","Проверить: отметьте дубль",IF(S970="Нужно проверить","Проверить возможный дубль",IF(TODAY()-E970&gt;30,"Проверить: старше 30 дней",IF(COUNTIFS(#REF!,G970,#REF!,"Готово")=0,"Проверить источник","Готово"))))))))))</f>
        <v/>
      </c>
    </row>
    <row r="971" spans="1:21" ht="25.5" customHeight="1">
      <c r="A971" s="21"/>
      <c r="B971" s="22"/>
      <c r="C971" s="21"/>
      <c r="D971" s="23"/>
      <c r="E971" s="22"/>
      <c r="F971" s="22"/>
      <c r="G971" s="23"/>
      <c r="H971" s="24"/>
      <c r="I971" s="24"/>
      <c r="J971" s="23"/>
      <c r="K971" s="23"/>
      <c r="L971" s="23"/>
      <c r="M971" s="23"/>
      <c r="N971" s="23"/>
      <c r="O971" s="23"/>
      <c r="P971" s="23"/>
      <c r="Q971" s="25"/>
      <c r="R971" s="23"/>
      <c r="S971" s="23"/>
      <c r="T971" s="23"/>
      <c r="U971" s="20" t="str">
        <f ca="1">IF(COUNTA(A971:T971)=0,"",IF(OR(A971="",B971="",C971="",E971="",G971="",H971="",J971="",K971="",L971="",M971=""),"Ошибка: заполните обязательные поля",IF(AND(LEFT(H971,7)&lt;&gt;"http://",LEFT(H971,8)&lt;&gt;"https://"),"Ошибка: некорректная ссылка",IF(COUNTIF($H$6:$H$1005,H971)&gt;1,"Ошибка: дубликат URL",IF(E971&gt;TODAY(),"Ошибка: дата публикации в будущем",IF(S971="Да","Ошибка: подтверждённый дубль",IF(S971="","Проверить: отметьте дубль",IF(S971="Нужно проверить","Проверить возможный дубль",IF(TODAY()-E971&gt;30,"Проверить: старше 30 дней",IF(COUNTIFS(#REF!,G971,#REF!,"Готово")=0,"Проверить источник","Готово"))))))))))</f>
        <v/>
      </c>
    </row>
    <row r="972" spans="1:21" ht="25.5" customHeight="1">
      <c r="A972" s="21"/>
      <c r="B972" s="22"/>
      <c r="C972" s="21"/>
      <c r="D972" s="23"/>
      <c r="E972" s="22"/>
      <c r="F972" s="22"/>
      <c r="G972" s="23"/>
      <c r="H972" s="24"/>
      <c r="I972" s="24"/>
      <c r="J972" s="23"/>
      <c r="K972" s="23"/>
      <c r="L972" s="23"/>
      <c r="M972" s="23"/>
      <c r="N972" s="23"/>
      <c r="O972" s="23"/>
      <c r="P972" s="23"/>
      <c r="Q972" s="25"/>
      <c r="R972" s="23"/>
      <c r="S972" s="23"/>
      <c r="T972" s="23"/>
      <c r="U972" s="20" t="str">
        <f ca="1">IF(COUNTA(A972:T972)=0,"",IF(OR(A972="",B972="",C972="",E972="",G972="",H972="",J972="",K972="",L972="",M972=""),"Ошибка: заполните обязательные поля",IF(AND(LEFT(H972,7)&lt;&gt;"http://",LEFT(H972,8)&lt;&gt;"https://"),"Ошибка: некорректная ссылка",IF(COUNTIF($H$6:$H$1005,H972)&gt;1,"Ошибка: дубликат URL",IF(E972&gt;TODAY(),"Ошибка: дата публикации в будущем",IF(S972="Да","Ошибка: подтверждённый дубль",IF(S972="","Проверить: отметьте дубль",IF(S972="Нужно проверить","Проверить возможный дубль",IF(TODAY()-E972&gt;30,"Проверить: старше 30 дней",IF(COUNTIFS(#REF!,G972,#REF!,"Готово")=0,"Проверить источник","Готово"))))))))))</f>
        <v/>
      </c>
    </row>
    <row r="973" spans="1:21" ht="25.5" customHeight="1">
      <c r="A973" s="21"/>
      <c r="B973" s="22"/>
      <c r="C973" s="21"/>
      <c r="D973" s="23"/>
      <c r="E973" s="22"/>
      <c r="F973" s="22"/>
      <c r="G973" s="23"/>
      <c r="H973" s="24"/>
      <c r="I973" s="24"/>
      <c r="J973" s="23"/>
      <c r="K973" s="23"/>
      <c r="L973" s="23"/>
      <c r="M973" s="23"/>
      <c r="N973" s="23"/>
      <c r="O973" s="23"/>
      <c r="P973" s="23"/>
      <c r="Q973" s="25"/>
      <c r="R973" s="23"/>
      <c r="S973" s="23"/>
      <c r="T973" s="23"/>
      <c r="U973" s="20" t="str">
        <f ca="1">IF(COUNTA(A973:T973)=0,"",IF(OR(A973="",B973="",C973="",E973="",G973="",H973="",J973="",K973="",L973="",M973=""),"Ошибка: заполните обязательные поля",IF(AND(LEFT(H973,7)&lt;&gt;"http://",LEFT(H973,8)&lt;&gt;"https://"),"Ошибка: некорректная ссылка",IF(COUNTIF($H$6:$H$1005,H973)&gt;1,"Ошибка: дубликат URL",IF(E973&gt;TODAY(),"Ошибка: дата публикации в будущем",IF(S973="Да","Ошибка: подтверждённый дубль",IF(S973="","Проверить: отметьте дубль",IF(S973="Нужно проверить","Проверить возможный дубль",IF(TODAY()-E973&gt;30,"Проверить: старше 30 дней",IF(COUNTIFS(#REF!,G973,#REF!,"Готово")=0,"Проверить источник","Готово"))))))))))</f>
        <v/>
      </c>
    </row>
    <row r="974" spans="1:21" ht="25.5" customHeight="1">
      <c r="A974" s="21"/>
      <c r="B974" s="22"/>
      <c r="C974" s="21"/>
      <c r="D974" s="23"/>
      <c r="E974" s="22"/>
      <c r="F974" s="22"/>
      <c r="G974" s="23"/>
      <c r="H974" s="24"/>
      <c r="I974" s="24"/>
      <c r="J974" s="23"/>
      <c r="K974" s="23"/>
      <c r="L974" s="23"/>
      <c r="M974" s="23"/>
      <c r="N974" s="23"/>
      <c r="O974" s="23"/>
      <c r="P974" s="23"/>
      <c r="Q974" s="25"/>
      <c r="R974" s="23"/>
      <c r="S974" s="23"/>
      <c r="T974" s="23"/>
      <c r="U974" s="20" t="str">
        <f ca="1">IF(COUNTA(A974:T974)=0,"",IF(OR(A974="",B974="",C974="",E974="",G974="",H974="",J974="",K974="",L974="",M974=""),"Ошибка: заполните обязательные поля",IF(AND(LEFT(H974,7)&lt;&gt;"http://",LEFT(H974,8)&lt;&gt;"https://"),"Ошибка: некорректная ссылка",IF(COUNTIF($H$6:$H$1005,H974)&gt;1,"Ошибка: дубликат URL",IF(E974&gt;TODAY(),"Ошибка: дата публикации в будущем",IF(S974="Да","Ошибка: подтверждённый дубль",IF(S974="","Проверить: отметьте дубль",IF(S974="Нужно проверить","Проверить возможный дубль",IF(TODAY()-E974&gt;30,"Проверить: старше 30 дней",IF(COUNTIFS(#REF!,G974,#REF!,"Готово")=0,"Проверить источник","Готово"))))))))))</f>
        <v/>
      </c>
    </row>
    <row r="975" spans="1:21" ht="25.5" customHeight="1">
      <c r="A975" s="21"/>
      <c r="B975" s="22"/>
      <c r="C975" s="21"/>
      <c r="D975" s="23"/>
      <c r="E975" s="22"/>
      <c r="F975" s="22"/>
      <c r="G975" s="23"/>
      <c r="H975" s="24"/>
      <c r="I975" s="24"/>
      <c r="J975" s="23"/>
      <c r="K975" s="23"/>
      <c r="L975" s="23"/>
      <c r="M975" s="23"/>
      <c r="N975" s="23"/>
      <c r="O975" s="23"/>
      <c r="P975" s="23"/>
      <c r="Q975" s="25"/>
      <c r="R975" s="23"/>
      <c r="S975" s="23"/>
      <c r="T975" s="23"/>
      <c r="U975" s="20" t="str">
        <f ca="1">IF(COUNTA(A975:T975)=0,"",IF(OR(A975="",B975="",C975="",E975="",G975="",H975="",J975="",K975="",L975="",M975=""),"Ошибка: заполните обязательные поля",IF(AND(LEFT(H975,7)&lt;&gt;"http://",LEFT(H975,8)&lt;&gt;"https://"),"Ошибка: некорректная ссылка",IF(COUNTIF($H$6:$H$1005,H975)&gt;1,"Ошибка: дубликат URL",IF(E975&gt;TODAY(),"Ошибка: дата публикации в будущем",IF(S975="Да","Ошибка: подтверждённый дубль",IF(S975="","Проверить: отметьте дубль",IF(S975="Нужно проверить","Проверить возможный дубль",IF(TODAY()-E975&gt;30,"Проверить: старше 30 дней",IF(COUNTIFS(#REF!,G975,#REF!,"Готово")=0,"Проверить источник","Готово"))))))))))</f>
        <v/>
      </c>
    </row>
    <row r="976" spans="1:21" ht="25.5" customHeight="1">
      <c r="A976" s="21"/>
      <c r="B976" s="22"/>
      <c r="C976" s="21"/>
      <c r="D976" s="23"/>
      <c r="E976" s="22"/>
      <c r="F976" s="22"/>
      <c r="G976" s="23"/>
      <c r="H976" s="24"/>
      <c r="I976" s="24"/>
      <c r="J976" s="23"/>
      <c r="K976" s="23"/>
      <c r="L976" s="23"/>
      <c r="M976" s="23"/>
      <c r="N976" s="23"/>
      <c r="O976" s="23"/>
      <c r="P976" s="23"/>
      <c r="Q976" s="25"/>
      <c r="R976" s="23"/>
      <c r="S976" s="23"/>
      <c r="T976" s="23"/>
      <c r="U976" s="20" t="str">
        <f ca="1">IF(COUNTA(A976:T976)=0,"",IF(OR(A976="",B976="",C976="",E976="",G976="",H976="",J976="",K976="",L976="",M976=""),"Ошибка: заполните обязательные поля",IF(AND(LEFT(H976,7)&lt;&gt;"http://",LEFT(H976,8)&lt;&gt;"https://"),"Ошибка: некорректная ссылка",IF(COUNTIF($H$6:$H$1005,H976)&gt;1,"Ошибка: дубликат URL",IF(E976&gt;TODAY(),"Ошибка: дата публикации в будущем",IF(S976="Да","Ошибка: подтверждённый дубль",IF(S976="","Проверить: отметьте дубль",IF(S976="Нужно проверить","Проверить возможный дубль",IF(TODAY()-E976&gt;30,"Проверить: старше 30 дней",IF(COUNTIFS(#REF!,G976,#REF!,"Готово")=0,"Проверить источник","Готово"))))))))))</f>
        <v/>
      </c>
    </row>
    <row r="977" spans="1:21" ht="25.5" customHeight="1">
      <c r="A977" s="21"/>
      <c r="B977" s="22"/>
      <c r="C977" s="21"/>
      <c r="D977" s="23"/>
      <c r="E977" s="22"/>
      <c r="F977" s="22"/>
      <c r="G977" s="23"/>
      <c r="H977" s="24"/>
      <c r="I977" s="24"/>
      <c r="J977" s="23"/>
      <c r="K977" s="23"/>
      <c r="L977" s="23"/>
      <c r="M977" s="23"/>
      <c r="N977" s="23"/>
      <c r="O977" s="23"/>
      <c r="P977" s="23"/>
      <c r="Q977" s="25"/>
      <c r="R977" s="23"/>
      <c r="S977" s="23"/>
      <c r="T977" s="23"/>
      <c r="U977" s="20" t="str">
        <f ca="1">IF(COUNTA(A977:T977)=0,"",IF(OR(A977="",B977="",C977="",E977="",G977="",H977="",J977="",K977="",L977="",M977=""),"Ошибка: заполните обязательные поля",IF(AND(LEFT(H977,7)&lt;&gt;"http://",LEFT(H977,8)&lt;&gt;"https://"),"Ошибка: некорректная ссылка",IF(COUNTIF($H$6:$H$1005,H977)&gt;1,"Ошибка: дубликат URL",IF(E977&gt;TODAY(),"Ошибка: дата публикации в будущем",IF(S977="Да","Ошибка: подтверждённый дубль",IF(S977="","Проверить: отметьте дубль",IF(S977="Нужно проверить","Проверить возможный дубль",IF(TODAY()-E977&gt;30,"Проверить: старше 30 дней",IF(COUNTIFS(#REF!,G977,#REF!,"Готово")=0,"Проверить источник","Готово"))))))))))</f>
        <v/>
      </c>
    </row>
    <row r="978" spans="1:21" ht="25.5" customHeight="1">
      <c r="A978" s="21"/>
      <c r="B978" s="22"/>
      <c r="C978" s="21"/>
      <c r="D978" s="23"/>
      <c r="E978" s="22"/>
      <c r="F978" s="22"/>
      <c r="G978" s="23"/>
      <c r="H978" s="24"/>
      <c r="I978" s="24"/>
      <c r="J978" s="23"/>
      <c r="K978" s="23"/>
      <c r="L978" s="23"/>
      <c r="M978" s="23"/>
      <c r="N978" s="23"/>
      <c r="O978" s="23"/>
      <c r="P978" s="23"/>
      <c r="Q978" s="25"/>
      <c r="R978" s="23"/>
      <c r="S978" s="23"/>
      <c r="T978" s="23"/>
      <c r="U978" s="20" t="str">
        <f ca="1">IF(COUNTA(A978:T978)=0,"",IF(OR(A978="",B978="",C978="",E978="",G978="",H978="",J978="",K978="",L978="",M978=""),"Ошибка: заполните обязательные поля",IF(AND(LEFT(H978,7)&lt;&gt;"http://",LEFT(H978,8)&lt;&gt;"https://"),"Ошибка: некорректная ссылка",IF(COUNTIF($H$6:$H$1005,H978)&gt;1,"Ошибка: дубликат URL",IF(E978&gt;TODAY(),"Ошибка: дата публикации в будущем",IF(S978="Да","Ошибка: подтверждённый дубль",IF(S978="","Проверить: отметьте дубль",IF(S978="Нужно проверить","Проверить возможный дубль",IF(TODAY()-E978&gt;30,"Проверить: старше 30 дней",IF(COUNTIFS(#REF!,G978,#REF!,"Готово")=0,"Проверить источник","Готово"))))))))))</f>
        <v/>
      </c>
    </row>
    <row r="979" spans="1:21" ht="25.5" customHeight="1">
      <c r="A979" s="21"/>
      <c r="B979" s="22"/>
      <c r="C979" s="21"/>
      <c r="D979" s="23"/>
      <c r="E979" s="22"/>
      <c r="F979" s="22"/>
      <c r="G979" s="23"/>
      <c r="H979" s="24"/>
      <c r="I979" s="24"/>
      <c r="J979" s="23"/>
      <c r="K979" s="23"/>
      <c r="L979" s="23"/>
      <c r="M979" s="23"/>
      <c r="N979" s="23"/>
      <c r="O979" s="23"/>
      <c r="P979" s="23"/>
      <c r="Q979" s="25"/>
      <c r="R979" s="23"/>
      <c r="S979" s="23"/>
      <c r="T979" s="23"/>
      <c r="U979" s="20" t="str">
        <f ca="1">IF(COUNTA(A979:T979)=0,"",IF(OR(A979="",B979="",C979="",E979="",G979="",H979="",J979="",K979="",L979="",M979=""),"Ошибка: заполните обязательные поля",IF(AND(LEFT(H979,7)&lt;&gt;"http://",LEFT(H979,8)&lt;&gt;"https://"),"Ошибка: некорректная ссылка",IF(COUNTIF($H$6:$H$1005,H979)&gt;1,"Ошибка: дубликат URL",IF(E979&gt;TODAY(),"Ошибка: дата публикации в будущем",IF(S979="Да","Ошибка: подтверждённый дубль",IF(S979="","Проверить: отметьте дубль",IF(S979="Нужно проверить","Проверить возможный дубль",IF(TODAY()-E979&gt;30,"Проверить: старше 30 дней",IF(COUNTIFS(#REF!,G979,#REF!,"Готово")=0,"Проверить источник","Готово"))))))))))</f>
        <v/>
      </c>
    </row>
    <row r="980" spans="1:21" ht="25.5" customHeight="1">
      <c r="A980" s="21"/>
      <c r="B980" s="22"/>
      <c r="C980" s="21"/>
      <c r="D980" s="23"/>
      <c r="E980" s="22"/>
      <c r="F980" s="22"/>
      <c r="G980" s="23"/>
      <c r="H980" s="24"/>
      <c r="I980" s="24"/>
      <c r="J980" s="23"/>
      <c r="K980" s="23"/>
      <c r="L980" s="23"/>
      <c r="M980" s="23"/>
      <c r="N980" s="23"/>
      <c r="O980" s="23"/>
      <c r="P980" s="23"/>
      <c r="Q980" s="25"/>
      <c r="R980" s="23"/>
      <c r="S980" s="23"/>
      <c r="T980" s="23"/>
      <c r="U980" s="20" t="str">
        <f ca="1">IF(COUNTA(A980:T980)=0,"",IF(OR(A980="",B980="",C980="",E980="",G980="",H980="",J980="",K980="",L980="",M980=""),"Ошибка: заполните обязательные поля",IF(AND(LEFT(H980,7)&lt;&gt;"http://",LEFT(H980,8)&lt;&gt;"https://"),"Ошибка: некорректная ссылка",IF(COUNTIF($H$6:$H$1005,H980)&gt;1,"Ошибка: дубликат URL",IF(E980&gt;TODAY(),"Ошибка: дата публикации в будущем",IF(S980="Да","Ошибка: подтверждённый дубль",IF(S980="","Проверить: отметьте дубль",IF(S980="Нужно проверить","Проверить возможный дубль",IF(TODAY()-E980&gt;30,"Проверить: старше 30 дней",IF(COUNTIFS(#REF!,G980,#REF!,"Готово")=0,"Проверить источник","Готово"))))))))))</f>
        <v/>
      </c>
    </row>
    <row r="981" spans="1:21" ht="25.5" customHeight="1">
      <c r="A981" s="21"/>
      <c r="B981" s="22"/>
      <c r="C981" s="21"/>
      <c r="D981" s="23"/>
      <c r="E981" s="22"/>
      <c r="F981" s="22"/>
      <c r="G981" s="23"/>
      <c r="H981" s="24"/>
      <c r="I981" s="24"/>
      <c r="J981" s="23"/>
      <c r="K981" s="23"/>
      <c r="L981" s="23"/>
      <c r="M981" s="23"/>
      <c r="N981" s="23"/>
      <c r="O981" s="23"/>
      <c r="P981" s="23"/>
      <c r="Q981" s="25"/>
      <c r="R981" s="23"/>
      <c r="S981" s="23"/>
      <c r="T981" s="23"/>
      <c r="U981" s="20" t="str">
        <f ca="1">IF(COUNTA(A981:T981)=0,"",IF(OR(A981="",B981="",C981="",E981="",G981="",H981="",J981="",K981="",L981="",M981=""),"Ошибка: заполните обязательные поля",IF(AND(LEFT(H981,7)&lt;&gt;"http://",LEFT(H981,8)&lt;&gt;"https://"),"Ошибка: некорректная ссылка",IF(COUNTIF($H$6:$H$1005,H981)&gt;1,"Ошибка: дубликат URL",IF(E981&gt;TODAY(),"Ошибка: дата публикации в будущем",IF(S981="Да","Ошибка: подтверждённый дубль",IF(S981="","Проверить: отметьте дубль",IF(S981="Нужно проверить","Проверить возможный дубль",IF(TODAY()-E981&gt;30,"Проверить: старше 30 дней",IF(COUNTIFS(#REF!,G981,#REF!,"Готово")=0,"Проверить источник","Готово"))))))))))</f>
        <v/>
      </c>
    </row>
    <row r="982" spans="1:21" ht="25.5" customHeight="1">
      <c r="A982" s="21"/>
      <c r="B982" s="22"/>
      <c r="C982" s="21"/>
      <c r="D982" s="23"/>
      <c r="E982" s="22"/>
      <c r="F982" s="22"/>
      <c r="G982" s="23"/>
      <c r="H982" s="24"/>
      <c r="I982" s="24"/>
      <c r="J982" s="23"/>
      <c r="K982" s="23"/>
      <c r="L982" s="23"/>
      <c r="M982" s="23"/>
      <c r="N982" s="23"/>
      <c r="O982" s="23"/>
      <c r="P982" s="23"/>
      <c r="Q982" s="25"/>
      <c r="R982" s="23"/>
      <c r="S982" s="23"/>
      <c r="T982" s="23"/>
      <c r="U982" s="20" t="str">
        <f ca="1">IF(COUNTA(A982:T982)=0,"",IF(OR(A982="",B982="",C982="",E982="",G982="",H982="",J982="",K982="",L982="",M982=""),"Ошибка: заполните обязательные поля",IF(AND(LEFT(H982,7)&lt;&gt;"http://",LEFT(H982,8)&lt;&gt;"https://"),"Ошибка: некорректная ссылка",IF(COUNTIF($H$6:$H$1005,H982)&gt;1,"Ошибка: дубликат URL",IF(E982&gt;TODAY(),"Ошибка: дата публикации в будущем",IF(S982="Да","Ошибка: подтверждённый дубль",IF(S982="","Проверить: отметьте дубль",IF(S982="Нужно проверить","Проверить возможный дубль",IF(TODAY()-E982&gt;30,"Проверить: старше 30 дней",IF(COUNTIFS(#REF!,G982,#REF!,"Готово")=0,"Проверить источник","Готово"))))))))))</f>
        <v/>
      </c>
    </row>
    <row r="983" spans="1:21" ht="25.5" customHeight="1">
      <c r="A983" s="21"/>
      <c r="B983" s="22"/>
      <c r="C983" s="21"/>
      <c r="D983" s="23"/>
      <c r="E983" s="22"/>
      <c r="F983" s="22"/>
      <c r="G983" s="23"/>
      <c r="H983" s="24"/>
      <c r="I983" s="24"/>
      <c r="J983" s="23"/>
      <c r="K983" s="23"/>
      <c r="L983" s="23"/>
      <c r="M983" s="23"/>
      <c r="N983" s="23"/>
      <c r="O983" s="23"/>
      <c r="P983" s="23"/>
      <c r="Q983" s="25"/>
      <c r="R983" s="23"/>
      <c r="S983" s="23"/>
      <c r="T983" s="23"/>
      <c r="U983" s="20" t="str">
        <f ca="1">IF(COUNTA(A983:T983)=0,"",IF(OR(A983="",B983="",C983="",E983="",G983="",H983="",J983="",K983="",L983="",M983=""),"Ошибка: заполните обязательные поля",IF(AND(LEFT(H983,7)&lt;&gt;"http://",LEFT(H983,8)&lt;&gt;"https://"),"Ошибка: некорректная ссылка",IF(COUNTIF($H$6:$H$1005,H983)&gt;1,"Ошибка: дубликат URL",IF(E983&gt;TODAY(),"Ошибка: дата публикации в будущем",IF(S983="Да","Ошибка: подтверждённый дубль",IF(S983="","Проверить: отметьте дубль",IF(S983="Нужно проверить","Проверить возможный дубль",IF(TODAY()-E983&gt;30,"Проверить: старше 30 дней",IF(COUNTIFS(#REF!,G983,#REF!,"Готово")=0,"Проверить источник","Готово"))))))))))</f>
        <v/>
      </c>
    </row>
    <row r="984" spans="1:21" ht="25.5" customHeight="1">
      <c r="A984" s="21"/>
      <c r="B984" s="22"/>
      <c r="C984" s="21"/>
      <c r="D984" s="23"/>
      <c r="E984" s="22"/>
      <c r="F984" s="22"/>
      <c r="G984" s="23"/>
      <c r="H984" s="24"/>
      <c r="I984" s="24"/>
      <c r="J984" s="23"/>
      <c r="K984" s="23"/>
      <c r="L984" s="23"/>
      <c r="M984" s="23"/>
      <c r="N984" s="23"/>
      <c r="O984" s="23"/>
      <c r="P984" s="23"/>
      <c r="Q984" s="25"/>
      <c r="R984" s="23"/>
      <c r="S984" s="23"/>
      <c r="T984" s="23"/>
      <c r="U984" s="20" t="str">
        <f ca="1">IF(COUNTA(A984:T984)=0,"",IF(OR(A984="",B984="",C984="",E984="",G984="",H984="",J984="",K984="",L984="",M984=""),"Ошибка: заполните обязательные поля",IF(AND(LEFT(H984,7)&lt;&gt;"http://",LEFT(H984,8)&lt;&gt;"https://"),"Ошибка: некорректная ссылка",IF(COUNTIF($H$6:$H$1005,H984)&gt;1,"Ошибка: дубликат URL",IF(E984&gt;TODAY(),"Ошибка: дата публикации в будущем",IF(S984="Да","Ошибка: подтверждённый дубль",IF(S984="","Проверить: отметьте дубль",IF(S984="Нужно проверить","Проверить возможный дубль",IF(TODAY()-E984&gt;30,"Проверить: старше 30 дней",IF(COUNTIFS(#REF!,G984,#REF!,"Готово")=0,"Проверить источник","Готово"))))))))))</f>
        <v/>
      </c>
    </row>
    <row r="985" spans="1:21" ht="25.5" customHeight="1">
      <c r="A985" s="21"/>
      <c r="B985" s="22"/>
      <c r="C985" s="21"/>
      <c r="D985" s="23"/>
      <c r="E985" s="22"/>
      <c r="F985" s="22"/>
      <c r="G985" s="23"/>
      <c r="H985" s="24"/>
      <c r="I985" s="24"/>
      <c r="J985" s="23"/>
      <c r="K985" s="23"/>
      <c r="L985" s="23"/>
      <c r="M985" s="23"/>
      <c r="N985" s="23"/>
      <c r="O985" s="23"/>
      <c r="P985" s="23"/>
      <c r="Q985" s="25"/>
      <c r="R985" s="23"/>
      <c r="S985" s="23"/>
      <c r="T985" s="23"/>
      <c r="U985" s="20" t="str">
        <f ca="1">IF(COUNTA(A985:T985)=0,"",IF(OR(A985="",B985="",C985="",E985="",G985="",H985="",J985="",K985="",L985="",M985=""),"Ошибка: заполните обязательные поля",IF(AND(LEFT(H985,7)&lt;&gt;"http://",LEFT(H985,8)&lt;&gt;"https://"),"Ошибка: некорректная ссылка",IF(COUNTIF($H$6:$H$1005,H985)&gt;1,"Ошибка: дубликат URL",IF(E985&gt;TODAY(),"Ошибка: дата публикации в будущем",IF(S985="Да","Ошибка: подтверждённый дубль",IF(S985="","Проверить: отметьте дубль",IF(S985="Нужно проверить","Проверить возможный дубль",IF(TODAY()-E985&gt;30,"Проверить: старше 30 дней",IF(COUNTIFS(#REF!,G985,#REF!,"Готово")=0,"Проверить источник","Готово"))))))))))</f>
        <v/>
      </c>
    </row>
    <row r="986" spans="1:21" ht="25.5" customHeight="1">
      <c r="A986" s="21"/>
      <c r="B986" s="22"/>
      <c r="C986" s="21"/>
      <c r="D986" s="23"/>
      <c r="E986" s="22"/>
      <c r="F986" s="22"/>
      <c r="G986" s="23"/>
      <c r="H986" s="24"/>
      <c r="I986" s="24"/>
      <c r="J986" s="23"/>
      <c r="K986" s="23"/>
      <c r="L986" s="23"/>
      <c r="M986" s="23"/>
      <c r="N986" s="23"/>
      <c r="O986" s="23"/>
      <c r="P986" s="23"/>
      <c r="Q986" s="25"/>
      <c r="R986" s="23"/>
      <c r="S986" s="23"/>
      <c r="T986" s="23"/>
      <c r="U986" s="20" t="str">
        <f ca="1">IF(COUNTA(A986:T986)=0,"",IF(OR(A986="",B986="",C986="",E986="",G986="",H986="",J986="",K986="",L986="",M986=""),"Ошибка: заполните обязательные поля",IF(AND(LEFT(H986,7)&lt;&gt;"http://",LEFT(H986,8)&lt;&gt;"https://"),"Ошибка: некорректная ссылка",IF(COUNTIF($H$6:$H$1005,H986)&gt;1,"Ошибка: дубликат URL",IF(E986&gt;TODAY(),"Ошибка: дата публикации в будущем",IF(S986="Да","Ошибка: подтверждённый дубль",IF(S986="","Проверить: отметьте дубль",IF(S986="Нужно проверить","Проверить возможный дубль",IF(TODAY()-E986&gt;30,"Проверить: старше 30 дней",IF(COUNTIFS(#REF!,G986,#REF!,"Готово")=0,"Проверить источник","Готово"))))))))))</f>
        <v/>
      </c>
    </row>
    <row r="987" spans="1:21" ht="25.5" customHeight="1">
      <c r="A987" s="21"/>
      <c r="B987" s="22"/>
      <c r="C987" s="21"/>
      <c r="D987" s="23"/>
      <c r="E987" s="22"/>
      <c r="F987" s="22"/>
      <c r="G987" s="23"/>
      <c r="H987" s="24"/>
      <c r="I987" s="24"/>
      <c r="J987" s="23"/>
      <c r="K987" s="23"/>
      <c r="L987" s="23"/>
      <c r="M987" s="23"/>
      <c r="N987" s="23"/>
      <c r="O987" s="23"/>
      <c r="P987" s="23"/>
      <c r="Q987" s="25"/>
      <c r="R987" s="23"/>
      <c r="S987" s="23"/>
      <c r="T987" s="23"/>
      <c r="U987" s="20" t="str">
        <f ca="1">IF(COUNTA(A987:T987)=0,"",IF(OR(A987="",B987="",C987="",E987="",G987="",H987="",J987="",K987="",L987="",M987=""),"Ошибка: заполните обязательные поля",IF(AND(LEFT(H987,7)&lt;&gt;"http://",LEFT(H987,8)&lt;&gt;"https://"),"Ошибка: некорректная ссылка",IF(COUNTIF($H$6:$H$1005,H987)&gt;1,"Ошибка: дубликат URL",IF(E987&gt;TODAY(),"Ошибка: дата публикации в будущем",IF(S987="Да","Ошибка: подтверждённый дубль",IF(S987="","Проверить: отметьте дубль",IF(S987="Нужно проверить","Проверить возможный дубль",IF(TODAY()-E987&gt;30,"Проверить: старше 30 дней",IF(COUNTIFS(#REF!,G987,#REF!,"Готово")=0,"Проверить источник","Готово"))))))))))</f>
        <v/>
      </c>
    </row>
    <row r="988" spans="1:21" ht="25.5" customHeight="1">
      <c r="A988" s="21"/>
      <c r="B988" s="22"/>
      <c r="C988" s="21"/>
      <c r="D988" s="23"/>
      <c r="E988" s="22"/>
      <c r="F988" s="22"/>
      <c r="G988" s="23"/>
      <c r="H988" s="24"/>
      <c r="I988" s="24"/>
      <c r="J988" s="23"/>
      <c r="K988" s="23"/>
      <c r="L988" s="23"/>
      <c r="M988" s="23"/>
      <c r="N988" s="23"/>
      <c r="O988" s="23"/>
      <c r="P988" s="23"/>
      <c r="Q988" s="25"/>
      <c r="R988" s="23"/>
      <c r="S988" s="23"/>
      <c r="T988" s="23"/>
      <c r="U988" s="20" t="str">
        <f ca="1">IF(COUNTA(A988:T988)=0,"",IF(OR(A988="",B988="",C988="",E988="",G988="",H988="",J988="",K988="",L988="",M988=""),"Ошибка: заполните обязательные поля",IF(AND(LEFT(H988,7)&lt;&gt;"http://",LEFT(H988,8)&lt;&gt;"https://"),"Ошибка: некорректная ссылка",IF(COUNTIF($H$6:$H$1005,H988)&gt;1,"Ошибка: дубликат URL",IF(E988&gt;TODAY(),"Ошибка: дата публикации в будущем",IF(S988="Да","Ошибка: подтверждённый дубль",IF(S988="","Проверить: отметьте дубль",IF(S988="Нужно проверить","Проверить возможный дубль",IF(TODAY()-E988&gt;30,"Проверить: старше 30 дней",IF(COUNTIFS(#REF!,G988,#REF!,"Готово")=0,"Проверить источник","Готово"))))))))))</f>
        <v/>
      </c>
    </row>
    <row r="989" spans="1:21" ht="25.5" customHeight="1">
      <c r="A989" s="21"/>
      <c r="B989" s="22"/>
      <c r="C989" s="21"/>
      <c r="D989" s="23"/>
      <c r="E989" s="22"/>
      <c r="F989" s="22"/>
      <c r="G989" s="23"/>
      <c r="H989" s="24"/>
      <c r="I989" s="24"/>
      <c r="J989" s="23"/>
      <c r="K989" s="23"/>
      <c r="L989" s="23"/>
      <c r="M989" s="23"/>
      <c r="N989" s="23"/>
      <c r="O989" s="23"/>
      <c r="P989" s="23"/>
      <c r="Q989" s="25"/>
      <c r="R989" s="23"/>
      <c r="S989" s="23"/>
      <c r="T989" s="23"/>
      <c r="U989" s="20" t="str">
        <f ca="1">IF(COUNTA(A989:T989)=0,"",IF(OR(A989="",B989="",C989="",E989="",G989="",H989="",J989="",K989="",L989="",M989=""),"Ошибка: заполните обязательные поля",IF(AND(LEFT(H989,7)&lt;&gt;"http://",LEFT(H989,8)&lt;&gt;"https://"),"Ошибка: некорректная ссылка",IF(COUNTIF($H$6:$H$1005,H989)&gt;1,"Ошибка: дубликат URL",IF(E989&gt;TODAY(),"Ошибка: дата публикации в будущем",IF(S989="Да","Ошибка: подтверждённый дубль",IF(S989="","Проверить: отметьте дубль",IF(S989="Нужно проверить","Проверить возможный дубль",IF(TODAY()-E989&gt;30,"Проверить: старше 30 дней",IF(COUNTIFS(#REF!,G989,#REF!,"Готово")=0,"Проверить источник","Готово"))))))))))</f>
        <v/>
      </c>
    </row>
    <row r="990" spans="1:21" ht="25.5" customHeight="1">
      <c r="A990" s="21"/>
      <c r="B990" s="22"/>
      <c r="C990" s="21"/>
      <c r="D990" s="23"/>
      <c r="E990" s="22"/>
      <c r="F990" s="22"/>
      <c r="G990" s="23"/>
      <c r="H990" s="24"/>
      <c r="I990" s="24"/>
      <c r="J990" s="23"/>
      <c r="K990" s="23"/>
      <c r="L990" s="23"/>
      <c r="M990" s="23"/>
      <c r="N990" s="23"/>
      <c r="O990" s="23"/>
      <c r="P990" s="23"/>
      <c r="Q990" s="25"/>
      <c r="R990" s="23"/>
      <c r="S990" s="23"/>
      <c r="T990" s="23"/>
      <c r="U990" s="20" t="str">
        <f ca="1">IF(COUNTA(A990:T990)=0,"",IF(OR(A990="",B990="",C990="",E990="",G990="",H990="",J990="",K990="",L990="",M990=""),"Ошибка: заполните обязательные поля",IF(AND(LEFT(H990,7)&lt;&gt;"http://",LEFT(H990,8)&lt;&gt;"https://"),"Ошибка: некорректная ссылка",IF(COUNTIF($H$6:$H$1005,H990)&gt;1,"Ошибка: дубликат URL",IF(E990&gt;TODAY(),"Ошибка: дата публикации в будущем",IF(S990="Да","Ошибка: подтверждённый дубль",IF(S990="","Проверить: отметьте дубль",IF(S990="Нужно проверить","Проверить возможный дубль",IF(TODAY()-E990&gt;30,"Проверить: старше 30 дней",IF(COUNTIFS(#REF!,G990,#REF!,"Готово")=0,"Проверить источник","Готово"))))))))))</f>
        <v/>
      </c>
    </row>
    <row r="991" spans="1:21" ht="25.5" customHeight="1">
      <c r="A991" s="21"/>
      <c r="B991" s="22"/>
      <c r="C991" s="21"/>
      <c r="D991" s="23"/>
      <c r="E991" s="22"/>
      <c r="F991" s="22"/>
      <c r="G991" s="23"/>
      <c r="H991" s="24"/>
      <c r="I991" s="24"/>
      <c r="J991" s="23"/>
      <c r="K991" s="23"/>
      <c r="L991" s="23"/>
      <c r="M991" s="23"/>
      <c r="N991" s="23"/>
      <c r="O991" s="23"/>
      <c r="P991" s="23"/>
      <c r="Q991" s="25"/>
      <c r="R991" s="23"/>
      <c r="S991" s="23"/>
      <c r="T991" s="23"/>
      <c r="U991" s="20" t="str">
        <f ca="1">IF(COUNTA(A991:T991)=0,"",IF(OR(A991="",B991="",C991="",E991="",G991="",H991="",J991="",K991="",L991="",M991=""),"Ошибка: заполните обязательные поля",IF(AND(LEFT(H991,7)&lt;&gt;"http://",LEFT(H991,8)&lt;&gt;"https://"),"Ошибка: некорректная ссылка",IF(COUNTIF($H$6:$H$1005,H991)&gt;1,"Ошибка: дубликат URL",IF(E991&gt;TODAY(),"Ошибка: дата публикации в будущем",IF(S991="Да","Ошибка: подтверждённый дубль",IF(S991="","Проверить: отметьте дубль",IF(S991="Нужно проверить","Проверить возможный дубль",IF(TODAY()-E991&gt;30,"Проверить: старше 30 дней",IF(COUNTIFS(#REF!,G991,#REF!,"Готово")=0,"Проверить источник","Готово"))))))))))</f>
        <v/>
      </c>
    </row>
    <row r="992" spans="1:21" ht="25.5" customHeight="1">
      <c r="A992" s="21"/>
      <c r="B992" s="22"/>
      <c r="C992" s="21"/>
      <c r="D992" s="23"/>
      <c r="E992" s="22"/>
      <c r="F992" s="22"/>
      <c r="G992" s="23"/>
      <c r="H992" s="24"/>
      <c r="I992" s="24"/>
      <c r="J992" s="23"/>
      <c r="K992" s="23"/>
      <c r="L992" s="23"/>
      <c r="M992" s="23"/>
      <c r="N992" s="23"/>
      <c r="O992" s="23"/>
      <c r="P992" s="23"/>
      <c r="Q992" s="25"/>
      <c r="R992" s="23"/>
      <c r="S992" s="23"/>
      <c r="T992" s="23"/>
      <c r="U992" s="20" t="str">
        <f ca="1">IF(COUNTA(A992:T992)=0,"",IF(OR(A992="",B992="",C992="",E992="",G992="",H992="",J992="",K992="",L992="",M992=""),"Ошибка: заполните обязательные поля",IF(AND(LEFT(H992,7)&lt;&gt;"http://",LEFT(H992,8)&lt;&gt;"https://"),"Ошибка: некорректная ссылка",IF(COUNTIF($H$6:$H$1005,H992)&gt;1,"Ошибка: дубликат URL",IF(E992&gt;TODAY(),"Ошибка: дата публикации в будущем",IF(S992="Да","Ошибка: подтверждённый дубль",IF(S992="","Проверить: отметьте дубль",IF(S992="Нужно проверить","Проверить возможный дубль",IF(TODAY()-E992&gt;30,"Проверить: старше 30 дней",IF(COUNTIFS(#REF!,G992,#REF!,"Готово")=0,"Проверить источник","Готово"))))))))))</f>
        <v/>
      </c>
    </row>
    <row r="993" spans="1:21" ht="25.5" customHeight="1">
      <c r="A993" s="21"/>
      <c r="B993" s="22"/>
      <c r="C993" s="21"/>
      <c r="D993" s="23"/>
      <c r="E993" s="22"/>
      <c r="F993" s="22"/>
      <c r="G993" s="23"/>
      <c r="H993" s="24"/>
      <c r="I993" s="24"/>
      <c r="J993" s="23"/>
      <c r="K993" s="23"/>
      <c r="L993" s="23"/>
      <c r="M993" s="23"/>
      <c r="N993" s="23"/>
      <c r="O993" s="23"/>
      <c r="P993" s="23"/>
      <c r="Q993" s="25"/>
      <c r="R993" s="23"/>
      <c r="S993" s="23"/>
      <c r="T993" s="23"/>
      <c r="U993" s="20" t="str">
        <f ca="1">IF(COUNTA(A993:T993)=0,"",IF(OR(A993="",B993="",C993="",E993="",G993="",H993="",J993="",K993="",L993="",M993=""),"Ошибка: заполните обязательные поля",IF(AND(LEFT(H993,7)&lt;&gt;"http://",LEFT(H993,8)&lt;&gt;"https://"),"Ошибка: некорректная ссылка",IF(COUNTIF($H$6:$H$1005,H993)&gt;1,"Ошибка: дубликат URL",IF(E993&gt;TODAY(),"Ошибка: дата публикации в будущем",IF(S993="Да","Ошибка: подтверждённый дубль",IF(S993="","Проверить: отметьте дубль",IF(S993="Нужно проверить","Проверить возможный дубль",IF(TODAY()-E993&gt;30,"Проверить: старше 30 дней",IF(COUNTIFS(#REF!,G993,#REF!,"Готово")=0,"Проверить источник","Готово"))))))))))</f>
        <v/>
      </c>
    </row>
    <row r="994" spans="1:21" ht="25.5" customHeight="1">
      <c r="A994" s="21"/>
      <c r="B994" s="22"/>
      <c r="C994" s="21"/>
      <c r="D994" s="23"/>
      <c r="E994" s="22"/>
      <c r="F994" s="22"/>
      <c r="G994" s="23"/>
      <c r="H994" s="24"/>
      <c r="I994" s="24"/>
      <c r="J994" s="23"/>
      <c r="K994" s="23"/>
      <c r="L994" s="23"/>
      <c r="M994" s="23"/>
      <c r="N994" s="23"/>
      <c r="O994" s="23"/>
      <c r="P994" s="23"/>
      <c r="Q994" s="25"/>
      <c r="R994" s="23"/>
      <c r="S994" s="23"/>
      <c r="T994" s="23"/>
      <c r="U994" s="20" t="str">
        <f ca="1">IF(COUNTA(A994:T994)=0,"",IF(OR(A994="",B994="",C994="",E994="",G994="",H994="",J994="",K994="",L994="",M994=""),"Ошибка: заполните обязательные поля",IF(AND(LEFT(H994,7)&lt;&gt;"http://",LEFT(H994,8)&lt;&gt;"https://"),"Ошибка: некорректная ссылка",IF(COUNTIF($H$6:$H$1005,H994)&gt;1,"Ошибка: дубликат URL",IF(E994&gt;TODAY(),"Ошибка: дата публикации в будущем",IF(S994="Да","Ошибка: подтверждённый дубль",IF(S994="","Проверить: отметьте дубль",IF(S994="Нужно проверить","Проверить возможный дубль",IF(TODAY()-E994&gt;30,"Проверить: старше 30 дней",IF(COUNTIFS(#REF!,G994,#REF!,"Готово")=0,"Проверить источник","Готово"))))))))))</f>
        <v/>
      </c>
    </row>
    <row r="995" spans="1:21" ht="25.5" customHeight="1">
      <c r="A995" s="21"/>
      <c r="B995" s="22"/>
      <c r="C995" s="21"/>
      <c r="D995" s="23"/>
      <c r="E995" s="22"/>
      <c r="F995" s="22"/>
      <c r="G995" s="23"/>
      <c r="H995" s="24"/>
      <c r="I995" s="24"/>
      <c r="J995" s="23"/>
      <c r="K995" s="23"/>
      <c r="L995" s="23"/>
      <c r="M995" s="23"/>
      <c r="N995" s="23"/>
      <c r="O995" s="23"/>
      <c r="P995" s="23"/>
      <c r="Q995" s="25"/>
      <c r="R995" s="23"/>
      <c r="S995" s="23"/>
      <c r="T995" s="23"/>
      <c r="U995" s="20" t="str">
        <f ca="1">IF(COUNTA(A995:T995)=0,"",IF(OR(A995="",B995="",C995="",E995="",G995="",H995="",J995="",K995="",L995="",M995=""),"Ошибка: заполните обязательные поля",IF(AND(LEFT(H995,7)&lt;&gt;"http://",LEFT(H995,8)&lt;&gt;"https://"),"Ошибка: некорректная ссылка",IF(COUNTIF($H$6:$H$1005,H995)&gt;1,"Ошибка: дубликат URL",IF(E995&gt;TODAY(),"Ошибка: дата публикации в будущем",IF(S995="Да","Ошибка: подтверждённый дубль",IF(S995="","Проверить: отметьте дубль",IF(S995="Нужно проверить","Проверить возможный дубль",IF(TODAY()-E995&gt;30,"Проверить: старше 30 дней",IF(COUNTIFS(#REF!,G995,#REF!,"Готово")=0,"Проверить источник","Готово"))))))))))</f>
        <v/>
      </c>
    </row>
    <row r="996" spans="1:21" ht="25.5" customHeight="1">
      <c r="A996" s="21"/>
      <c r="B996" s="22"/>
      <c r="C996" s="21"/>
      <c r="D996" s="23"/>
      <c r="E996" s="22"/>
      <c r="F996" s="22"/>
      <c r="G996" s="23"/>
      <c r="H996" s="24"/>
      <c r="I996" s="24"/>
      <c r="J996" s="23"/>
      <c r="K996" s="23"/>
      <c r="L996" s="23"/>
      <c r="M996" s="23"/>
      <c r="N996" s="23"/>
      <c r="O996" s="23"/>
      <c r="P996" s="23"/>
      <c r="Q996" s="25"/>
      <c r="R996" s="23"/>
      <c r="S996" s="23"/>
      <c r="T996" s="23"/>
      <c r="U996" s="20" t="str">
        <f ca="1">IF(COUNTA(A996:T996)=0,"",IF(OR(A996="",B996="",C996="",E996="",G996="",H996="",J996="",K996="",L996="",M996=""),"Ошибка: заполните обязательные поля",IF(AND(LEFT(H996,7)&lt;&gt;"http://",LEFT(H996,8)&lt;&gt;"https://"),"Ошибка: некорректная ссылка",IF(COUNTIF($H$6:$H$1005,H996)&gt;1,"Ошибка: дубликат URL",IF(E996&gt;TODAY(),"Ошибка: дата публикации в будущем",IF(S996="Да","Ошибка: подтверждённый дубль",IF(S996="","Проверить: отметьте дубль",IF(S996="Нужно проверить","Проверить возможный дубль",IF(TODAY()-E996&gt;30,"Проверить: старше 30 дней",IF(COUNTIFS(#REF!,G996,#REF!,"Готово")=0,"Проверить источник","Готово"))))))))))</f>
        <v/>
      </c>
    </row>
    <row r="997" spans="1:21" ht="25.5" customHeight="1">
      <c r="A997" s="21"/>
      <c r="B997" s="22"/>
      <c r="C997" s="21"/>
      <c r="D997" s="23"/>
      <c r="E997" s="22"/>
      <c r="F997" s="22"/>
      <c r="G997" s="23"/>
      <c r="H997" s="24"/>
      <c r="I997" s="24"/>
      <c r="J997" s="23"/>
      <c r="K997" s="23"/>
      <c r="L997" s="23"/>
      <c r="M997" s="23"/>
      <c r="N997" s="23"/>
      <c r="O997" s="23"/>
      <c r="P997" s="23"/>
      <c r="Q997" s="25"/>
      <c r="R997" s="23"/>
      <c r="S997" s="23"/>
      <c r="T997" s="23"/>
      <c r="U997" s="20" t="str">
        <f ca="1">IF(COUNTA(A997:T997)=0,"",IF(OR(A997="",B997="",C997="",E997="",G997="",H997="",J997="",K997="",L997="",M997=""),"Ошибка: заполните обязательные поля",IF(AND(LEFT(H997,7)&lt;&gt;"http://",LEFT(H997,8)&lt;&gt;"https://"),"Ошибка: некорректная ссылка",IF(COUNTIF($H$6:$H$1005,H997)&gt;1,"Ошибка: дубликат URL",IF(E997&gt;TODAY(),"Ошибка: дата публикации в будущем",IF(S997="Да","Ошибка: подтверждённый дубль",IF(S997="","Проверить: отметьте дубль",IF(S997="Нужно проверить","Проверить возможный дубль",IF(TODAY()-E997&gt;30,"Проверить: старше 30 дней",IF(COUNTIFS(#REF!,G997,#REF!,"Готово")=0,"Проверить источник","Готово"))))))))))</f>
        <v/>
      </c>
    </row>
    <row r="998" spans="1:21" ht="25.5" customHeight="1">
      <c r="A998" s="21"/>
      <c r="B998" s="22"/>
      <c r="C998" s="21"/>
      <c r="D998" s="23"/>
      <c r="E998" s="22"/>
      <c r="F998" s="22"/>
      <c r="G998" s="23"/>
      <c r="H998" s="24"/>
      <c r="I998" s="24"/>
      <c r="J998" s="23"/>
      <c r="K998" s="23"/>
      <c r="L998" s="23"/>
      <c r="M998" s="23"/>
      <c r="N998" s="23"/>
      <c r="O998" s="23"/>
      <c r="P998" s="23"/>
      <c r="Q998" s="25"/>
      <c r="R998" s="23"/>
      <c r="S998" s="23"/>
      <c r="T998" s="23"/>
      <c r="U998" s="20" t="str">
        <f ca="1">IF(COUNTA(A998:T998)=0,"",IF(OR(A998="",B998="",C998="",E998="",G998="",H998="",J998="",K998="",L998="",M998=""),"Ошибка: заполните обязательные поля",IF(AND(LEFT(H998,7)&lt;&gt;"http://",LEFT(H998,8)&lt;&gt;"https://"),"Ошибка: некорректная ссылка",IF(COUNTIF($H$6:$H$1005,H998)&gt;1,"Ошибка: дубликат URL",IF(E998&gt;TODAY(),"Ошибка: дата публикации в будущем",IF(S998="Да","Ошибка: подтверждённый дубль",IF(S998="","Проверить: отметьте дубль",IF(S998="Нужно проверить","Проверить возможный дубль",IF(TODAY()-E998&gt;30,"Проверить: старше 30 дней",IF(COUNTIFS(#REF!,G998,#REF!,"Готово")=0,"Проверить источник","Готово"))))))))))</f>
        <v/>
      </c>
    </row>
    <row r="999" spans="1:21" ht="25.5" customHeight="1">
      <c r="A999" s="21"/>
      <c r="B999" s="22"/>
      <c r="C999" s="21"/>
      <c r="D999" s="23"/>
      <c r="E999" s="22"/>
      <c r="F999" s="22"/>
      <c r="G999" s="23"/>
      <c r="H999" s="24"/>
      <c r="I999" s="24"/>
      <c r="J999" s="23"/>
      <c r="K999" s="23"/>
      <c r="L999" s="23"/>
      <c r="M999" s="23"/>
      <c r="N999" s="23"/>
      <c r="O999" s="23"/>
      <c r="P999" s="23"/>
      <c r="Q999" s="25"/>
      <c r="R999" s="23"/>
      <c r="S999" s="23"/>
      <c r="T999" s="23"/>
      <c r="U999" s="20" t="str">
        <f ca="1">IF(COUNTA(A999:T999)=0,"",IF(OR(A999="",B999="",C999="",E999="",G999="",H999="",J999="",K999="",L999="",M999=""),"Ошибка: заполните обязательные поля",IF(AND(LEFT(H999,7)&lt;&gt;"http://",LEFT(H999,8)&lt;&gt;"https://"),"Ошибка: некорректная ссылка",IF(COUNTIF($H$6:$H$1005,H999)&gt;1,"Ошибка: дубликат URL",IF(E999&gt;TODAY(),"Ошибка: дата публикации в будущем",IF(S999="Да","Ошибка: подтверждённый дубль",IF(S999="","Проверить: отметьте дубль",IF(S999="Нужно проверить","Проверить возможный дубль",IF(TODAY()-E999&gt;30,"Проверить: старше 30 дней",IF(COUNTIFS(#REF!,G999,#REF!,"Готово")=0,"Проверить источник","Готово"))))))))))</f>
        <v/>
      </c>
    </row>
    <row r="1000" spans="1:21" ht="25.5" customHeight="1">
      <c r="A1000" s="21"/>
      <c r="B1000" s="22"/>
      <c r="C1000" s="21"/>
      <c r="D1000" s="23"/>
      <c r="E1000" s="22"/>
      <c r="F1000" s="22"/>
      <c r="G1000" s="23"/>
      <c r="H1000" s="24"/>
      <c r="I1000" s="24"/>
      <c r="J1000" s="23"/>
      <c r="K1000" s="23"/>
      <c r="L1000" s="23"/>
      <c r="M1000" s="23"/>
      <c r="N1000" s="23"/>
      <c r="O1000" s="23"/>
      <c r="P1000" s="23"/>
      <c r="Q1000" s="25"/>
      <c r="R1000" s="23"/>
      <c r="S1000" s="23"/>
      <c r="T1000" s="23"/>
      <c r="U1000" s="20" t="str">
        <f ca="1">IF(COUNTA(A1000:T1000)=0,"",IF(OR(A1000="",B1000="",C1000="",E1000="",G1000="",H1000="",J1000="",K1000="",L1000="",M1000=""),"Ошибка: заполните обязательные поля",IF(AND(LEFT(H1000,7)&lt;&gt;"http://",LEFT(H1000,8)&lt;&gt;"https://"),"Ошибка: некорректная ссылка",IF(COUNTIF($H$6:$H$1005,H1000)&gt;1,"Ошибка: дубликат URL",IF(E1000&gt;TODAY(),"Ошибка: дата публикации в будущем",IF(S1000="Да","Ошибка: подтверждённый дубль",IF(S1000="","Проверить: отметьте дубль",IF(S1000="Нужно проверить","Проверить возможный дубль",IF(TODAY()-E1000&gt;30,"Проверить: старше 30 дней",IF(COUNTIFS(#REF!,G1000,#REF!,"Готово")=0,"Проверить источник","Готово"))))))))))</f>
        <v/>
      </c>
    </row>
    <row r="1001" spans="1:21" ht="25.5" customHeight="1">
      <c r="A1001" s="21"/>
      <c r="B1001" s="22"/>
      <c r="C1001" s="21"/>
      <c r="D1001" s="23"/>
      <c r="E1001" s="22"/>
      <c r="F1001" s="22"/>
      <c r="G1001" s="23"/>
      <c r="H1001" s="24"/>
      <c r="I1001" s="24"/>
      <c r="J1001" s="23"/>
      <c r="K1001" s="23"/>
      <c r="L1001" s="23"/>
      <c r="M1001" s="23"/>
      <c r="N1001" s="23"/>
      <c r="O1001" s="23"/>
      <c r="P1001" s="23"/>
      <c r="Q1001" s="25"/>
      <c r="R1001" s="23"/>
      <c r="S1001" s="23"/>
      <c r="T1001" s="23"/>
      <c r="U1001" s="20" t="str">
        <f ca="1">IF(COUNTA(A1001:T1001)=0,"",IF(OR(A1001="",B1001="",C1001="",E1001="",G1001="",H1001="",J1001="",K1001="",L1001="",M1001=""),"Ошибка: заполните обязательные поля",IF(AND(LEFT(H1001,7)&lt;&gt;"http://",LEFT(H1001,8)&lt;&gt;"https://"),"Ошибка: некорректная ссылка",IF(COUNTIF($H$6:$H$1005,H1001)&gt;1,"Ошибка: дубликат URL",IF(E1001&gt;TODAY(),"Ошибка: дата публикации в будущем",IF(S1001="Да","Ошибка: подтверждённый дубль",IF(S1001="","Проверить: отметьте дубль",IF(S1001="Нужно проверить","Проверить возможный дубль",IF(TODAY()-E1001&gt;30,"Проверить: старше 30 дней",IF(COUNTIFS(#REF!,G1001,#REF!,"Готово")=0,"Проверить источник","Готово"))))))))))</f>
        <v/>
      </c>
    </row>
    <row r="1002" spans="1:21" ht="25.5" customHeight="1">
      <c r="A1002" s="21"/>
      <c r="B1002" s="22"/>
      <c r="C1002" s="21"/>
      <c r="D1002" s="23"/>
      <c r="E1002" s="22"/>
      <c r="F1002" s="22"/>
      <c r="G1002" s="23"/>
      <c r="H1002" s="24"/>
      <c r="I1002" s="24"/>
      <c r="J1002" s="23"/>
      <c r="K1002" s="23"/>
      <c r="L1002" s="23"/>
      <c r="M1002" s="23"/>
      <c r="N1002" s="23"/>
      <c r="O1002" s="23"/>
      <c r="P1002" s="23"/>
      <c r="Q1002" s="25"/>
      <c r="R1002" s="23"/>
      <c r="S1002" s="23"/>
      <c r="T1002" s="23"/>
      <c r="U1002" s="20" t="str">
        <f ca="1">IF(COUNTA(A1002:T1002)=0,"",IF(OR(A1002="",B1002="",C1002="",E1002="",G1002="",H1002="",J1002="",K1002="",L1002="",M1002=""),"Ошибка: заполните обязательные поля",IF(AND(LEFT(H1002,7)&lt;&gt;"http://",LEFT(H1002,8)&lt;&gt;"https://"),"Ошибка: некорректная ссылка",IF(COUNTIF($H$6:$H$1005,H1002)&gt;1,"Ошибка: дубликат URL",IF(E1002&gt;TODAY(),"Ошибка: дата публикации в будущем",IF(S1002="Да","Ошибка: подтверждённый дубль",IF(S1002="","Проверить: отметьте дубль",IF(S1002="Нужно проверить","Проверить возможный дубль",IF(TODAY()-E1002&gt;30,"Проверить: старше 30 дней",IF(COUNTIFS(#REF!,G1002,#REF!,"Готово")=0,"Проверить источник","Готово"))))))))))</f>
        <v/>
      </c>
    </row>
    <row r="1003" spans="1:21" ht="25.5" customHeight="1">
      <c r="A1003" s="21"/>
      <c r="B1003" s="22"/>
      <c r="C1003" s="21"/>
      <c r="D1003" s="23"/>
      <c r="E1003" s="22"/>
      <c r="F1003" s="22"/>
      <c r="G1003" s="23"/>
      <c r="H1003" s="24"/>
      <c r="I1003" s="24"/>
      <c r="J1003" s="23"/>
      <c r="K1003" s="23"/>
      <c r="L1003" s="23"/>
      <c r="M1003" s="23"/>
      <c r="N1003" s="23"/>
      <c r="O1003" s="23"/>
      <c r="P1003" s="23"/>
      <c r="Q1003" s="25"/>
      <c r="R1003" s="23"/>
      <c r="S1003" s="23"/>
      <c r="T1003" s="23"/>
      <c r="U1003" s="20" t="str">
        <f ca="1">IF(COUNTA(A1003:T1003)=0,"",IF(OR(A1003="",B1003="",C1003="",E1003="",G1003="",H1003="",J1003="",K1003="",L1003="",M1003=""),"Ошибка: заполните обязательные поля",IF(AND(LEFT(H1003,7)&lt;&gt;"http://",LEFT(H1003,8)&lt;&gt;"https://"),"Ошибка: некорректная ссылка",IF(COUNTIF($H$6:$H$1005,H1003)&gt;1,"Ошибка: дубликат URL",IF(E1003&gt;TODAY(),"Ошибка: дата публикации в будущем",IF(S1003="Да","Ошибка: подтверждённый дубль",IF(S1003="","Проверить: отметьте дубль",IF(S1003="Нужно проверить","Проверить возможный дубль",IF(TODAY()-E1003&gt;30,"Проверить: старше 30 дней",IF(COUNTIFS(#REF!,G1003,#REF!,"Готово")=0,"Проверить источник","Готово"))))))))))</f>
        <v/>
      </c>
    </row>
    <row r="1004" spans="1:21" ht="25.5" customHeight="1">
      <c r="A1004" s="21"/>
      <c r="B1004" s="22"/>
      <c r="C1004" s="21"/>
      <c r="D1004" s="23"/>
      <c r="E1004" s="22"/>
      <c r="F1004" s="22"/>
      <c r="G1004" s="23"/>
      <c r="H1004" s="24"/>
      <c r="I1004" s="24"/>
      <c r="J1004" s="23"/>
      <c r="K1004" s="23"/>
      <c r="L1004" s="23"/>
      <c r="M1004" s="23"/>
      <c r="N1004" s="23"/>
      <c r="O1004" s="23"/>
      <c r="P1004" s="23"/>
      <c r="Q1004" s="25"/>
      <c r="R1004" s="23"/>
      <c r="S1004" s="23"/>
      <c r="T1004" s="23"/>
      <c r="U1004" s="20" t="str">
        <f ca="1">IF(COUNTA(A1004:T1004)=0,"",IF(OR(A1004="",B1004="",C1004="",E1004="",G1004="",H1004="",J1004="",K1004="",L1004="",M1004=""),"Ошибка: заполните обязательные поля",IF(AND(LEFT(H1004,7)&lt;&gt;"http://",LEFT(H1004,8)&lt;&gt;"https://"),"Ошибка: некорректная ссылка",IF(COUNTIF($H$6:$H$1005,H1004)&gt;1,"Ошибка: дубликат URL",IF(E1004&gt;TODAY(),"Ошибка: дата публикации в будущем",IF(S1004="Да","Ошибка: подтверждённый дубль",IF(S1004="","Проверить: отметьте дубль",IF(S1004="Нужно проверить","Проверить возможный дубль",IF(TODAY()-E1004&gt;30,"Проверить: старше 30 дней",IF(COUNTIFS(#REF!,G1004,#REF!,"Готово")=0,"Проверить источник","Готово"))))))))))</f>
        <v/>
      </c>
    </row>
    <row r="1005" spans="1:21" ht="25.5" customHeight="1">
      <c r="A1005" s="21"/>
      <c r="B1005" s="22"/>
      <c r="C1005" s="21"/>
      <c r="D1005" s="23"/>
      <c r="E1005" s="22"/>
      <c r="F1005" s="22"/>
      <c r="G1005" s="23"/>
      <c r="H1005" s="24"/>
      <c r="I1005" s="24"/>
      <c r="J1005" s="23"/>
      <c r="K1005" s="23"/>
      <c r="L1005" s="23"/>
      <c r="M1005" s="23"/>
      <c r="N1005" s="23"/>
      <c r="O1005" s="23"/>
      <c r="P1005" s="23"/>
      <c r="Q1005" s="25"/>
      <c r="R1005" s="23"/>
      <c r="S1005" s="23"/>
      <c r="T1005" s="23"/>
      <c r="U1005" s="20" t="str">
        <f ca="1">IF(COUNTA(A1005:T1005)=0,"",IF(OR(A1005="",B1005="",C1005="",E1005="",G1005="",H1005="",J1005="",K1005="",L1005="",M1005=""),"Ошибка: заполните обязательные поля",IF(AND(LEFT(H1005,7)&lt;&gt;"http://",LEFT(H1005,8)&lt;&gt;"https://"),"Ошибка: некорректная ссылка",IF(COUNTIF($H$6:$H$1005,H1005)&gt;1,"Ошибка: дубликат URL",IF(E1005&gt;TODAY(),"Ошибка: дата публикации в будущем",IF(S1005="Да","Ошибка: подтверждённый дубль",IF(S1005="","Проверить: отметьте дубль",IF(S1005="Нужно проверить","Проверить возможный дубль",IF(TODAY()-E1005&gt;30,"Проверить: старше 30 дней",IF(COUNTIFS(#REF!,G1005,#REF!,"Готово")=0,"Проверить источник","Готово"))))))))))</f>
        <v/>
      </c>
    </row>
  </sheetData>
  <customSheetViews>
    <customSheetView guid="{9112C38A-B852-4609-A243-12B0F7D8DB0A}" filter="1" showAutoFilter="1">
      <pageMargins left="0.7" right="0.7" top="0.75" bottom="0.75" header="0.3" footer="0.3"/>
      <autoFilter ref="A5:U1005" xr:uid="{34D3D665-EA97-450A-BEE5-AFD269AA1EFF}"/>
    </customSheetView>
  </customSheetViews>
  <mergeCells count="6">
    <mergeCell ref="A1:U1"/>
    <mergeCell ref="A2:U2"/>
    <mergeCell ref="B3:C3"/>
    <mergeCell ref="D3:E3"/>
    <mergeCell ref="F3:G3"/>
    <mergeCell ref="H3:U3"/>
  </mergeCells>
  <conditionalFormatting sqref="A6:U1005">
    <cfRule type="expression" dxfId="2" priority="1">
      <formula>$U6="Готово"</formula>
    </cfRule>
    <cfRule type="expression" dxfId="1" priority="2">
      <formula>LEFT($U6,9)="Проверить"</formula>
    </cfRule>
    <cfRule type="expression" dxfId="0" priority="3">
      <formula>LEFT($U6,6)="Ошибка"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="Выберите значение из списка - Выберите основной муниципалитет." xr:uid="{00000000-0002-0000-0100-000000000000}">
          <x14:formula1>
            <xm:f>Справочники!$A$4:$A$23</xm:f>
          </x14:formula1>
          <xm:sqref>C6:C1005</xm:sqref>
        </x14:dataValidation>
        <x14:dataValidation type="list" allowBlank="1" showInputMessage="1" showErrorMessage="1" prompt="Выберите значение из списка - Выберите источник, уже внесённый в реестр источников." xr:uid="{00000000-0002-0000-0100-000001000000}">
          <x14:formula1>
            <xm:f>#REF!</xm:f>
          </x14:formula1>
          <xm:sqref>G6:G1005</xm:sqref>
        </x14:dataValidation>
        <x14:dataValidation type="list" allowBlank="1" showInputMessage="1" showErrorMessage="1" prompt="Выберите значение из списка - Выберите одну основную категорию." xr:uid="{00000000-0002-0000-0100-000002000000}">
          <x14:formula1>
            <xm:f>Справочники!$B$4:$B$18</xm:f>
          </x14:formula1>
          <xm:sqref>K6:K1005</xm:sqref>
        </x14:dataValidation>
        <x14:dataValidation type="list" allowBlank="1" showInputMessage="1" showErrorMessage="1" prompt="Выберите значение из списка - Отметьте результат проверки на дубль." xr:uid="{00000000-0002-0000-0100-000003000000}">
          <x14:formula1>
            <xm:f>Справочники!$H$4:$H$6</xm:f>
          </x14:formula1>
          <xm:sqref>S6:S1005</xm:sqref>
        </x14:dataValidation>
        <x14:dataValidation type="list" allowBlank="1" showInputMessage="1" showErrorMessage="1" prompt="Выберите значение из списка - Выберите фактическую стадию события." xr:uid="{00000000-0002-0000-0100-000004000000}">
          <x14:formula1>
            <xm:f>Справочники!$D$4:$D$13</xm:f>
          </x14:formula1>
          <xm:sqref>L6:L1005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/>
  </sheetViews>
  <sheetFormatPr defaultColWidth="12.625" defaultRowHeight="15" customHeight="1"/>
  <cols>
    <col min="1" max="1" width="27" customWidth="1"/>
    <col min="2" max="2" width="34" customWidth="1"/>
    <col min="3" max="3" width="20" customWidth="1"/>
    <col min="4" max="4" width="28" customWidth="1"/>
    <col min="5" max="5" width="34" customWidth="1"/>
    <col min="6" max="6" width="22" customWidth="1"/>
    <col min="7" max="8" width="20" customWidth="1"/>
    <col min="9" max="25" width="8.625" customWidth="1"/>
  </cols>
  <sheetData>
    <row r="1" spans="1:8" ht="31.5" customHeight="1">
      <c r="A1" s="42" t="s">
        <v>0</v>
      </c>
      <c r="B1" s="36"/>
      <c r="C1" s="36"/>
      <c r="D1" s="36"/>
      <c r="E1" s="36"/>
      <c r="F1" s="36"/>
      <c r="G1" s="36"/>
      <c r="H1" s="36"/>
    </row>
    <row r="3" spans="1:8" ht="33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ht="14.25">
      <c r="A4" s="2" t="s">
        <v>11</v>
      </c>
      <c r="B4" s="3" t="s">
        <v>12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4" t="s">
        <v>19</v>
      </c>
    </row>
    <row r="5" spans="1:8" ht="14.25">
      <c r="A5" s="5" t="s">
        <v>21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8" t="s">
        <v>29</v>
      </c>
    </row>
    <row r="6" spans="1:8" ht="14.25">
      <c r="A6" s="5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8" t="s">
        <v>38</v>
      </c>
    </row>
    <row r="7" spans="1:8" ht="14.25">
      <c r="A7" s="5" t="s">
        <v>40</v>
      </c>
      <c r="B7" s="7" t="s">
        <v>41</v>
      </c>
      <c r="C7" s="7" t="s">
        <v>43</v>
      </c>
      <c r="D7" s="7" t="s">
        <v>44</v>
      </c>
      <c r="E7" s="7" t="s">
        <v>45</v>
      </c>
      <c r="F7" s="7"/>
      <c r="G7" s="7" t="s">
        <v>36</v>
      </c>
      <c r="H7" s="8"/>
    </row>
    <row r="8" spans="1:8" ht="14.25">
      <c r="A8" s="5" t="s">
        <v>47</v>
      </c>
      <c r="B8" s="7" t="s">
        <v>49</v>
      </c>
      <c r="C8" s="7" t="s">
        <v>50</v>
      </c>
      <c r="D8" s="7" t="s">
        <v>51</v>
      </c>
      <c r="E8" s="7" t="s">
        <v>53</v>
      </c>
      <c r="F8" s="7"/>
      <c r="G8" s="7"/>
      <c r="H8" s="8"/>
    </row>
    <row r="9" spans="1:8" ht="14.25">
      <c r="A9" s="5" t="s">
        <v>56</v>
      </c>
      <c r="B9" s="7" t="s">
        <v>57</v>
      </c>
      <c r="C9" s="7" t="s">
        <v>58</v>
      </c>
      <c r="D9" s="7" t="s">
        <v>60</v>
      </c>
      <c r="E9" s="7" t="s">
        <v>61</v>
      </c>
      <c r="F9" s="7"/>
      <c r="G9" s="7"/>
      <c r="H9" s="8"/>
    </row>
    <row r="10" spans="1:8" ht="14.25">
      <c r="A10" s="5" t="s">
        <v>64</v>
      </c>
      <c r="B10" s="7" t="s">
        <v>66</v>
      </c>
      <c r="C10" s="7" t="s">
        <v>67</v>
      </c>
      <c r="D10" s="7" t="s">
        <v>69</v>
      </c>
      <c r="E10" s="7" t="s">
        <v>70</v>
      </c>
      <c r="F10" s="7"/>
      <c r="G10" s="7"/>
      <c r="H10" s="8"/>
    </row>
    <row r="11" spans="1:8" ht="14.25">
      <c r="A11" s="5" t="s">
        <v>6</v>
      </c>
      <c r="B11" s="7" t="s">
        <v>73</v>
      </c>
      <c r="C11" s="7"/>
      <c r="D11" s="7" t="s">
        <v>75</v>
      </c>
      <c r="E11" s="7" t="s">
        <v>78</v>
      </c>
      <c r="F11" s="7"/>
      <c r="G11" s="7"/>
      <c r="H11" s="8"/>
    </row>
    <row r="12" spans="1:8" ht="14.25">
      <c r="A12" s="5" t="s">
        <v>81</v>
      </c>
      <c r="B12" s="7" t="s">
        <v>82</v>
      </c>
      <c r="C12" s="7"/>
      <c r="D12" s="7" t="s">
        <v>84</v>
      </c>
      <c r="E12" s="7"/>
      <c r="F12" s="7"/>
      <c r="G12" s="7"/>
      <c r="H12" s="8"/>
    </row>
    <row r="13" spans="1:8" ht="14.25">
      <c r="A13" s="5" t="s">
        <v>85</v>
      </c>
      <c r="B13" s="7" t="s">
        <v>86</v>
      </c>
      <c r="C13" s="7"/>
      <c r="D13" s="7" t="s">
        <v>87</v>
      </c>
      <c r="E13" s="7"/>
      <c r="F13" s="7"/>
      <c r="G13" s="7"/>
      <c r="H13" s="8"/>
    </row>
    <row r="14" spans="1:8" ht="14.25">
      <c r="A14" s="5" t="s">
        <v>89</v>
      </c>
      <c r="B14" s="7" t="s">
        <v>90</v>
      </c>
      <c r="C14" s="7"/>
      <c r="D14" s="7"/>
      <c r="E14" s="7"/>
      <c r="F14" s="7"/>
      <c r="G14" s="7"/>
      <c r="H14" s="8"/>
    </row>
    <row r="15" spans="1:8" ht="14.25">
      <c r="A15" s="5" t="s">
        <v>91</v>
      </c>
      <c r="B15" s="7" t="s">
        <v>92</v>
      </c>
      <c r="C15" s="7"/>
      <c r="D15" s="7"/>
      <c r="E15" s="7"/>
      <c r="F15" s="7"/>
      <c r="G15" s="7"/>
      <c r="H15" s="8"/>
    </row>
    <row r="16" spans="1:8" ht="14.25">
      <c r="A16" s="5" t="s">
        <v>93</v>
      </c>
      <c r="B16" s="7" t="s">
        <v>94</v>
      </c>
      <c r="C16" s="7"/>
      <c r="D16" s="7"/>
      <c r="E16" s="7"/>
      <c r="F16" s="7"/>
      <c r="G16" s="7"/>
      <c r="H16" s="8"/>
    </row>
    <row r="17" spans="1:8" ht="14.25">
      <c r="A17" s="5" t="s">
        <v>95</v>
      </c>
      <c r="B17" s="7" t="s">
        <v>96</v>
      </c>
      <c r="C17" s="7"/>
      <c r="D17" s="7"/>
      <c r="E17" s="7"/>
      <c r="F17" s="7"/>
      <c r="G17" s="7"/>
      <c r="H17" s="8"/>
    </row>
    <row r="18" spans="1:8" ht="14.25">
      <c r="A18" s="5" t="s">
        <v>97</v>
      </c>
      <c r="B18" s="7" t="s">
        <v>67</v>
      </c>
      <c r="C18" s="7"/>
      <c r="D18" s="7"/>
      <c r="E18" s="7"/>
      <c r="F18" s="7"/>
      <c r="G18" s="7"/>
      <c r="H18" s="8"/>
    </row>
    <row r="19" spans="1:8" ht="14.25">
      <c r="A19" s="5" t="s">
        <v>98</v>
      </c>
      <c r="B19" s="7"/>
      <c r="C19" s="7"/>
      <c r="D19" s="7"/>
      <c r="E19" s="7"/>
      <c r="F19" s="7"/>
      <c r="G19" s="7"/>
      <c r="H19" s="8"/>
    </row>
    <row r="20" spans="1:8" ht="14.25">
      <c r="A20" s="5" t="s">
        <v>99</v>
      </c>
      <c r="B20" s="7"/>
      <c r="C20" s="7"/>
      <c r="D20" s="7"/>
      <c r="E20" s="7"/>
      <c r="F20" s="7"/>
      <c r="G20" s="7"/>
      <c r="H20" s="8"/>
    </row>
    <row r="21" spans="1:8" ht="15.75" customHeight="1">
      <c r="A21" s="5" t="s">
        <v>100</v>
      </c>
      <c r="B21" s="7"/>
      <c r="C21" s="7"/>
      <c r="D21" s="7"/>
      <c r="E21" s="7"/>
      <c r="F21" s="7"/>
      <c r="G21" s="7"/>
      <c r="H21" s="8"/>
    </row>
    <row r="22" spans="1:8" ht="15.75" customHeight="1">
      <c r="A22" s="5" t="s">
        <v>101</v>
      </c>
      <c r="B22" s="7"/>
      <c r="C22" s="7"/>
      <c r="D22" s="7"/>
      <c r="E22" s="7"/>
      <c r="F22" s="7"/>
      <c r="G22" s="7"/>
      <c r="H22" s="8"/>
    </row>
    <row r="23" spans="1:8" ht="15.75" customHeight="1">
      <c r="A23" s="16" t="s">
        <v>102</v>
      </c>
      <c r="B23" s="17"/>
      <c r="C23" s="17"/>
      <c r="D23" s="17"/>
      <c r="E23" s="17"/>
      <c r="F23" s="17"/>
      <c r="G23" s="17"/>
      <c r="H23" s="18"/>
    </row>
    <row r="24" spans="1:8" ht="15.75" customHeight="1">
      <c r="A24" s="16" t="s">
        <v>88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showGridLines="0" workbookViewId="0"/>
  </sheetViews>
  <sheetFormatPr defaultColWidth="12.625" defaultRowHeight="15" customHeight="1"/>
  <cols>
    <col min="1" max="1" width="28" customWidth="1"/>
    <col min="2" max="2" width="20" customWidth="1"/>
    <col min="3" max="4" width="21" customWidth="1"/>
    <col min="5" max="6" width="20" customWidth="1"/>
    <col min="7" max="7" width="14" customWidth="1"/>
    <col min="8" max="26" width="8.625" customWidth="1"/>
  </cols>
  <sheetData>
    <row r="1" spans="1:7" ht="31.5" customHeight="1">
      <c r="A1" s="42" t="s">
        <v>103</v>
      </c>
      <c r="B1" s="36"/>
      <c r="C1" s="36"/>
      <c r="D1" s="36"/>
      <c r="E1" s="36"/>
      <c r="F1" s="36"/>
      <c r="G1" s="36"/>
    </row>
    <row r="2" spans="1:7" ht="14.25">
      <c r="A2" s="43" t="s">
        <v>104</v>
      </c>
      <c r="B2" s="36"/>
      <c r="C2" s="36"/>
      <c r="D2" s="36"/>
      <c r="E2" s="36"/>
      <c r="F2" s="36"/>
      <c r="G2" s="36"/>
    </row>
    <row r="3" spans="1:7" ht="36" customHeight="1">
      <c r="A3" s="1" t="s">
        <v>1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38</v>
      </c>
      <c r="G3" s="1" t="s">
        <v>109</v>
      </c>
    </row>
    <row r="4" spans="1:7" ht="14.25">
      <c r="A4" s="26" t="s">
        <v>11</v>
      </c>
      <c r="B4" s="27" t="e">
        <f>COUNTIF(#REF!,A4)</f>
        <v>#REF!</v>
      </c>
      <c r="C4" s="27" t="e">
        <f>COUNTIFS(#REF!,A4,#REF!,"Готово")</f>
        <v>#REF!</v>
      </c>
      <c r="D4" s="27">
        <f ca="1">COUNTIFS(Новости!$C$6:$C$1005,A4,Новости!$E$6:$E$1005,"&gt;="&amp;TODAY()-30)</f>
        <v>0</v>
      </c>
      <c r="E4" s="27">
        <f>COUNTIFS(Новости!$C$6:$C$1005,A4,Новости!$U$6:$U$1005,"Готово")</f>
        <v>0</v>
      </c>
      <c r="F4" s="27">
        <f>COUNTIFS(Новости!$C$6:$C$1005,A4,Новости!$U$6:$U$1005,"Проверить*")</f>
        <v>0</v>
      </c>
      <c r="G4" s="28">
        <f>COUNTIFS(Новости!$C$6:$C$1005,A4,Новости!$U$6:$U$1005,"Ошибка*")</f>
        <v>0</v>
      </c>
    </row>
    <row r="5" spans="1:7" ht="14.25">
      <c r="A5" s="29" t="s">
        <v>21</v>
      </c>
      <c r="B5" s="30" t="e">
        <f>COUNTIF(#REF!,A5)</f>
        <v>#REF!</v>
      </c>
      <c r="C5" s="30" t="e">
        <f>COUNTIFS(#REF!,A5,#REF!,"Готово")</f>
        <v>#REF!</v>
      </c>
      <c r="D5" s="30">
        <f ca="1">COUNTIFS(Новости!$C$6:$C$1005,A5,Новости!$E$6:$E$1005,"&gt;="&amp;TODAY()-30)</f>
        <v>0</v>
      </c>
      <c r="E5" s="30">
        <f>COUNTIFS(Новости!$C$6:$C$1005,A5,Новости!$U$6:$U$1005,"Готово")</f>
        <v>0</v>
      </c>
      <c r="F5" s="30">
        <f>COUNTIFS(Новости!$C$6:$C$1005,A5,Новости!$U$6:$U$1005,"Проверить*")</f>
        <v>0</v>
      </c>
      <c r="G5" s="31">
        <f>COUNTIFS(Новости!$C$6:$C$1005,A5,Новости!$U$6:$U$1005,"Ошибка*")</f>
        <v>0</v>
      </c>
    </row>
    <row r="6" spans="1:7" ht="14.25">
      <c r="A6" s="29" t="s">
        <v>31</v>
      </c>
      <c r="B6" s="30" t="e">
        <f>COUNTIF(#REF!,A6)</f>
        <v>#REF!</v>
      </c>
      <c r="C6" s="30" t="e">
        <f>COUNTIFS(#REF!,A6,#REF!,"Готово")</f>
        <v>#REF!</v>
      </c>
      <c r="D6" s="30">
        <f ca="1">COUNTIFS(Новости!$C$6:$C$1005,A6,Новости!$E$6:$E$1005,"&gt;="&amp;TODAY()-30)</f>
        <v>0</v>
      </c>
      <c r="E6" s="30">
        <f>COUNTIFS(Новости!$C$6:$C$1005,A6,Новости!$U$6:$U$1005,"Готово")</f>
        <v>0</v>
      </c>
      <c r="F6" s="30">
        <f>COUNTIFS(Новости!$C$6:$C$1005,A6,Новости!$U$6:$U$1005,"Проверить*")</f>
        <v>0</v>
      </c>
      <c r="G6" s="31">
        <f>COUNTIFS(Новости!$C$6:$C$1005,A6,Новости!$U$6:$U$1005,"Ошибка*")</f>
        <v>0</v>
      </c>
    </row>
    <row r="7" spans="1:7" ht="14.25">
      <c r="A7" s="29" t="s">
        <v>40</v>
      </c>
      <c r="B7" s="30" t="e">
        <f>COUNTIF(#REF!,A7)</f>
        <v>#REF!</v>
      </c>
      <c r="C7" s="30" t="e">
        <f>COUNTIFS(#REF!,A7,#REF!,"Готово")</f>
        <v>#REF!</v>
      </c>
      <c r="D7" s="30">
        <f ca="1">COUNTIFS(Новости!$C$6:$C$1005,A7,Новости!$E$6:$E$1005,"&gt;="&amp;TODAY()-30)</f>
        <v>0</v>
      </c>
      <c r="E7" s="30">
        <f>COUNTIFS(Новости!$C$6:$C$1005,A7,Новости!$U$6:$U$1005,"Готово")</f>
        <v>0</v>
      </c>
      <c r="F7" s="30">
        <f>COUNTIFS(Новости!$C$6:$C$1005,A7,Новости!$U$6:$U$1005,"Проверить*")</f>
        <v>0</v>
      </c>
      <c r="G7" s="31">
        <f>COUNTIFS(Новости!$C$6:$C$1005,A7,Новости!$U$6:$U$1005,"Ошибка*")</f>
        <v>0</v>
      </c>
    </row>
    <row r="8" spans="1:7" ht="14.25">
      <c r="A8" s="29" t="s">
        <v>47</v>
      </c>
      <c r="B8" s="30" t="e">
        <f>COUNTIF(#REF!,A8)</f>
        <v>#REF!</v>
      </c>
      <c r="C8" s="30" t="e">
        <f>COUNTIFS(#REF!,A8,#REF!,"Готово")</f>
        <v>#REF!</v>
      </c>
      <c r="D8" s="30">
        <f ca="1">COUNTIFS(Новости!$C$6:$C$1005,A8,Новости!$E$6:$E$1005,"&gt;="&amp;TODAY()-30)</f>
        <v>0</v>
      </c>
      <c r="E8" s="30">
        <f>COUNTIFS(Новости!$C$6:$C$1005,A8,Новости!$U$6:$U$1005,"Готово")</f>
        <v>0</v>
      </c>
      <c r="F8" s="30">
        <f>COUNTIFS(Новости!$C$6:$C$1005,A8,Новости!$U$6:$U$1005,"Проверить*")</f>
        <v>0</v>
      </c>
      <c r="G8" s="31">
        <f>COUNTIFS(Новости!$C$6:$C$1005,A8,Новости!$U$6:$U$1005,"Ошибка*")</f>
        <v>0</v>
      </c>
    </row>
    <row r="9" spans="1:7" ht="14.25">
      <c r="A9" s="29" t="s">
        <v>56</v>
      </c>
      <c r="B9" s="30" t="e">
        <f>COUNTIF(#REF!,A9)</f>
        <v>#REF!</v>
      </c>
      <c r="C9" s="30" t="e">
        <f>COUNTIFS(#REF!,A9,#REF!,"Готово")</f>
        <v>#REF!</v>
      </c>
      <c r="D9" s="30">
        <f ca="1">COUNTIFS(Новости!$C$6:$C$1005,A9,Новости!$E$6:$E$1005,"&gt;="&amp;TODAY()-30)</f>
        <v>0</v>
      </c>
      <c r="E9" s="30">
        <f>COUNTIFS(Новости!$C$6:$C$1005,A9,Новости!$U$6:$U$1005,"Готово")</f>
        <v>0</v>
      </c>
      <c r="F9" s="30">
        <f>COUNTIFS(Новости!$C$6:$C$1005,A9,Новости!$U$6:$U$1005,"Проверить*")</f>
        <v>0</v>
      </c>
      <c r="G9" s="31">
        <f>COUNTIFS(Новости!$C$6:$C$1005,A9,Новости!$U$6:$U$1005,"Ошибка*")</f>
        <v>0</v>
      </c>
    </row>
    <row r="10" spans="1:7" ht="14.25">
      <c r="A10" s="29" t="s">
        <v>64</v>
      </c>
      <c r="B10" s="30" t="e">
        <f>COUNTIF(#REF!,A10)</f>
        <v>#REF!</v>
      </c>
      <c r="C10" s="30" t="e">
        <f>COUNTIFS(#REF!,A10,#REF!,"Готово")</f>
        <v>#REF!</v>
      </c>
      <c r="D10" s="30">
        <f ca="1">COUNTIFS(Новости!$C$6:$C$1005,A10,Новости!$E$6:$E$1005,"&gt;="&amp;TODAY()-30)</f>
        <v>0</v>
      </c>
      <c r="E10" s="30">
        <f>COUNTIFS(Новости!$C$6:$C$1005,A10,Новости!$U$6:$U$1005,"Готово")</f>
        <v>0</v>
      </c>
      <c r="F10" s="30">
        <f>COUNTIFS(Новости!$C$6:$C$1005,A10,Новости!$U$6:$U$1005,"Проверить*")</f>
        <v>0</v>
      </c>
      <c r="G10" s="31">
        <f>COUNTIFS(Новости!$C$6:$C$1005,A10,Новости!$U$6:$U$1005,"Ошибка*")</f>
        <v>0</v>
      </c>
    </row>
    <row r="11" spans="1:7" ht="14.25">
      <c r="A11" s="29" t="s">
        <v>6</v>
      </c>
      <c r="B11" s="30" t="e">
        <f>COUNTIF(#REF!,A11)</f>
        <v>#REF!</v>
      </c>
      <c r="C11" s="30" t="e">
        <f>COUNTIFS(#REF!,A11,#REF!,"Готово")</f>
        <v>#REF!</v>
      </c>
      <c r="D11" s="30">
        <f ca="1">COUNTIFS(Новости!$C$6:$C$1005,A11,Новости!$E$6:$E$1005,"&gt;="&amp;TODAY()-30)</f>
        <v>0</v>
      </c>
      <c r="E11" s="30">
        <f>COUNTIFS(Новости!$C$6:$C$1005,A11,Новости!$U$6:$U$1005,"Готово")</f>
        <v>0</v>
      </c>
      <c r="F11" s="30">
        <f>COUNTIFS(Новости!$C$6:$C$1005,A11,Новости!$U$6:$U$1005,"Проверить*")</f>
        <v>0</v>
      </c>
      <c r="G11" s="31">
        <f>COUNTIFS(Новости!$C$6:$C$1005,A11,Новости!$U$6:$U$1005,"Ошибка*")</f>
        <v>0</v>
      </c>
    </row>
    <row r="12" spans="1:7" ht="14.25">
      <c r="A12" s="29" t="s">
        <v>81</v>
      </c>
      <c r="B12" s="30" t="e">
        <f>COUNTIF(#REF!,A12)</f>
        <v>#REF!</v>
      </c>
      <c r="C12" s="30" t="e">
        <f>COUNTIFS(#REF!,A12,#REF!,"Готово")</f>
        <v>#REF!</v>
      </c>
      <c r="D12" s="30">
        <f ca="1">COUNTIFS(Новости!$C$6:$C$1005,A12,Новости!$E$6:$E$1005,"&gt;="&amp;TODAY()-30)</f>
        <v>0</v>
      </c>
      <c r="E12" s="30">
        <f>COUNTIFS(Новости!$C$6:$C$1005,A12,Новости!$U$6:$U$1005,"Готово")</f>
        <v>0</v>
      </c>
      <c r="F12" s="30">
        <f>COUNTIFS(Новости!$C$6:$C$1005,A12,Новости!$U$6:$U$1005,"Проверить*")</f>
        <v>0</v>
      </c>
      <c r="G12" s="31">
        <f>COUNTIFS(Новости!$C$6:$C$1005,A12,Новости!$U$6:$U$1005,"Ошибка*")</f>
        <v>0</v>
      </c>
    </row>
    <row r="13" spans="1:7" ht="14.25">
      <c r="A13" s="29" t="s">
        <v>85</v>
      </c>
      <c r="B13" s="30" t="e">
        <f>COUNTIF(#REF!,A13)</f>
        <v>#REF!</v>
      </c>
      <c r="C13" s="30" t="e">
        <f>COUNTIFS(#REF!,A13,#REF!,"Готово")</f>
        <v>#REF!</v>
      </c>
      <c r="D13" s="30">
        <f ca="1">COUNTIFS(Новости!$C$6:$C$1005,A13,Новости!$E$6:$E$1005,"&gt;="&amp;TODAY()-30)</f>
        <v>0</v>
      </c>
      <c r="E13" s="30">
        <f>COUNTIFS(Новости!$C$6:$C$1005,A13,Новости!$U$6:$U$1005,"Готово")</f>
        <v>0</v>
      </c>
      <c r="F13" s="30">
        <f>COUNTIFS(Новости!$C$6:$C$1005,A13,Новости!$U$6:$U$1005,"Проверить*")</f>
        <v>0</v>
      </c>
      <c r="G13" s="31">
        <f>COUNTIFS(Новости!$C$6:$C$1005,A13,Новости!$U$6:$U$1005,"Ошибка*")</f>
        <v>0</v>
      </c>
    </row>
    <row r="14" spans="1:7" ht="14.25">
      <c r="A14" s="29" t="s">
        <v>89</v>
      </c>
      <c r="B14" s="30" t="e">
        <f>COUNTIF(#REF!,A14)</f>
        <v>#REF!</v>
      </c>
      <c r="C14" s="30" t="e">
        <f>COUNTIFS(#REF!,A14,#REF!,"Готово")</f>
        <v>#REF!</v>
      </c>
      <c r="D14" s="30">
        <f ca="1">COUNTIFS(Новости!$C$6:$C$1005,A14,Новости!$E$6:$E$1005,"&gt;="&amp;TODAY()-30)</f>
        <v>0</v>
      </c>
      <c r="E14" s="30">
        <f>COUNTIFS(Новости!$C$6:$C$1005,A14,Новости!$U$6:$U$1005,"Готово")</f>
        <v>0</v>
      </c>
      <c r="F14" s="30">
        <f>COUNTIFS(Новости!$C$6:$C$1005,A14,Новости!$U$6:$U$1005,"Проверить*")</f>
        <v>0</v>
      </c>
      <c r="G14" s="31">
        <f>COUNTIFS(Новости!$C$6:$C$1005,A14,Новости!$U$6:$U$1005,"Ошибка*")</f>
        <v>0</v>
      </c>
    </row>
    <row r="15" spans="1:7" ht="14.25">
      <c r="A15" s="29" t="s">
        <v>91</v>
      </c>
      <c r="B15" s="30" t="e">
        <f>COUNTIF(#REF!,A15)</f>
        <v>#REF!</v>
      </c>
      <c r="C15" s="30" t="e">
        <f>COUNTIFS(#REF!,A15,#REF!,"Готово")</f>
        <v>#REF!</v>
      </c>
      <c r="D15" s="30">
        <f ca="1">COUNTIFS(Новости!$C$6:$C$1005,A15,Новости!$E$6:$E$1005,"&gt;="&amp;TODAY()-30)</f>
        <v>0</v>
      </c>
      <c r="E15" s="30">
        <f>COUNTIFS(Новости!$C$6:$C$1005,A15,Новости!$U$6:$U$1005,"Готово")</f>
        <v>0</v>
      </c>
      <c r="F15" s="30">
        <f>COUNTIFS(Новости!$C$6:$C$1005,A15,Новости!$U$6:$U$1005,"Проверить*")</f>
        <v>0</v>
      </c>
      <c r="G15" s="31">
        <f>COUNTIFS(Новости!$C$6:$C$1005,A15,Новости!$U$6:$U$1005,"Ошибка*")</f>
        <v>0</v>
      </c>
    </row>
    <row r="16" spans="1:7" ht="14.25">
      <c r="A16" s="29" t="s">
        <v>93</v>
      </c>
      <c r="B16" s="30" t="e">
        <f>COUNTIF(#REF!,A16)</f>
        <v>#REF!</v>
      </c>
      <c r="C16" s="30" t="e">
        <f>COUNTIFS(#REF!,A16,#REF!,"Готово")</f>
        <v>#REF!</v>
      </c>
      <c r="D16" s="30">
        <f ca="1">COUNTIFS(Новости!$C$6:$C$1005,A16,Новости!$E$6:$E$1005,"&gt;="&amp;TODAY()-30)</f>
        <v>0</v>
      </c>
      <c r="E16" s="30">
        <f>COUNTIFS(Новости!$C$6:$C$1005,A16,Новости!$U$6:$U$1005,"Готово")</f>
        <v>0</v>
      </c>
      <c r="F16" s="30">
        <f>COUNTIFS(Новости!$C$6:$C$1005,A16,Новости!$U$6:$U$1005,"Проверить*")</f>
        <v>0</v>
      </c>
      <c r="G16" s="31">
        <f>COUNTIFS(Новости!$C$6:$C$1005,A16,Новости!$U$6:$U$1005,"Ошибка*")</f>
        <v>0</v>
      </c>
    </row>
    <row r="17" spans="1:7" ht="14.25">
      <c r="A17" s="29" t="s">
        <v>95</v>
      </c>
      <c r="B17" s="30" t="e">
        <f>COUNTIF(#REF!,A17)</f>
        <v>#REF!</v>
      </c>
      <c r="C17" s="30" t="e">
        <f>COUNTIFS(#REF!,A17,#REF!,"Готово")</f>
        <v>#REF!</v>
      </c>
      <c r="D17" s="30">
        <f ca="1">COUNTIFS(Новости!$C$6:$C$1005,A17,Новости!$E$6:$E$1005,"&gt;="&amp;TODAY()-30)</f>
        <v>0</v>
      </c>
      <c r="E17" s="30">
        <f>COUNTIFS(Новости!$C$6:$C$1005,A17,Новости!$U$6:$U$1005,"Готово")</f>
        <v>0</v>
      </c>
      <c r="F17" s="30">
        <f>COUNTIFS(Новости!$C$6:$C$1005,A17,Новости!$U$6:$U$1005,"Проверить*")</f>
        <v>0</v>
      </c>
      <c r="G17" s="31">
        <f>COUNTIFS(Новости!$C$6:$C$1005,A17,Новости!$U$6:$U$1005,"Ошибка*")</f>
        <v>0</v>
      </c>
    </row>
    <row r="18" spans="1:7" ht="14.25">
      <c r="A18" s="29" t="s">
        <v>97</v>
      </c>
      <c r="B18" s="30" t="e">
        <f>COUNTIF(#REF!,A18)</f>
        <v>#REF!</v>
      </c>
      <c r="C18" s="30" t="e">
        <f>COUNTIFS(#REF!,A18,#REF!,"Готово")</f>
        <v>#REF!</v>
      </c>
      <c r="D18" s="30">
        <f ca="1">COUNTIFS(Новости!$C$6:$C$1005,A18,Новости!$E$6:$E$1005,"&gt;="&amp;TODAY()-30)</f>
        <v>0</v>
      </c>
      <c r="E18" s="30">
        <f>COUNTIFS(Новости!$C$6:$C$1005,A18,Новости!$U$6:$U$1005,"Готово")</f>
        <v>0</v>
      </c>
      <c r="F18" s="30">
        <f>COUNTIFS(Новости!$C$6:$C$1005,A18,Новости!$U$6:$U$1005,"Проверить*")</f>
        <v>0</v>
      </c>
      <c r="G18" s="31">
        <f>COUNTIFS(Новости!$C$6:$C$1005,A18,Новости!$U$6:$U$1005,"Ошибка*")</f>
        <v>0</v>
      </c>
    </row>
    <row r="19" spans="1:7" ht="14.25">
      <c r="A19" s="29" t="s">
        <v>98</v>
      </c>
      <c r="B19" s="30" t="e">
        <f>COUNTIF(#REF!,A19)</f>
        <v>#REF!</v>
      </c>
      <c r="C19" s="30" t="e">
        <f>COUNTIFS(#REF!,A19,#REF!,"Готово")</f>
        <v>#REF!</v>
      </c>
      <c r="D19" s="30">
        <f ca="1">COUNTIFS(Новости!$C$6:$C$1005,A19,Новости!$E$6:$E$1005,"&gt;="&amp;TODAY()-30)</f>
        <v>0</v>
      </c>
      <c r="E19" s="30">
        <f>COUNTIFS(Новости!$C$6:$C$1005,A19,Новости!$U$6:$U$1005,"Готово")</f>
        <v>0</v>
      </c>
      <c r="F19" s="30">
        <f>COUNTIFS(Новости!$C$6:$C$1005,A19,Новости!$U$6:$U$1005,"Проверить*")</f>
        <v>0</v>
      </c>
      <c r="G19" s="31">
        <f>COUNTIFS(Новости!$C$6:$C$1005,A19,Новости!$U$6:$U$1005,"Ошибка*")</f>
        <v>0</v>
      </c>
    </row>
    <row r="20" spans="1:7" ht="14.25">
      <c r="A20" s="29" t="s">
        <v>99</v>
      </c>
      <c r="B20" s="30" t="e">
        <f>COUNTIF(#REF!,A20)</f>
        <v>#REF!</v>
      </c>
      <c r="C20" s="30" t="e">
        <f>COUNTIFS(#REF!,A20,#REF!,"Готово")</f>
        <v>#REF!</v>
      </c>
      <c r="D20" s="30">
        <f ca="1">COUNTIFS(Новости!$C$6:$C$1005,A20,Новости!$E$6:$E$1005,"&gt;="&amp;TODAY()-30)</f>
        <v>0</v>
      </c>
      <c r="E20" s="30">
        <f>COUNTIFS(Новости!$C$6:$C$1005,A20,Новости!$U$6:$U$1005,"Готово")</f>
        <v>0</v>
      </c>
      <c r="F20" s="30">
        <f>COUNTIFS(Новости!$C$6:$C$1005,A20,Новости!$U$6:$U$1005,"Проверить*")</f>
        <v>0</v>
      </c>
      <c r="G20" s="31">
        <f>COUNTIFS(Новости!$C$6:$C$1005,A20,Новости!$U$6:$U$1005,"Ошибка*")</f>
        <v>0</v>
      </c>
    </row>
    <row r="21" spans="1:7" ht="15.75" customHeight="1">
      <c r="A21" s="29" t="s">
        <v>100</v>
      </c>
      <c r="B21" s="30" t="e">
        <f>COUNTIF(#REF!,A21)</f>
        <v>#REF!</v>
      </c>
      <c r="C21" s="30" t="e">
        <f>COUNTIFS(#REF!,A21,#REF!,"Готово")</f>
        <v>#REF!</v>
      </c>
      <c r="D21" s="30">
        <f ca="1">COUNTIFS(Новости!$C$6:$C$1005,A21,Новости!$E$6:$E$1005,"&gt;="&amp;TODAY()-30)</f>
        <v>0</v>
      </c>
      <c r="E21" s="30">
        <f>COUNTIFS(Новости!$C$6:$C$1005,A21,Новости!$U$6:$U$1005,"Готово")</f>
        <v>0</v>
      </c>
      <c r="F21" s="30">
        <f>COUNTIFS(Новости!$C$6:$C$1005,A21,Новости!$U$6:$U$1005,"Проверить*")</f>
        <v>0</v>
      </c>
      <c r="G21" s="31">
        <f>COUNTIFS(Новости!$C$6:$C$1005,A21,Новости!$U$6:$U$1005,"Ошибка*")</f>
        <v>0</v>
      </c>
    </row>
    <row r="22" spans="1:7" ht="15.75" customHeight="1">
      <c r="A22" s="29" t="s">
        <v>101</v>
      </c>
      <c r="B22" s="30" t="e">
        <f>COUNTIF(#REF!,A22)</f>
        <v>#REF!</v>
      </c>
      <c r="C22" s="30" t="e">
        <f>COUNTIFS(#REF!,A22,#REF!,"Готово")</f>
        <v>#REF!</v>
      </c>
      <c r="D22" s="30">
        <f ca="1">COUNTIFS(Новости!$C$6:$C$1005,A22,Новости!$E$6:$E$1005,"&gt;="&amp;TODAY()-30)</f>
        <v>0</v>
      </c>
      <c r="E22" s="30">
        <f>COUNTIFS(Новости!$C$6:$C$1005,A22,Новости!$U$6:$U$1005,"Готово")</f>
        <v>0</v>
      </c>
      <c r="F22" s="30">
        <f>COUNTIFS(Новости!$C$6:$C$1005,A22,Новости!$U$6:$U$1005,"Проверить*")</f>
        <v>0</v>
      </c>
      <c r="G22" s="31">
        <f>COUNTIFS(Новости!$C$6:$C$1005,A22,Новости!$U$6:$U$1005,"Ошибка*")</f>
        <v>0</v>
      </c>
    </row>
    <row r="23" spans="1:7" ht="15.75" customHeight="1">
      <c r="A23" s="32" t="s">
        <v>102</v>
      </c>
      <c r="B23" s="27" t="e">
        <f>COUNTIF(#REF!,A23)</f>
        <v>#REF!</v>
      </c>
      <c r="C23" s="27" t="e">
        <f>COUNTIFS(#REF!,A23,#REF!,"Готово")</f>
        <v>#REF!</v>
      </c>
      <c r="D23" s="27">
        <f ca="1">COUNTIFS(Новости!$C$6:$C$1005,A23,Новости!$E$6:$E$1005,"&gt;="&amp;TODAY()-30)</f>
        <v>0</v>
      </c>
      <c r="E23" s="27">
        <f>COUNTIFS(Новости!$C$6:$C$1005,A23,Новости!$U$6:$U$1005,"Готово")</f>
        <v>0</v>
      </c>
      <c r="F23" s="27">
        <f>COUNTIFS(Новости!$C$6:$C$1005,A23,Новости!$U$6:$U$1005,"Проверить*")</f>
        <v>0</v>
      </c>
      <c r="G23" s="28">
        <f>COUNTIFS(Новости!$C$6:$C$1005,A23,Новости!$U$6:$U$1005,"Ошибка*")</f>
        <v>0</v>
      </c>
    </row>
    <row r="24" spans="1:7" ht="15.75" customHeight="1"/>
    <row r="25" spans="1:7" ht="15.75" customHeight="1">
      <c r="A25" s="33" t="s">
        <v>110</v>
      </c>
      <c r="B25" s="34" t="e">
        <f t="shared" ref="B25:G25" si="0">SUM(B4:B23)</f>
        <v>#REF!</v>
      </c>
      <c r="C25" s="34" t="e">
        <f t="shared" si="0"/>
        <v>#REF!</v>
      </c>
      <c r="D25" s="34">
        <f t="shared" ca="1" si="0"/>
        <v>0</v>
      </c>
      <c r="E25" s="34">
        <f t="shared" si="0"/>
        <v>0</v>
      </c>
      <c r="F25" s="34">
        <f t="shared" si="0"/>
        <v>0</v>
      </c>
      <c r="G25" s="34">
        <f t="shared" si="0"/>
        <v>0</v>
      </c>
    </row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Новости</vt:lpstr>
      <vt:lpstr>Справочники</vt:lpstr>
      <vt:lpstr>Контроль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Венедикт Уткин</dc:creator>
  <cp:lastModifiedBy>Венедикт Уткин</cp:lastModifiedBy>
  <dcterms:created xsi:type="dcterms:W3CDTF">2026-09-04T07:18:53Z</dcterms:created>
  <dcterms:modified xsi:type="dcterms:W3CDTF">2026-09-04T07:19:45Z</dcterms:modified>
</cp:coreProperties>
</file>