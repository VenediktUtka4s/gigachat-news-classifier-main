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ck\Downloads\38833FF26BA1D.UnigramPreview_g9c9v27vpyspw!App\"/>
    </mc:Choice>
  </mc:AlternateContent>
  <xr:revisionPtr revIDLastSave="0" documentId="8_{1C021543-48C0-4DFF-9ACB-2981E3C06433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Источники" sheetId="1" r:id="rId1"/>
    <sheet name="Справочники" sheetId="4" state="hidden" r:id="rId2"/>
    <sheet name="Контроль" sheetId="5" state="hidden" r:id="rId3"/>
  </sheets>
  <definedNames>
    <definedName name="_xlnm._FilterDatabase" localSheetId="0" hidden="1">Источники!$A$5:$M$504</definedName>
    <definedName name="Z_1A08E79B_867E_4D6C_A764_6A8F12173869_.wvu.FilterData" localSheetId="0" hidden="1">Источники!$A$5:$M$504</definedName>
  </definedNames>
  <calcPr calcId="191029"/>
  <customWorkbookViews>
    <customWorkbookView name="SourcesRegistry filter view" guid="{1A08E79B-867E-4D6C-A764-6A8F12173869}" maximized="1" windowWidth="0" windowHeight="0" activeSheetId="0"/>
    <customWorkbookView name="NewsRegistry filter view" guid="{9112C38A-B852-4609-A243-12B0F7D8DB0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5" l="1"/>
  <c r="F23" i="5"/>
  <c r="E23" i="5"/>
  <c r="D23" i="5"/>
  <c r="B23" i="5"/>
  <c r="G22" i="5"/>
  <c r="F22" i="5"/>
  <c r="E22" i="5"/>
  <c r="D22" i="5"/>
  <c r="C22" i="5"/>
  <c r="B22" i="5"/>
  <c r="G21" i="5"/>
  <c r="F21" i="5"/>
  <c r="E21" i="5"/>
  <c r="D21" i="5"/>
  <c r="B21" i="5"/>
  <c r="G20" i="5"/>
  <c r="F20" i="5"/>
  <c r="E20" i="5"/>
  <c r="D20" i="5"/>
  <c r="B20" i="5"/>
  <c r="G19" i="5"/>
  <c r="F19" i="5"/>
  <c r="E19" i="5"/>
  <c r="D19" i="5"/>
  <c r="B19" i="5"/>
  <c r="G18" i="5"/>
  <c r="F18" i="5"/>
  <c r="E18" i="5"/>
  <c r="D18" i="5"/>
  <c r="B18" i="5"/>
  <c r="G17" i="5"/>
  <c r="F17" i="5"/>
  <c r="E17" i="5"/>
  <c r="D17" i="5"/>
  <c r="B17" i="5"/>
  <c r="G16" i="5"/>
  <c r="F16" i="5"/>
  <c r="E16" i="5"/>
  <c r="D16" i="5"/>
  <c r="B16" i="5"/>
  <c r="G15" i="5"/>
  <c r="F15" i="5"/>
  <c r="E15" i="5"/>
  <c r="D15" i="5"/>
  <c r="B15" i="5"/>
  <c r="G14" i="5"/>
  <c r="F14" i="5"/>
  <c r="E14" i="5"/>
  <c r="D14" i="5"/>
  <c r="B14" i="5"/>
  <c r="G13" i="5"/>
  <c r="F13" i="5"/>
  <c r="E13" i="5"/>
  <c r="D13" i="5"/>
  <c r="B13" i="5"/>
  <c r="G12" i="5"/>
  <c r="F12" i="5"/>
  <c r="E12" i="5"/>
  <c r="D12" i="5"/>
  <c r="B12" i="5"/>
  <c r="G11" i="5"/>
  <c r="F11" i="5"/>
  <c r="E11" i="5"/>
  <c r="D11" i="5"/>
  <c r="B11" i="5"/>
  <c r="G10" i="5"/>
  <c r="F10" i="5"/>
  <c r="E10" i="5"/>
  <c r="D10" i="5"/>
  <c r="B10" i="5"/>
  <c r="G9" i="5"/>
  <c r="F9" i="5"/>
  <c r="E9" i="5"/>
  <c r="D9" i="5"/>
  <c r="C9" i="5"/>
  <c r="B9" i="5"/>
  <c r="G8" i="5"/>
  <c r="F8" i="5"/>
  <c r="E8" i="5"/>
  <c r="D8" i="5"/>
  <c r="B8" i="5"/>
  <c r="G7" i="5"/>
  <c r="F7" i="5"/>
  <c r="E7" i="5"/>
  <c r="D7" i="5"/>
  <c r="B7" i="5"/>
  <c r="G6" i="5"/>
  <c r="F6" i="5"/>
  <c r="E6" i="5"/>
  <c r="D6" i="5"/>
  <c r="C6" i="5"/>
  <c r="B6" i="5"/>
  <c r="G5" i="5"/>
  <c r="F5" i="5"/>
  <c r="E5" i="5"/>
  <c r="D5" i="5"/>
  <c r="B5" i="5"/>
  <c r="G4" i="5"/>
  <c r="G25" i="5" s="1"/>
  <c r="F4" i="5"/>
  <c r="F25" i="5" s="1"/>
  <c r="E4" i="5"/>
  <c r="E25" i="5" s="1"/>
  <c r="D4" i="5"/>
  <c r="B4" i="5"/>
  <c r="B25" i="5" s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03" i="1"/>
  <c r="M302" i="1"/>
  <c r="M301" i="1"/>
  <c r="M300" i="1"/>
  <c r="M299" i="1"/>
  <c r="M298" i="1"/>
  <c r="M297" i="1"/>
  <c r="M296" i="1"/>
  <c r="M295" i="1"/>
  <c r="M294" i="1"/>
  <c r="C5" i="5" s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C12" i="5" s="1"/>
  <c r="M269" i="1"/>
  <c r="M268" i="1"/>
  <c r="M267" i="1"/>
  <c r="C17" i="5" s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C10" i="5" l="1"/>
  <c r="C23" i="5"/>
  <c r="C19" i="5"/>
  <c r="C8" i="5"/>
  <c r="C7" i="5"/>
  <c r="D25" i="5"/>
  <c r="C14" i="5"/>
  <c r="C15" i="5"/>
  <c r="C21" i="5"/>
  <c r="C4" i="5"/>
  <c r="C18" i="5"/>
  <c r="C16" i="5"/>
  <c r="C11" i="5"/>
  <c r="C13" i="5"/>
  <c r="C20" i="5"/>
  <c r="C2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5" authorId="0" shapeId="0" xr:uid="{00000000-0006-0000-0000-000001000000}">
      <text>
        <r>
          <rPr>
            <sz val="11"/>
            <color rgb="FF000000"/>
            <rFont val="Carlito"/>
            <scheme val="minor"/>
          </rPr>
          <t>Автопроверка восстановлена 02.09.2026. Зелёный: поля заполнены, официальность и активность подтверждены. Жёлтый: повтор URL, неофициальный источник или необходимость проверки. Красный: пропуски, некорректная территория/URL, недоступная ссылка. Формулы не обходят сайты: результаты внешней проверки записаны в I, K и комментарии L.</t>
        </r>
      </text>
    </comment>
  </commentList>
</comments>
</file>

<file path=xl/sharedStrings.xml><?xml version="1.0" encoding="utf-8"?>
<sst xmlns="http://schemas.openxmlformats.org/spreadsheetml/2006/main" count="3168" uniqueCount="723">
  <si>
    <t>Служебные справочники — не редактировать</t>
  </si>
  <si>
    <t>Муниципалитет</t>
  </si>
  <si>
    <t>Муниципалитеты</t>
  </si>
  <si>
    <t>Категории</t>
  </si>
  <si>
    <t>Платформы</t>
  </si>
  <si>
    <t>Стадии</t>
  </si>
  <si>
    <t>Печора</t>
  </si>
  <si>
    <t>Типы источников</t>
  </si>
  <si>
    <t>Администрация МР «Печора»</t>
  </si>
  <si>
    <t>Официальность</t>
  </si>
  <si>
    <t>Активность</t>
  </si>
  <si>
    <t>Дубли</t>
  </si>
  <si>
    <t>Воркута</t>
  </si>
  <si>
    <t>Власть и кадровые решения</t>
  </si>
  <si>
    <t>Официальный сайт</t>
  </si>
  <si>
    <t>Анонс</t>
  </si>
  <si>
    <t>Администрация муниципалитета</t>
  </si>
  <si>
    <t>Подтверждено</t>
  </si>
  <si>
    <t>Активен</t>
  </si>
  <si>
    <t>Нет</t>
  </si>
  <si>
    <t>Вуктыл</t>
  </si>
  <si>
    <t>Обязательное</t>
  </si>
  <si>
    <t>Бюджет и муниципальные финансы</t>
  </si>
  <si>
    <t>MAX</t>
  </si>
  <si>
    <t>Решение принято</t>
  </si>
  <si>
    <t>Глава муниципалитета</t>
  </si>
  <si>
    <t>Реестр официальных источников по муниципалитетам Республики Коми</t>
  </si>
  <si>
    <t>Не подтверждено</t>
  </si>
  <si>
    <t>Неактивен</t>
  </si>
  <si>
    <t>Да</t>
  </si>
  <si>
    <t>Сборщик</t>
  </si>
  <si>
    <t>Ижемский район</t>
  </si>
  <si>
    <t>Сначала найдите источник и подтвердите его официальность. Приоритет — сайты и публичные каналы муниципалитетов. Старые строки не удалять. Столбец «Автопроверка» не редактировать.</t>
  </si>
  <si>
    <t>Закупки и контракты</t>
  </si>
  <si>
    <t>ВКонтакте</t>
  </si>
  <si>
    <t>Финансирование выделено</t>
  </si>
  <si>
    <t>Совет / представительный орган</t>
  </si>
  <si>
    <t>Требует проверки</t>
  </si>
  <si>
    <t>Недоступен</t>
  </si>
  <si>
    <t>Нужно проверить</t>
  </si>
  <si>
    <t>Инта</t>
  </si>
  <si>
    <t>Строительство и инфраструктура</t>
  </si>
  <si>
    <t>БНК — Печора</t>
  </si>
  <si>
    <t>Telegram</t>
  </si>
  <si>
    <t>Закупка объявлена</t>
  </si>
  <si>
    <t>Муниципальное учреждение</t>
  </si>
  <si>
    <t>Дата проверки</t>
  </si>
  <si>
    <t>Княжпогостский район</t>
  </si>
  <si>
    <t>ЖКХ и благоустройство</t>
  </si>
  <si>
    <t>Одноклассники</t>
  </si>
  <si>
    <t>Работы начаты</t>
  </si>
  <si>
    <t>Региональный орган власти</t>
  </si>
  <si>
    <t>Орган/владелец</t>
  </si>
  <si>
    <t>Тип источника</t>
  </si>
  <si>
    <t>Койгородский район</t>
  </si>
  <si>
    <t>Экономика, бизнес и занятость</t>
  </si>
  <si>
    <t>Платформа</t>
  </si>
  <si>
    <t>Rutube</t>
  </si>
  <si>
    <t>В процессе</t>
  </si>
  <si>
    <t>В Печоре.ру</t>
  </si>
  <si>
    <t>Официальная пресс-служба</t>
  </si>
  <si>
    <t>Название</t>
  </si>
  <si>
    <t>Основная ссылка</t>
  </si>
  <si>
    <t>Подтверждение официальности</t>
  </si>
  <si>
    <t>Корткеросский район</t>
  </si>
  <si>
    <t>Социальная сфера</t>
  </si>
  <si>
    <t>Дата последней публикации</t>
  </si>
  <si>
    <t>Другое</t>
  </si>
  <si>
    <t>Завершено / открыто</t>
  </si>
  <si>
    <t>Другое официальное</t>
  </si>
  <si>
    <t>Комментарий</t>
  </si>
  <si>
    <t>Образование</t>
  </si>
  <si>
    <t>Комиинформ</t>
  </si>
  <si>
    <t>Перенесено / приостановлено</t>
  </si>
  <si>
    <t>Автопроверка</t>
  </si>
  <si>
    <t>Неофициальный источник</t>
  </si>
  <si>
    <t>Прилузский район</t>
  </si>
  <si>
    <t>Здравоохранение</t>
  </si>
  <si>
    <t>Максим</t>
  </si>
  <si>
    <t>Проблема / происшествие</t>
  </si>
  <si>
    <t>ПЕЧОРА Today</t>
  </si>
  <si>
    <t>Сосногорск</t>
  </si>
  <si>
    <t>Происшествия и безопасность</t>
  </si>
  <si>
    <t>Результат</t>
  </si>
  <si>
    <t>Республика Коми</t>
  </si>
  <si>
    <t>Сыктывдинский район</t>
  </si>
  <si>
    <t>Экология</t>
  </si>
  <si>
    <t>Банка об этом не напишет</t>
  </si>
  <si>
    <t>Печорский вестник</t>
  </si>
  <si>
    <t>Сыктывкар</t>
  </si>
  <si>
    <t>Обращения и проблемы жителей</t>
  </si>
  <si>
    <t>Сысольский район</t>
  </si>
  <si>
    <t>Культура, спорт и туризм</t>
  </si>
  <si>
    <t>Троицко-Печорский район</t>
  </si>
  <si>
    <t>Банки и финансовые сервисы</t>
  </si>
  <si>
    <t>https://t.me/notBNK</t>
  </si>
  <si>
    <t>Удорский район</t>
  </si>
  <si>
    <t>Печорское время</t>
  </si>
  <si>
    <t>Усинск</t>
  </si>
  <si>
    <t>Усть-Вымский район</t>
  </si>
  <si>
    <t/>
  </si>
  <si>
    <t>Усть-Куломский район</t>
  </si>
  <si>
    <t>Подслушано Печора I Online</t>
  </si>
  <si>
    <t>Проверено 02.09.2026: доступен.</t>
  </si>
  <si>
    <t>Усть-Цилемский район</t>
  </si>
  <si>
    <t>Ухта</t>
  </si>
  <si>
    <t>Типичная Печора</t>
  </si>
  <si>
    <t>Печорская межпоселенческая централизованная библиотечная система</t>
  </si>
  <si>
    <t>БНК</t>
  </si>
  <si>
    <t>Управление культуры и туризма МР «Печора»</t>
  </si>
  <si>
    <t>https://t.me/bnk11</t>
  </si>
  <si>
    <t>Повтор URL: строки 14, 303. Проверено 02.09.2026: доступен.</t>
  </si>
  <si>
    <t>Печорский историко-краеведческий музей им. П.И. Терентьева</t>
  </si>
  <si>
    <t>Администрация Воркуты</t>
  </si>
  <si>
    <t>Воркута.Официально</t>
  </si>
  <si>
    <t>https://t.me/officially_vorkuta</t>
  </si>
  <si>
    <t>Администрация Усть-Куломского района</t>
  </si>
  <si>
    <t>БНК — Усть-Куломский район</t>
  </si>
  <si>
    <t>ГТРК «Коми Гор»</t>
  </si>
  <si>
    <t>Коми-НАО — Усть-Кулом</t>
  </si>
  <si>
    <t>Правительство Республики Коми</t>
  </si>
  <si>
    <t>Команда Республики Коми</t>
  </si>
  <si>
    <t>https://t.me/komanda_komi</t>
  </si>
  <si>
    <t>Культура Усть-Куломского района</t>
  </si>
  <si>
    <t>Контроль покрытия муниципалитетов — служебный лист</t>
  </si>
  <si>
    <t>Показатели рассчитываются автоматически по основному муниципалитету.</t>
  </si>
  <si>
    <t>Всего источников</t>
  </si>
  <si>
    <t>Готовых источников</t>
  </si>
  <si>
    <t>Новостей за 30 дней</t>
  </si>
  <si>
    <t>Готовых новостей</t>
  </si>
  <si>
    <t>Ошибки</t>
  </si>
  <si>
    <t>МИ — КОМИ</t>
  </si>
  <si>
    <t>Максим Мартышин</t>
  </si>
  <si>
    <t>https://t.me/maximmart2903</t>
  </si>
  <si>
    <t>Парма гор</t>
  </si>
  <si>
    <t>Слава Верхней Вычегды</t>
  </si>
  <si>
    <t>Министерство здравоохранения Республики Коми</t>
  </si>
  <si>
    <t>Минздрав Коми</t>
  </si>
  <si>
    <t>https://t.me/minzdravkomi</t>
  </si>
  <si>
    <t>Управление образования администрации МР «Усть-Куломский»</t>
  </si>
  <si>
    <t>Газета «Парма гор»</t>
  </si>
  <si>
    <t>Министерство образования и науки Республики Коми</t>
  </si>
  <si>
    <t>Минобрнауки Коми</t>
  </si>
  <si>
    <t>https://t.me/komiedu</t>
  </si>
  <si>
    <t>Администрация МР «Сосногорск»</t>
  </si>
  <si>
    <t>БезФормата — Сосногорск</t>
  </si>
  <si>
    <t>Министерство природных ресурсов и охраны окружающей среды Республики Коми</t>
  </si>
  <si>
    <t>БНК — Сосногорск</t>
  </si>
  <si>
    <t>Минприроды Коми</t>
  </si>
  <si>
    <t>https://t.me/mprkomi</t>
  </si>
  <si>
    <t>Вести Тимана. Сосногорск</t>
  </si>
  <si>
    <t>Детский санаторий «Кедр»</t>
  </si>
  <si>
    <t>Ольга Сотникова — ректор СГУ им. Питирима Сорокина</t>
  </si>
  <si>
    <t>Ольга Сотникова | Ректор СГУ им. Питирима Сорокина</t>
  </si>
  <si>
    <t>Заря Тимана</t>
  </si>
  <si>
    <t>https://t.me/rectorSYKTSU</t>
  </si>
  <si>
    <t>Интернет-газета Коми — Сосногорск</t>
  </si>
  <si>
    <t>Росгвардия Коми — новости по Сосногорску</t>
  </si>
  <si>
    <t>Газпром трансгаз Ухта</t>
  </si>
  <si>
    <t>ООО «Газпром трансгаз Ухта»</t>
  </si>
  <si>
    <t>https://t.me/gazprom_gtukhta</t>
  </si>
  <si>
    <t>Сосногорск Медиа</t>
  </si>
  <si>
    <t>Сосногорская служба новостей</t>
  </si>
  <si>
    <t>Управление образования администрации МР «Сосногорск»</t>
  </si>
  <si>
    <t>МВД по Республике Коми</t>
  </si>
  <si>
    <t>Полиция Коми</t>
  </si>
  <si>
    <t>https://t.me/mvd_komi</t>
  </si>
  <si>
    <t>Весь Сосногорск</t>
  </si>
  <si>
    <t>Историко-краеведческий мемориальный музей г. Сосногорска</t>
  </si>
  <si>
    <t>Прокуратура Республики Коми</t>
  </si>
  <si>
    <t>https://t.me/komiproc</t>
  </si>
  <si>
    <t>Администрация муниципального района «Сыктывдинский»</t>
  </si>
  <si>
    <t>БезФормата — Выльгорт</t>
  </si>
  <si>
    <t>СУ СК России по Республике Коми</t>
  </si>
  <si>
    <t>https://t.me/su_skr11</t>
  </si>
  <si>
    <t>БНК — Сыктывдинский район</t>
  </si>
  <si>
    <t>Источник Онлайн</t>
  </si>
  <si>
    <t>Ухтинский государственный технический университет</t>
  </si>
  <si>
    <t>Наша жизнь</t>
  </si>
  <si>
    <t>УГТУ: Актуальное</t>
  </si>
  <si>
    <t>https://t.me/ugtu_aktualnoe</t>
  </si>
  <si>
    <t>Управление образования Сыктывдинского района</t>
  </si>
  <si>
    <t>ВСыке</t>
  </si>
  <si>
    <t>Контрольно-счётная палата Сыктывдинского района</t>
  </si>
  <si>
    <t>https://t.me/v_syke</t>
  </si>
  <si>
    <t>Администрация муниципального округа «Усинск»</t>
  </si>
  <si>
    <t>Не заполнено: Тип источника.</t>
  </si>
  <si>
    <t>БНК — Усинск</t>
  </si>
  <si>
    <t>Олег Михайлов — ГОЛОС РЕСПУБЛИКИ</t>
  </si>
  <si>
    <t>ГОЛОС РЕСПУБЛИКИ</t>
  </si>
  <si>
    <t>https://t.me/rkomivoice</t>
  </si>
  <si>
    <t>Ищу тебя Усинск</t>
  </si>
  <si>
    <t>Не заполнено: Муниципалитет.</t>
  </si>
  <si>
    <t>Коми-НАО — Усинск</t>
  </si>
  <si>
    <t>Ростислав Гольдштейн</t>
  </si>
  <si>
    <t>Гольдштейн | Республика Коми</t>
  </si>
  <si>
    <t>https://t.me/goldshtein_komi</t>
  </si>
  <si>
    <t>Наш новый Север</t>
  </si>
  <si>
    <t>Не заполнено: Муниципалитет, Тип источника.</t>
  </si>
  <si>
    <t>Новости Коми — Усинск</t>
  </si>
  <si>
    <t>Итого</t>
  </si>
  <si>
    <t>Северные ведомости</t>
  </si>
  <si>
    <t>Коми — это Ж</t>
  </si>
  <si>
    <t>Усинск Онлайн</t>
  </si>
  <si>
    <t>Коми - это Ж 🇷🇺</t>
  </si>
  <si>
    <t>https://t.me/komivkomi</t>
  </si>
  <si>
    <t>Усинск-Новости</t>
  </si>
  <si>
    <t>Коми Тещи и Неизвестные Отцы</t>
  </si>
  <si>
    <t>Усинск.Ин</t>
  </si>
  <si>
    <t>https://t.me/komitesha</t>
  </si>
  <si>
    <t>Усинская новь</t>
  </si>
  <si>
    <t>Usinsk.Online</t>
  </si>
  <si>
    <t>Усинск-Сити</t>
  </si>
  <si>
    <t>https://t.me/komiinform</t>
  </si>
  <si>
    <t>Город Усинск</t>
  </si>
  <si>
    <t>Повтор URL: строки 30, 299, 307, 309. Не заполнено: Муниципалитет.</t>
  </si>
  <si>
    <t>Администрация Корткеросского района</t>
  </si>
  <si>
    <t>КомиСлив</t>
  </si>
  <si>
    <t>БНК — Корткеросский район</t>
  </si>
  <si>
    <t>https://t.me/my_sykt</t>
  </si>
  <si>
    <t>Звезда</t>
  </si>
  <si>
    <t>КОРТКЕРОС | КОМИ</t>
  </si>
  <si>
    <t>Коми Телега</t>
  </si>
  <si>
    <t>КOMИ ТЕЛЕГА. Что видим - то поём</t>
  </si>
  <si>
    <t>Управление образования Корткеросского района</t>
  </si>
  <si>
    <t>https://t.me/komitelega</t>
  </si>
  <si>
    <t>Марина Метелёва</t>
  </si>
  <si>
    <t>Марина Метелева</t>
  </si>
  <si>
    <t>https://t.me/marina_meteleva_uhta</t>
  </si>
  <si>
    <t>Жесть Коми</t>
  </si>
  <si>
    <t>Не заполнено: Название.</t>
  </si>
  <si>
    <t>Новости Коми</t>
  </si>
  <si>
    <t>Про Город Сыктывкар</t>
  </si>
  <si>
    <t>Мария Бутина</t>
  </si>
  <si>
    <t>https://t.me/mariabutina</t>
  </si>
  <si>
    <t>Республика Коми Z</t>
  </si>
  <si>
    <t>KomiLeaks</t>
  </si>
  <si>
    <t>Новая Республика</t>
  </si>
  <si>
    <t>Газета Коми</t>
  </si>
  <si>
    <t>https://t.me/nrkomi</t>
  </si>
  <si>
    <t>Новости Сыктывкара и Коми</t>
  </si>
  <si>
    <t>https://t.me/siktivkar_smi</t>
  </si>
  <si>
    <t>ПЕСЕЦ</t>
  </si>
  <si>
    <t>https://t.me/pececc</t>
  </si>
  <si>
    <t>ПолитКоми</t>
  </si>
  <si>
    <t>https://t.me/northKomi</t>
  </si>
  <si>
    <t>Про Город Сыктывкар | Новости</t>
  </si>
  <si>
    <t>https://t.me/pg11ru</t>
  </si>
  <si>
    <t>Повтор URL: строки 87, 311. Не заполнено: Тип источника.</t>
  </si>
  <si>
    <t>Про Город Ухта</t>
  </si>
  <si>
    <t>https://t.me/pgukhta11</t>
  </si>
  <si>
    <t>РВК — Агрегатор новостей</t>
  </si>
  <si>
    <t>РВК - Агрегатор новостей</t>
  </si>
  <si>
    <t>https://t.me/ranshevcex</t>
  </si>
  <si>
    <t>Повтор URL: строки 91, 312. Не заполнено: Муниципалитет, Тип источника.</t>
  </si>
  <si>
    <t>https://t.me/rkomiru</t>
  </si>
  <si>
    <t>Повтор URL: строки 93, 313. Не заполнено: Муниципалитет, Тип источника.</t>
  </si>
  <si>
    <t>Станислав Кочев</t>
  </si>
  <si>
    <t>https://t.me/skochev</t>
  </si>
  <si>
    <t>Сыктывкар №1</t>
  </si>
  <si>
    <t>https://t.me/syktyvkar01</t>
  </si>
  <si>
    <t>Ту-ту на Воркуту</t>
  </si>
  <si>
    <t>https://t.me/tovorkuta</t>
  </si>
  <si>
    <t>Ухо Ухты</t>
  </si>
  <si>
    <t>https://t.me/uhoukhta</t>
  </si>
  <si>
    <t>Это Коми, детка!</t>
  </si>
  <si>
    <t>https://t.me/etokomidetka</t>
  </si>
  <si>
    <t>Я живу в Коми</t>
  </si>
  <si>
    <t>https://t.me/zhivuvkomi11</t>
  </si>
  <si>
    <t>https://t.me/komileaks</t>
  </si>
  <si>
    <t>Повтор URL: строки 118, 314. Не заполнено: Муниципалитет, Тип источника.</t>
  </si>
  <si>
    <t>Министерство труда и социальной защиты Республики Коми</t>
  </si>
  <si>
    <t>МИНТРУДСОЦ КОМИ</t>
  </si>
  <si>
    <t>https://t.me/mintrudsocKomi</t>
  </si>
  <si>
    <t>Министерство цифрового развития и связи Республики Коми</t>
  </si>
  <si>
    <t>Минцифры Коми</t>
  </si>
  <si>
    <t>https://t.me/digitalkomi</t>
  </si>
  <si>
    <t>Министерство экономического развития и промышленности Республики Коми</t>
  </si>
  <si>
    <t>Минэкономразвития и промышленности Республики Коми</t>
  </si>
  <si>
    <t>https://t.me/MinEcKomi</t>
  </si>
  <si>
    <t>Администрация Сыктывкара</t>
  </si>
  <si>
    <t>Б-22 | Мэрия Сыктывкара | Бабушкина, 22</t>
  </si>
  <si>
    <t>https://t.me/babushkina22</t>
  </si>
  <si>
    <t>Администрация муниципального округа «Воркута»</t>
  </si>
  <si>
    <t>https://max.ru/id1103023523_gos</t>
  </si>
  <si>
    <t>Воркутинский Дом Учителя</t>
  </si>
  <si>
    <t>Воркутинский Дом учителя</t>
  </si>
  <si>
    <t>https://max.ru/id1103002530_gos</t>
  </si>
  <si>
    <t>Министерство молодежной политики Республики Коми</t>
  </si>
  <si>
    <t>https://max.ru/id1101175721_gos</t>
  </si>
  <si>
    <t>Министерство транспорта Республики Коми</t>
  </si>
  <si>
    <t>https://max.ru/id1101182084_gos</t>
  </si>
  <si>
    <t>https://max.ru/mvd11</t>
  </si>
  <si>
    <t>https://max.ru/channel_MNM</t>
  </si>
  <si>
    <t>Туристский информационный центр Республики Коми</t>
  </si>
  <si>
    <t>МинТуризмаКоми</t>
  </si>
  <si>
    <t>https://max.ru/turinfokomi</t>
  </si>
  <si>
    <t>Про Город Ухта | Новости Ухты</t>
  </si>
  <si>
    <t>https://max.ru/vkpgu</t>
  </si>
  <si>
    <t>Управление образования Воркуты</t>
  </si>
  <si>
    <t>УпрО Воркута</t>
  </si>
  <si>
    <t>https://max.ru/id1103023731_gos</t>
  </si>
  <si>
    <t>Комитет Республики Коми по закупкам</t>
  </si>
  <si>
    <t>Министерство закупок Республики Коми</t>
  </si>
  <si>
    <t>https://max.ru/id1101170040_gos</t>
  </si>
  <si>
    <t>Комитет Республики Коми по тарифам</t>
  </si>
  <si>
    <t>Министерство тарифного регулирования Республики Коми</t>
  </si>
  <si>
    <t>https://max.ru/id1101169990_gos</t>
  </si>
  <si>
    <t>Минздрав Республики Коми</t>
  </si>
  <si>
    <t>https://max.ru/minzdravkomi</t>
  </si>
  <si>
    <t>Министерство строительства и ЖКХ Республики Коми</t>
  </si>
  <si>
    <t>Минстрой Республики Коми</t>
  </si>
  <si>
    <t>https://max.ru/minstrrk</t>
  </si>
  <si>
    <t>Минтрудсоц Республики Коми</t>
  </si>
  <si>
    <t>https://max.ru/socialkomi</t>
  </si>
  <si>
    <t>https://max.ru/goldshtein_komi</t>
  </si>
  <si>
    <t>https://max.ru/amogosykt</t>
  </si>
  <si>
    <t>Администрация Эжвинского района</t>
  </si>
  <si>
    <t>Администрация Эжвинского района МО ГО "Сыктывкар</t>
  </si>
  <si>
    <t>https://max.ru/ezhva_adm</t>
  </si>
  <si>
    <t>https://max.ru/channel_maximmart2903</t>
  </si>
  <si>
    <t>https://max.ru/syktyvkar01</t>
  </si>
  <si>
    <t>Не заполнено: Тип источника, Название.</t>
  </si>
  <si>
    <t>УГТУ | Ухта</t>
  </si>
  <si>
    <t>https://max.ru/id1102011331_biz</t>
  </si>
  <si>
    <t>https://max.ru/pressrkomi</t>
  </si>
  <si>
    <t>Не заполнено: Муниципалитет, Тип источника, Название.</t>
  </si>
  <si>
    <t>Юрган</t>
  </si>
  <si>
    <t>https://max.ru/yurgankomi</t>
  </si>
  <si>
    <t>https://vorkuta.gosuslugi.ru/dlya-zhiteley/novosti-i-reportazhi/</t>
  </si>
  <si>
    <t>Свежая публикация: 01.09.2026..</t>
  </si>
  <si>
    <t>Администрация Ухты</t>
  </si>
  <si>
    <t>https://mouhta.ru/news/</t>
  </si>
  <si>
    <t>ВоркутаУголь</t>
  </si>
  <si>
    <t>Воркута Уголь</t>
  </si>
  <si>
    <t>https://vorkutaugol.ru/vu-media/news</t>
  </si>
  <si>
    <t>Воркутинский филиал УГТУ</t>
  </si>
  <si>
    <t>Воркутинский филиал | Ухтинский государственный технический университет</t>
  </si>
  <si>
    <t>https://vf.ugtu.net</t>
  </si>
  <si>
    <t>Государственный Совет Республики Коми</t>
  </si>
  <si>
    <t>https://www.gsrk.ru/presscenter/news/</t>
  </si>
  <si>
    <t>Контрольно-счетная палата Ухты</t>
  </si>
  <si>
    <t>Контрольно-счетная палата муниципального округа «Ухта» Республики Коми</t>
  </si>
  <si>
    <t>https://ксп-ухта.рф/news/</t>
  </si>
  <si>
    <t>https://zakupki.rkomi.ru/presscenter/news/</t>
  </si>
  <si>
    <t>https://minzdrav.rkomi.ru/presscenter/news/</t>
  </si>
  <si>
    <t>Министерство имущественных и земельных отношений Республики Коми</t>
  </si>
  <si>
    <t>https://agui.rkomi.ru/presscenter/news/</t>
  </si>
  <si>
    <t>Министерство культуры и архивного дела Республики Коми</t>
  </si>
  <si>
    <t>https://mincult.rkomi.ru/presscenter/news/</t>
  </si>
  <si>
    <t>https://molodezh.rkomi.ru/presscenter/news/</t>
  </si>
  <si>
    <t>Министерство национальной политики Республики Коми</t>
  </si>
  <si>
    <t>https://minnats.rkomi.ru/presscenter/news/</t>
  </si>
  <si>
    <t>https://minobr.rkomi.ru/presscenter/news/</t>
  </si>
  <si>
    <t>Министерство природных ресурсов и экологии Республики Коми</t>
  </si>
  <si>
    <t>https://mpr.rkomi.ru/presscenter/news/</t>
  </si>
  <si>
    <t>Министерство сельского хозяйства и торговли Республики Коми</t>
  </si>
  <si>
    <t>https://mshp.rkomi.ru/presscenter/news/</t>
  </si>
  <si>
    <t>https://arch.rkomi.ru/presscenter/news/</t>
  </si>
  <si>
    <t>https://komirec.rkomi.ru/presscenter/news/</t>
  </si>
  <si>
    <t>https://mintrudsoc.rkomi.ru/presscenter/news/</t>
  </si>
  <si>
    <t>Министерство физической культуры и спорта Республики Коми</t>
  </si>
  <si>
    <t>https://sport.rkomi.ru/presscenter/news/</t>
  </si>
  <si>
    <t>Министерство финансов Республики Коми</t>
  </si>
  <si>
    <t>https://minfin.rkomi.ru/presscenter/news/</t>
  </si>
  <si>
    <t>https://digital.rkomi.ru/presscenter/news/</t>
  </si>
  <si>
    <t>https://econom.rkomi.ru/presscenter/news/</t>
  </si>
  <si>
    <t>Министерство юстиции Республики Коми</t>
  </si>
  <si>
    <t>https://minjust.rkomi.ru/presscenter/news/</t>
  </si>
  <si>
    <t>Дворец творчества детей и молодежи Воркуты</t>
  </si>
  <si>
    <t>Новости - Дворец творчества детей и молодежи г. Воркута</t>
  </si>
  <si>
    <t>https://www.dtdm-vorkuta.ru/novosti</t>
  </si>
  <si>
    <t>Ухтаводоканал</t>
  </si>
  <si>
    <t>Новости — МУП "Ухтаводоканал"</t>
  </si>
  <si>
    <t>https://ukhtavodokanal.ru/?page_id=37</t>
  </si>
  <si>
    <t>Совет Сыктывкара</t>
  </si>
  <si>
    <t>Новости | Совет МО ГО «Сыктывкар»</t>
  </si>
  <si>
    <t>https://syktyvkar-sovet.ru/news/</t>
  </si>
  <si>
    <t>https://gov.rkomi.ru/press</t>
  </si>
  <si>
    <t>https://epp.genproc.gov.ru/web/proc_11</t>
  </si>
  <si>
    <t>https://сыктывкар.рф/</t>
  </si>
  <si>
    <t>Сыктывкарский ЛПК</t>
  </si>
  <si>
    <t>https://slpk.com/news/</t>
  </si>
  <si>
    <t>Управление образования администрации муниципального округа «Воркута»</t>
  </si>
  <si>
    <t>https://uprovorcuta.ru/index.php/novosti.html</t>
  </si>
  <si>
    <t>Управление физкультуры и спорта Воркуты</t>
  </si>
  <si>
    <t>Управление физической культуры и спорта администрации муниципального округа «Воркута» Республики Коми</t>
  </si>
  <si>
    <t>https://vorkutasports.ru/news</t>
  </si>
  <si>
    <t>https://угту.рф/news</t>
  </si>
  <si>
    <t>Официальный портал Республики Коми</t>
  </si>
  <si>
    <t>https://www.rkomi.ru/news</t>
  </si>
  <si>
    <t>Коми Гор</t>
  </si>
  <si>
    <t>ГТРК «Коми Гор» - филиал ФГУП ВГТРК</t>
  </si>
  <si>
    <t>https://komigor.com/</t>
  </si>
  <si>
    <t>Повтор URL: строки 24, 304. Не заполнено: Муниципалитет, Тип источника.</t>
  </si>
  <si>
    <t>Моя Воркута</t>
  </si>
  <si>
    <t>Новости | Моя Воркута</t>
  </si>
  <si>
    <t>https://gazetamv.ru/category/novosti</t>
  </si>
  <si>
    <t>Новости | Новости Сыктывкара | Про Город Сыктывкар</t>
  </si>
  <si>
    <t>https://pg11.ru/news</t>
  </si>
  <si>
    <t>Новости Воркуты – БНК</t>
  </si>
  <si>
    <t>https://www.bnkomi.ru/data/city/5</t>
  </si>
  <si>
    <t>Новости Республики Коми | Комиинформ</t>
  </si>
  <si>
    <t>https://komiinform.ru/</t>
  </si>
  <si>
    <t>Повтор URL: строки 72, 308. Не заполнено: Муниципалитет.</t>
  </si>
  <si>
    <t>Совет Ухты</t>
  </si>
  <si>
    <t>Новости Совета муниципального округа «Ухта»</t>
  </si>
  <si>
    <t>https://sovet.mouhta.ru/news/</t>
  </si>
  <si>
    <t>Повтор URL: строки 73, 74. Проверено 02.09.2026: доступен.</t>
  </si>
  <si>
    <t>Новости Сыктывкара – БНК</t>
  </si>
  <si>
    <t>https://www.bnkomi.ru/data/city/2</t>
  </si>
  <si>
    <t>Новости Ухты - Про Город Ухта</t>
  </si>
  <si>
    <t>https://progoroduhta.ru</t>
  </si>
  <si>
    <t>Новости Ухты – БНК</t>
  </si>
  <si>
    <t>https://www.bnkomi.ru/data/city/6</t>
  </si>
  <si>
    <t>Телеканал Юрган — официальный сайт</t>
  </si>
  <si>
    <t>https://юрган.рф/</t>
  </si>
  <si>
    <t>Администрация МО ГО «Сыктывкар»</t>
  </si>
  <si>
    <t>https://vk.com/amogosykt</t>
  </si>
  <si>
    <t>Администрация пгт Верхняя Максаковка</t>
  </si>
  <si>
    <t>https://vk.com/vmaksakovka</t>
  </si>
  <si>
    <t>Администрация пгт Краснозатонский</t>
  </si>
  <si>
    <t>https://vk.com/krasnozatonskiy</t>
  </si>
  <si>
    <t>Алексей Просужих</t>
  </si>
  <si>
    <t>https://vk.com/id247737586</t>
  </si>
  <si>
    <t>https://vk.com/pressgsrk</t>
  </si>
  <si>
    <t>Дом дружбы народов Республики Коми</t>
  </si>
  <si>
    <t>https://vk.com/ddnkomi</t>
  </si>
  <si>
    <t>Комитет жилищной политики администрации Сыктывкара</t>
  </si>
  <si>
    <t>https://vk.com/kjp_syktyvkar</t>
  </si>
  <si>
    <t>Комитет Республики Коми имущественных и земельных отношений</t>
  </si>
  <si>
    <t>https://vk.com/aguirkomi</t>
  </si>
  <si>
    <t>https://vk.com/komirec</t>
  </si>
  <si>
    <t>https://vk.com/maximmart2903</t>
  </si>
  <si>
    <t>МКП «Дорожное хозяйство»</t>
  </si>
  <si>
    <t>https://vk.com/dorojnoehozajstvo</t>
  </si>
  <si>
    <t>Молодёжный центр г. Сыктывкара</t>
  </si>
  <si>
    <t>https://vk.com/molcentr_sykt</t>
  </si>
  <si>
    <t>Роман Носков</t>
  </si>
  <si>
    <t>https://vk.com/rvnoskov</t>
  </si>
  <si>
    <t>https://vk.com/syktslpk</t>
  </si>
  <si>
    <t>Управление дорожной инфраструктуры, транспорта и связи администрации Сыктывкара</t>
  </si>
  <si>
    <t>https://vk.com/syktuditis</t>
  </si>
  <si>
    <t>Управление дошкольного образования администрации Сыктывкара</t>
  </si>
  <si>
    <t>https://vk.com/udosykt</t>
  </si>
  <si>
    <t>Управление ЖКХ г. Сыктывкара</t>
  </si>
  <si>
    <t>https://vk.com/syktzhkh</t>
  </si>
  <si>
    <t>Управление культуры администрации Сыктывкара</t>
  </si>
  <si>
    <t>https://vk.com/kultsykt</t>
  </si>
  <si>
    <t>Управление физической культуры и спорта администрации Сыктывкара</t>
  </si>
  <si>
    <t>https://vk.com/sportsyktyvkara</t>
  </si>
  <si>
    <t>Центр культурных мероприятий г. Сыктывкара</t>
  </si>
  <si>
    <t>https://vk.com/mauk_ckm</t>
  </si>
  <si>
    <t>Центр социальной защиты населения Эжвинского района г. Сыктывкара</t>
  </si>
  <si>
    <t>https://vk.com/social_ezhva</t>
  </si>
  <si>
    <t>Центр спортивных мероприятий г. Сыктывкара</t>
  </si>
  <si>
    <t>https://vk.com/csmsykt</t>
  </si>
  <si>
    <t>Коми республиканский институт развития образования (КРИРО)</t>
  </si>
  <si>
    <t>Коми респ. институт развития образования / КРИРО</t>
  </si>
  <si>
    <t>https://vk.com/kriro_ru</t>
  </si>
  <si>
    <t>Администрация муниципального округа "Воркута"</t>
  </si>
  <si>
    <t>https://vk.com/gorodvorkuta</t>
  </si>
  <si>
    <t>Игорь Гурьев</t>
  </si>
  <si>
    <t>https://vk.com/igor_gurev1968</t>
  </si>
  <si>
    <t>https://vk.com/zakupkikomi</t>
  </si>
  <si>
    <t>https://vk.com/mvd11</t>
  </si>
  <si>
    <t>https://vk.com/minzdravkomi</t>
  </si>
  <si>
    <t>Министерство культуры и архивного дела Коми</t>
  </si>
  <si>
    <t>https://vk.com/mincultkomi</t>
  </si>
  <si>
    <t>Миннац Республики Коми</t>
  </si>
  <si>
    <t>https://vk.com/minnats.rkomi</t>
  </si>
  <si>
    <t>Минобрнауки Республики Коми</t>
  </si>
  <si>
    <t>https://vk.com/komiedu</t>
  </si>
  <si>
    <t>Минприроды Республики Коми</t>
  </si>
  <si>
    <t>https://vk.com/minpr.rkomi</t>
  </si>
  <si>
    <t>Минсельхоз Республики Коми</t>
  </si>
  <si>
    <t>https://vk.com/selskoe_hozaistvo_komi</t>
  </si>
  <si>
    <t>https://vk.com/minstrrk</t>
  </si>
  <si>
    <t>https://vk.com/socialkomi</t>
  </si>
  <si>
    <t>Министерство физической культуры и спорта Коми</t>
  </si>
  <si>
    <t>https://vk.com/minsportkomi</t>
  </si>
  <si>
    <t>Минфин Республики Коми</t>
  </si>
  <si>
    <t>https://vk.com/minfinkomi</t>
  </si>
  <si>
    <t>Минэкономразвития Республики Коми</t>
  </si>
  <si>
    <t>https://vk.com/mineconomy11</t>
  </si>
  <si>
    <t>Минюст Республики Коми</t>
  </si>
  <si>
    <t>https://vk.com/minjust.komi</t>
  </si>
  <si>
    <t>https://vk.com/pressrkomi</t>
  </si>
  <si>
    <t>Ростислав Гольштейн</t>
  </si>
  <si>
    <t>https://vk.com/goldshtein_komi</t>
  </si>
  <si>
    <t>https://vk.com/skkomi</t>
  </si>
  <si>
    <t>ЦУР Республики Коми</t>
  </si>
  <si>
    <t>https://vk.com/tsur11</t>
  </si>
  <si>
    <t>Сыктывкару – 250!</t>
  </si>
  <si>
    <t>https://vk.com/syktyvkar_250</t>
  </si>
  <si>
    <t>Коми республиканский онкологический диспансер</t>
  </si>
  <si>
    <t>Коми республиканский клинический онкодиспансер</t>
  </si>
  <si>
    <t>https://vk.com/vonkokomi</t>
  </si>
  <si>
    <t>Алексей Владимирович Линков</t>
  </si>
  <si>
    <t>Алексей Линков</t>
  </si>
  <si>
    <t>https://vk.com/linkovalexey</t>
  </si>
  <si>
    <t>Андрей Павлович Галин</t>
  </si>
  <si>
    <t>Андрей Галин</t>
  </si>
  <si>
    <t>https://vk.com/galinandreypavlovich</t>
  </si>
  <si>
    <t>Дмитрий Игоревич Ильин</t>
  </si>
  <si>
    <t>Дмитрий Ильин</t>
  </si>
  <si>
    <t>https://vk.com/iliyn_di</t>
  </si>
  <si>
    <t>Наталья Дмитриевна Дубова</t>
  </si>
  <si>
    <t>Наталья Дубова</t>
  </si>
  <si>
    <t>https://vk.com/id177006107</t>
  </si>
  <si>
    <t>Совет города Сыктывкара</t>
  </si>
  <si>
    <t>https://vk.com/syktyvkarsovet</t>
  </si>
  <si>
    <t>Проспект Сыктывкар</t>
  </si>
  <si>
    <t>Проспект/Сыктывкар</t>
  </si>
  <si>
    <t>https://vk.ru/prospectsyk</t>
  </si>
  <si>
    <t>Администрация муниципального округа «Ухта»</t>
  </si>
  <si>
    <t>https://vk.com/mouhta</t>
  </si>
  <si>
    <t>https://vk.com/gazprom_gtukhta</t>
  </si>
  <si>
    <t>КСП муниципального округа "Ухта"</t>
  </si>
  <si>
    <t>https://vk.com/ksp_uhta</t>
  </si>
  <si>
    <t>Совет муниципального округа "Ухта"</t>
  </si>
  <si>
    <t>https://vk.com/sovetuhta</t>
  </si>
  <si>
    <t>Агентство по туризму Республики Коми</t>
  </si>
  <si>
    <t>https://vk.com/turinfokomi</t>
  </si>
  <si>
    <t>Не заполнено: Муниципалитет, Название.</t>
  </si>
  <si>
    <t>Вести Коми</t>
  </si>
  <si>
    <t>ГТРК Коми Гор</t>
  </si>
  <si>
    <t>https://vk.com/vesti11</t>
  </si>
  <si>
    <t>Телеканал «Юрган»</t>
  </si>
  <si>
    <t>https://vk.com/yurgankomi</t>
  </si>
  <si>
    <t>Венедикт</t>
  </si>
  <si>
    <t>https://t.me/pechoraonline</t>
  </si>
  <si>
    <t>https://t.me/OverheardUsinsk</t>
  </si>
  <si>
    <t>Нет публичной ленты.</t>
  </si>
  <si>
    <t>https://t.me/mainkomi</t>
  </si>
  <si>
    <t>Неофициальный источник. Доступен.</t>
  </si>
  <si>
    <t>https://t.me/komivoytyr</t>
  </si>
  <si>
    <t>https://t.me/pechoratoday</t>
  </si>
  <si>
    <t>https://t.me/OverHeardPechora</t>
  </si>
  <si>
    <t>https://t.me/SosnogorskNews</t>
  </si>
  <si>
    <t>https://t.me/pechora11rus</t>
  </si>
  <si>
    <t>https://t.me/usinsk_novosti</t>
  </si>
  <si>
    <t>https://t.me/+ArEBWZ2nQvVjMzIy</t>
  </si>
  <si>
    <t>Ссылка ведёт в чат, не новостной канал.</t>
  </si>
  <si>
    <t>https://kortkeros-r11.gosweb.gosuslugi.ru/</t>
  </si>
  <si>
    <t>https://www.pechoraonline.ru/ru/news/</t>
  </si>
  <si>
    <t>https://www.sosnogorsk.org/</t>
  </si>
  <si>
    <t>https://usinsk.gosuslugi.ru/</t>
  </si>
  <si>
    <t>https://syktyvdin.gosuslugi.ru/</t>
  </si>
  <si>
    <t>Свежая публикация: 02.09.2026..</t>
  </si>
  <si>
    <t>https://ust-kulomsky.gosuslugi.ru/</t>
  </si>
  <si>
    <t>https://sosnogorsk.bezformata.com/</t>
  </si>
  <si>
    <t>https://www.bnkomi.ru/</t>
  </si>
  <si>
    <t>https://www.bnkomi.ru/data/city/16</t>
  </si>
  <si>
    <t>https://www.bnkomi.ru/data/city/4</t>
  </si>
  <si>
    <t>https://www.bnkomi.ru/data/city/9</t>
  </si>
  <si>
    <t>https://www.bnkomi.ru/data/city/7</t>
  </si>
  <si>
    <t>https://www.bnkomi.ru/data/city/17</t>
  </si>
  <si>
    <t>https://vpechore.ru/</t>
  </si>
  <si>
    <t>https://www.sosnogorsk.org/about/smi/vestitimana/</t>
  </si>
  <si>
    <t>https://ves-sosnogorsk.ru/</t>
  </si>
  <si>
    <t>https://xn----7sban6bpbjf.xn--p1ai/</t>
  </si>
  <si>
    <t>https://gazetakomi.ru/</t>
  </si>
  <si>
    <t>https://komigor.com/geo/ust-kulomskij-rajon/</t>
  </si>
  <si>
    <t>http://dskedr.ucoz.net/</t>
  </si>
  <si>
    <t>https://www.sosnogorsk.org/about/smi/smi/</t>
  </si>
  <si>
    <t>https://gazeta-komi.ru/category/sosnogorsk/</t>
  </si>
  <si>
    <t>https://museum-sosnogorsk.ru/</t>
  </si>
  <si>
    <t>https://www.komi-nao.ru/komi/usinsk/novosti</t>
  </si>
  <si>
    <t>https://komiinform.ru/news/municipal/7</t>
  </si>
  <si>
    <t>https://komi-nao.ru/komi/ust-kulom/novosti</t>
  </si>
  <si>
    <t>https://komiinform.ru/news/municipal/13/</t>
  </si>
  <si>
    <t>https://komiinform.ru/news/municipal/22</t>
  </si>
  <si>
    <t>https://usinsk.in/nns/</t>
  </si>
  <si>
    <t>https://komiinform.ru/news/municipal/14/</t>
  </si>
  <si>
    <t>https://vilgort.bezformata.com/</t>
  </si>
  <si>
    <t>https://www.bnkomi.ru/data/city/11</t>
  </si>
  <si>
    <t>https://istochnik.online/</t>
  </si>
  <si>
    <t>https://nasha-zhizn.ru/</t>
  </si>
  <si>
    <t>https://xn--11-6kca4agg0bf9h2b.xn--p1ai/</t>
  </si>
  <si>
    <t>https://vk.com/nashazhizn11</t>
  </si>
  <si>
    <t>https://www.ksp-syktyvdin.ru/</t>
  </si>
  <si>
    <t>https://ust-kulomsky.gosuslugi.ru/deyatelnost/napravleniya-deyatelnosti/kultura/</t>
  </si>
  <si>
    <t>https://usinsk.in/week/</t>
  </si>
  <si>
    <t>https://news-komi.ru/</t>
  </si>
  <si>
    <t>https://usinsk.in/sv/</t>
  </si>
  <si>
    <t>https://parma-gor.orgs.biz/</t>
  </si>
  <si>
    <t>https://pechora-cbs.ru/</t>
  </si>
  <si>
    <t>https://press.pechoraonline.ru/</t>
  </si>
  <si>
    <t>https://muzeum-pechora.ru/</t>
  </si>
  <si>
    <t>https://pv-pechora.ru/</t>
  </si>
  <si>
    <t>https://rosguard.gov.ru/News/</t>
  </si>
  <si>
    <t>https://usinsk.online/</t>
  </si>
  <si>
    <t>https://xn-----6kcajcbijgac3cu0b9bj4fzb1ee.xn--p1ai/</t>
  </si>
  <si>
    <t>https://www.sosnogorsk.org/strukturnye/mau-sosnogorsk-media/general-information/</t>
  </si>
  <si>
    <t>https://культурапечора.рф/</t>
  </si>
  <si>
    <t>https://sosnogorsk-edu.ru/</t>
  </si>
  <si>
    <t>https://ruoust-kulom.ucoz.ru/</t>
  </si>
  <si>
    <t>https://kortobrazovanie.ucoz.ru/</t>
  </si>
  <si>
    <t>https://syktyvdin.edusite.ru/</t>
  </si>
  <si>
    <t>https://usinsk-novosti.ru/</t>
  </si>
  <si>
    <t>https://usinsk.in/</t>
  </si>
  <si>
    <t>https://gorodusinsk.ru/</t>
  </si>
  <si>
    <t>https://usinsk.in/un/</t>
  </si>
  <si>
    <t>https://usinsk-city.ru/</t>
  </si>
  <si>
    <t>https://vk.com/pechoraonline</t>
  </si>
  <si>
    <t>https://vk.com/syktyvdin</t>
  </si>
  <si>
    <t>https://vk.com/vtsosnogorsk</t>
  </si>
  <si>
    <t>https://vkvideo.ru/@vesti11</t>
  </si>
  <si>
    <t>https://vk.com/zaryatimana</t>
  </si>
  <si>
    <t>https://vkvideo.ru/@zaryatimana</t>
  </si>
  <si>
    <t>https://vk.com/zvezdakomikortkeros</t>
  </si>
  <si>
    <t>https://vk.com/gazeta_syktivdin11</t>
  </si>
  <si>
    <t>https://vk.com/kortkeros</t>
  </si>
  <si>
    <t>https://m.vkvideo.ru/@kortkeros</t>
  </si>
  <si>
    <t>https://vk.com/nk.sosnogorsk</t>
  </si>
  <si>
    <t>https://vk.com/typical_pecha</t>
  </si>
  <si>
    <t>https://vk.com/kulturapechora</t>
  </si>
  <si>
    <t>https://vk.com/usinsk_novosti</t>
  </si>
  <si>
    <t>https://vkvideo.ru/@usinsk_novosti</t>
  </si>
  <si>
    <t>https://vk.com/usnov</t>
  </si>
  <si>
    <t>https://vk.com/usinskonline</t>
  </si>
  <si>
    <t>Александр</t>
  </si>
  <si>
    <t>Администрация МО "Княжпогостский"</t>
  </si>
  <si>
    <t>https://knyazhpogostskij-r11.gosweb.gosuslugi.ru/</t>
  </si>
  <si>
    <t>Свежая публикация: 06.09.2026..</t>
  </si>
  <si>
    <t>Администрация МР "Ижемский"</t>
  </si>
  <si>
    <r>
      <rPr>
        <u/>
        <sz val="9"/>
        <color rgb="FF1155CC"/>
        <rFont val="Carlito"/>
      </rPr>
      <t>https://izhemskij-r11.gosweb.gosuslugi.ru/</t>
    </r>
  </si>
  <si>
    <t>Администрация МР "Прилузский"</t>
  </si>
  <si>
    <t>https://www.priluzie.ru/</t>
  </si>
  <si>
    <t>Администрация МР "Сысольский"</t>
  </si>
  <si>
    <t>https://sysola-r11.gosweb.gosuslugi.ru/</t>
  </si>
  <si>
    <t>Свежая публикация: 31.08.2026..</t>
  </si>
  <si>
    <t>Администрация МР "Удорский"</t>
  </si>
  <si>
    <t>https://udorskij-r11.gosweb.gosuslugi.ru/</t>
  </si>
  <si>
    <t>Администрация МР "Удорский" 3</t>
  </si>
  <si>
    <t>https://udorainfo.gosuslugi.ru/</t>
  </si>
  <si>
    <t>Администрация МР "Усть-Цилемский"</t>
  </si>
  <si>
    <t>https://ustcilemskij-r11.gosweb.gosuslugi.ru/</t>
  </si>
  <si>
    <t xml:space="preserve">Администрация МР "троицко-печорск"
</t>
  </si>
  <si>
    <t>Администрация МР «Троицко-Печорск»</t>
  </si>
  <si>
    <r>
      <rPr>
        <u/>
        <sz val="9"/>
        <color rgb="FF1155CC"/>
        <rFont val="Carlito"/>
      </rPr>
      <t>https://admtrpk.gosuslugi.ru/</t>
    </r>
  </si>
  <si>
    <t>Администрация МР «Усть-Вымский»</t>
  </si>
  <si>
    <t>Администрация муниципального района «Усть-Вымский»</t>
  </si>
  <si>
    <t>https://ustvymskij-r11.gosweb.gosuslugi.ru/</t>
  </si>
  <si>
    <t>Газета "Заря"</t>
  </si>
  <si>
    <t>Газета «Заря» | Троицко - Печорск</t>
  </si>
  <si>
    <r>
      <rPr>
        <u/>
        <sz val="9"/>
        <color rgb="FF1155CC"/>
        <rFont val="Carlito"/>
      </rPr>
      <t>https://gazetazarya.ru/</t>
    </r>
  </si>
  <si>
    <t>Газета «Знамя труда»</t>
  </si>
  <si>
    <t>Газета «Знамя труда» | Прилузский</t>
  </si>
  <si>
    <t>https://znamyatryda.ru/</t>
  </si>
  <si>
    <t>Газета «Княжпогостские вести/Емва»</t>
  </si>
  <si>
    <t>Газета «Княжпогостские вести/Емва» | Княжпогостский</t>
  </si>
  <si>
    <t>https://knvesti.ru/</t>
  </si>
  <si>
    <t>Газета «Новая Жизнь» | Койгородок</t>
  </si>
  <si>
    <t>https://novaia-zhizn.ru/</t>
  </si>
  <si>
    <t>Газета «Сияние Севера» | Вуктыл</t>
  </si>
  <si>
    <t>https://siyanie-severa.ru/</t>
  </si>
  <si>
    <t>Мбу «Районный центр культуры, досуга и кино»</t>
  </si>
  <si>
    <t>https://kdo-rckdik-ustcilma-r11.gosweb.gosuslugi.ru/</t>
  </si>
  <si>
    <t>Свежая публикация: 24.08.2026..</t>
  </si>
  <si>
    <t>МБУК "централизованная бибилиотечная систем"</t>
  </si>
  <si>
    <t>https://cbs-inta.ru/</t>
  </si>
  <si>
    <t>https://minobr.rkomi.ru/</t>
  </si>
  <si>
    <t>https://mpr.rkomi.ru/</t>
  </si>
  <si>
    <t>https://mshp.rkomi.ru/</t>
  </si>
  <si>
    <t>Министерство строительства и жилищно-коммунального хозяйства Республики Коми</t>
  </si>
  <si>
    <t>https://arch.rkomi.ru/</t>
  </si>
  <si>
    <t>https://mintrudsoc.rkomi.ru/</t>
  </si>
  <si>
    <t>https://sport.rkomi.ru/</t>
  </si>
  <si>
    <t>https://digital.rkomi.ru</t>
  </si>
  <si>
    <t>https://econom.rkomi.ru/</t>
  </si>
  <si>
    <t>администрация МО "Инта"</t>
  </si>
  <si>
    <t>Официальный сайт МО «Инта»</t>
  </si>
  <si>
    <t>https://adminta.ru/</t>
  </si>
  <si>
    <t>Служба строительного и жилищного контроля (надзора) Республики Коми</t>
  </si>
  <si>
    <t>https://nadzor.rkomi.ru/about/structure/</t>
  </si>
  <si>
    <t>Совет МР "Удорский"</t>
  </si>
  <si>
    <t>http://sov.udora.info/</t>
  </si>
  <si>
    <t>Совет МР "Усть-Вымский"</t>
  </si>
  <si>
    <t>https://ustvymskij.ru/index.php/sovet-mr-ust-vymskij</t>
  </si>
  <si>
    <t>Управление образования АМР "Сысольский"</t>
  </si>
  <si>
    <t>http://uo-vizinga.lbihost.ru/</t>
  </si>
  <si>
    <t>Управление физической культуры и спорта</t>
  </si>
  <si>
    <t>https://ustvymskij.ru/index.php/upravlenie-fizicheskoj-kultury-i-sporta</t>
  </si>
  <si>
    <t>александр</t>
  </si>
  <si>
    <t>Финансовое Управление Администрации Муниципального Района "Ижемский"</t>
  </si>
  <si>
    <t>http://fuizhma.ru/</t>
  </si>
  <si>
    <t>Администрация МР "Прилузский" 2</t>
  </si>
  <si>
    <t>https://priluzie.gosuslugi.ru/</t>
  </si>
  <si>
    <t>Администрация МР "Удорский" 2</t>
  </si>
  <si>
    <t>https://udora.info/administratsiya</t>
  </si>
  <si>
    <t>ВК Администрация МО "Княжпогостский"</t>
  </si>
  <si>
    <t>https://vk.ru/amo_knyaz</t>
  </si>
  <si>
    <t>Администрация МО «Вуктыл»</t>
  </si>
  <si>
    <t>ВК Администрация МО «Вуктыл»</t>
  </si>
  <si>
    <t>https://vk.ru/movuktyl</t>
  </si>
  <si>
    <t>ВК Администрация МО «Инта»</t>
  </si>
  <si>
    <t>https://vk.ru/intaofficial</t>
  </si>
  <si>
    <t>Администрация МР «Койгородок»</t>
  </si>
  <si>
    <t>ВК Администрация МР «Койгородок»</t>
  </si>
  <si>
    <t>https://vk.ru/koygorodsky</t>
  </si>
  <si>
    <t>Газета «Вперед»</t>
  </si>
  <si>
    <t>ВК Газета «Вперед» | Усть - Вымский</t>
  </si>
  <si>
    <t>https://vk.ru/vpered1932</t>
  </si>
  <si>
    <t>Газета «Вылыс Эжва»</t>
  </si>
  <si>
    <t>ВК Газета «Вылыс Эжва» | Удорский</t>
  </si>
  <si>
    <t>https://vk.ru/public91733271</t>
  </si>
  <si>
    <t>Газета «Красная Печора»</t>
  </si>
  <si>
    <t>ВК Газета «Красная Печора» | Усть-Цильма</t>
  </si>
  <si>
    <t>https://vk.ru/club50019490</t>
  </si>
  <si>
    <t>Газета «Маяк Сысолы»</t>
  </si>
  <si>
    <t>ВК Газета «Маяк Сысолы» | Сысольский</t>
  </si>
  <si>
    <r>
      <rPr>
        <u/>
        <sz val="9"/>
        <color rgb="FF1155CC"/>
        <rFont val="Carlito"/>
      </rPr>
      <t>https://vk.ru/wall-203363251_27739</t>
    </r>
  </si>
  <si>
    <t>Газета «Новый север»</t>
  </si>
  <si>
    <t>ВК Газета «Новый север» | Ижемский</t>
  </si>
  <si>
    <t>https://vk.ru/newsever</t>
  </si>
  <si>
    <t>МБУ "Клубно - спортивный комплекс"</t>
  </si>
  <si>
    <t>ВК МБУ "Клубно - спортивный комплекс"</t>
  </si>
  <si>
    <t>https://vk.ru/ksk_vuktil</t>
  </si>
  <si>
    <t>Газета «Искра»</t>
  </si>
  <si>
    <t>Газета «Искра» | Инта</t>
  </si>
  <si>
    <t>https://vk.ru/iskratgg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</si>
</sst>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35">
    <font>
      <sz val="11"/>
      <color rgb="FF000000"/>
      <name val="Carlito"/>
      <scheme val="minor"/>
    </font>
    <font>
      <b/>
      <sz val="14"/>
      <color rgb="FFFFFFFF"/>
      <name val="Carlito"/>
    </font>
    <font>
      <b/>
      <sz val="9"/>
      <color rgb="FFFFFFFF"/>
      <name val="Carlito"/>
    </font>
    <font>
      <sz val="9"/>
      <color rgb="FF0F172A"/>
      <name val="Carlito"/>
    </font>
    <font>
      <b/>
      <sz val="18"/>
      <color rgb="FFFFFFFF"/>
      <name val="Carlito"/>
    </font>
    <font>
      <sz val="10"/>
      <color rgb="FF134E4A"/>
      <name val="Carlito"/>
    </font>
    <font>
      <b/>
      <sz val="9"/>
      <color rgb="FF166534"/>
      <name val="Carlito"/>
    </font>
    <font>
      <b/>
      <sz val="9"/>
      <color rgb="FF854D0E"/>
      <name val="Carlito"/>
    </font>
    <font>
      <b/>
      <sz val="9"/>
      <color rgb="FF991B1B"/>
      <name val="Carlito"/>
    </font>
    <font>
      <b/>
      <sz val="9"/>
      <color rgb="FF1E3A5F"/>
      <name val="Carlito"/>
    </font>
    <font>
      <u/>
      <sz val="9"/>
      <color rgb="FF1D4ED8"/>
      <name val="Carlito"/>
    </font>
    <font>
      <sz val="9"/>
      <color rgb="FF1D4ED8"/>
      <name val="Carlito"/>
    </font>
    <font>
      <i/>
      <sz val="9"/>
      <color rgb="FF64748B"/>
      <name val="Carlito"/>
    </font>
    <font>
      <u/>
      <sz val="9"/>
      <color rgb="FF1D4ED8"/>
      <name val="Carlito"/>
    </font>
    <font>
      <sz val="9"/>
      <color rgb="FF134E4A"/>
      <name val="Carlito"/>
    </font>
    <font>
      <b/>
      <sz val="9"/>
      <color rgb="FF134E4A"/>
      <name val="Carlito"/>
    </font>
    <font>
      <u/>
      <sz val="9"/>
      <color rgb="FF1D4ED8"/>
      <name val="Carlito"/>
    </font>
    <font>
      <u/>
      <sz val="9"/>
      <color rgb="FF1D4ED8"/>
      <name val="Carlito"/>
    </font>
    <font>
      <sz val="9"/>
      <color rgb="FF854D0E"/>
      <name val="Carlito"/>
    </font>
    <font>
      <u/>
      <sz val="9"/>
      <color rgb="FF854D0E"/>
      <name val="Carlito"/>
    </font>
    <font>
      <sz val="11"/>
      <color theme="1"/>
      <name val="Carlito"/>
    </font>
    <font>
      <i/>
      <sz val="9"/>
      <color rgb="FF854D0E"/>
      <name val="Carlito"/>
    </font>
    <font>
      <u/>
      <sz val="9"/>
      <color rgb="FF854D0E"/>
      <name val="Carlito"/>
    </font>
    <font>
      <u/>
      <sz val="9"/>
      <color rgb="FF1D4ED8"/>
      <name val="Carlito"/>
    </font>
    <font>
      <u/>
      <sz val="9"/>
      <color rgb="FF991B1B"/>
      <name val="Carlito"/>
    </font>
    <font>
      <u/>
      <sz val="9"/>
      <color rgb="FF0000FF"/>
      <name val="Carlito"/>
    </font>
    <font>
      <u/>
      <sz val="9"/>
      <color rgb="FF0000FF"/>
      <name val="Carlito"/>
    </font>
    <font>
      <u/>
      <sz val="9"/>
      <color rgb="FF854D0E"/>
      <name val="Carlito"/>
    </font>
    <font>
      <u/>
      <sz val="9"/>
      <color rgb="FF854D0E"/>
      <name val="Carlito"/>
    </font>
    <font>
      <sz val="9"/>
      <color rgb="FF1F1F1F"/>
      <name val="Carlito"/>
    </font>
    <font>
      <u/>
      <sz val="9"/>
      <color rgb="FF0000FF"/>
      <name val="Carlito"/>
    </font>
    <font>
      <u/>
      <sz val="9"/>
      <color rgb="FF0000FF"/>
      <name val="Carlito"/>
    </font>
    <font>
      <u/>
      <sz val="9"/>
      <color rgb="FF0000FF"/>
      <name val="Carlito"/>
    </font>
    <font>
      <sz val="11"/>
      <color theme="1"/>
      <name val="Carlito"/>
      <scheme val="minor"/>
    </font>
    <font>
      <u/>
      <sz val="9"/>
      <color rgb="FF1155CC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DDF4EF"/>
        <bgColor rgb="FFDDF4EF"/>
      </patternFill>
    </fill>
    <fill>
      <patternFill patternType="solid">
        <fgColor rgb="FF0F766E"/>
        <bgColor rgb="FF0F766E"/>
      </patternFill>
    </fill>
    <fill>
      <patternFill patternType="solid">
        <fgColor rgb="FFE7F6EC"/>
        <bgColor rgb="FFE7F6EC"/>
      </patternFill>
    </fill>
    <fill>
      <patternFill patternType="solid">
        <fgColor rgb="FFFFF4CC"/>
        <bgColor rgb="FFFFF4CC"/>
      </patternFill>
    </fill>
    <fill>
      <patternFill patternType="solid">
        <fgColor rgb="FFFDE7E7"/>
        <bgColor rgb="FFFDE7E7"/>
      </patternFill>
    </fill>
    <fill>
      <patternFill patternType="solid">
        <fgColor rgb="FFE8F1FB"/>
        <bgColor rgb="FFE8F1FB"/>
      </patternFill>
    </fill>
    <fill>
      <patternFill patternType="solid">
        <fgColor rgb="FFBDD7EE"/>
        <bgColor rgb="FFBDD7EE"/>
      </patternFill>
    </fill>
    <fill>
      <patternFill patternType="solid">
        <fgColor rgb="FFEEF2F6"/>
        <bgColor rgb="FFEEF2F6"/>
      </patternFill>
    </fill>
  </fills>
  <borders count="19">
    <border>
      <left/>
      <right/>
      <top/>
      <bottom/>
      <diagonal/>
    </border>
    <border>
      <left/>
      <right style="thin">
        <color rgb="FFD8E1E8"/>
      </right>
      <top/>
      <bottom style="thin">
        <color rgb="FFD8E1E8"/>
      </bottom>
      <diagonal/>
    </border>
    <border>
      <left style="thin">
        <color rgb="FFD8E1E8"/>
      </left>
      <right style="thin">
        <color rgb="FFD8E1E8"/>
      </right>
      <top/>
      <bottom style="thin">
        <color rgb="FFD8E1E8"/>
      </bottom>
      <diagonal/>
    </border>
    <border>
      <left style="thin">
        <color rgb="FFD8E1E8"/>
      </left>
      <right/>
      <top/>
      <bottom style="thin">
        <color rgb="FFD8E1E8"/>
      </bottom>
      <diagonal/>
    </border>
    <border>
      <left/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  <diagonal/>
    </border>
    <border>
      <left style="thin">
        <color rgb="FFD8E1E8"/>
      </left>
      <right/>
      <top style="thin">
        <color rgb="FFD8E1E8"/>
      </top>
      <bottom style="thin">
        <color rgb="FFD8E1E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56082"/>
      </left>
      <right/>
      <top/>
      <bottom style="thin">
        <color rgb="FFD8E1E8"/>
      </bottom>
      <diagonal/>
    </border>
    <border>
      <left/>
      <right/>
      <top style="thin">
        <color rgb="FFD8E1E8"/>
      </top>
      <bottom style="thin">
        <color rgb="FFD8E1E8"/>
      </bottom>
      <diagonal/>
    </border>
    <border>
      <left/>
      <right/>
      <top/>
      <bottom style="thin">
        <color rgb="FFD8E1E8"/>
      </bottom>
      <diagonal/>
    </border>
    <border>
      <left/>
      <right style="thin">
        <color rgb="FFD8E1E8"/>
      </right>
      <top style="thin">
        <color rgb="FFD8E1E8"/>
      </top>
      <bottom/>
      <diagonal/>
    </border>
    <border>
      <left style="thin">
        <color rgb="FFD8E1E8"/>
      </left>
      <right style="thin">
        <color rgb="FFD8E1E8"/>
      </right>
      <top style="thin">
        <color rgb="FFD8E1E8"/>
      </top>
      <bottom/>
      <diagonal/>
    </border>
    <border>
      <left style="thin">
        <color rgb="FFD8E1E8"/>
      </left>
      <right/>
      <top style="thin">
        <color rgb="FFD8E1E8"/>
      </top>
      <bottom/>
      <diagonal/>
    </border>
    <border>
      <left style="thin">
        <color rgb="FF156082"/>
      </left>
      <right/>
      <top style="thin">
        <color rgb="FFD8E1E8"/>
      </top>
      <bottom style="thin">
        <color rgb="FFD8E1E8"/>
      </bottom>
      <diagonal/>
    </border>
    <border>
      <left/>
      <right/>
      <top/>
      <bottom style="double">
        <color rgb="FF0F766E"/>
      </bottom>
      <diagonal/>
    </border>
    <border>
      <left style="thin">
        <color rgb="FF000000"/>
      </left>
      <right style="thin">
        <color rgb="FFFFF4CC"/>
      </right>
      <top style="thin">
        <color rgb="FFD8E1E8"/>
      </top>
      <bottom style="thin">
        <color rgb="FFD8E1E8"/>
      </bottom>
      <diagonal/>
    </border>
    <border>
      <left style="thin">
        <color rgb="FFFFF4CC"/>
      </left>
      <right style="thin">
        <color rgb="FFFFF4CC"/>
      </right>
      <top style="thin">
        <color rgb="FFD8E1E8"/>
      </top>
      <bottom style="thin">
        <color rgb="FFD8E1E8"/>
      </bottom>
      <diagonal/>
    </border>
    <border>
      <left style="thin">
        <color rgb="FFFFF4CC"/>
      </left>
      <right style="thin">
        <color rgb="FF000000"/>
      </right>
      <top style="thin">
        <color rgb="FFD8E1E8"/>
      </top>
      <bottom style="thin">
        <color rgb="FFD8E1E8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5" borderId="0" xfId="0" applyFont="1" applyFill="1" applyAlignment="1">
      <alignment horizontal="center" vertical="center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5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vertical="top"/>
    </xf>
    <xf numFmtId="164" fontId="3" fillId="10" borderId="9" xfId="0" applyNumberFormat="1" applyFont="1" applyFill="1" applyBorder="1" applyAlignment="1">
      <alignment vertical="top"/>
    </xf>
    <xf numFmtId="0" fontId="3" fillId="10" borderId="10" xfId="0" applyFont="1" applyFill="1" applyBorder="1" applyAlignment="1">
      <alignment vertical="top"/>
    </xf>
    <xf numFmtId="0" fontId="3" fillId="10" borderId="10" xfId="0" applyFont="1" applyFill="1" applyBorder="1" applyAlignment="1">
      <alignment vertical="top" wrapText="1"/>
    </xf>
    <xf numFmtId="0" fontId="10" fillId="10" borderId="10" xfId="0" applyFont="1" applyFill="1" applyBorder="1" applyAlignment="1">
      <alignment vertical="top" wrapText="1"/>
    </xf>
    <xf numFmtId="164" fontId="3" fillId="10" borderId="10" xfId="0" applyNumberFormat="1" applyFont="1" applyFill="1" applyBorder="1" applyAlignment="1">
      <alignment vertical="top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12" fillId="10" borderId="9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vertical="top"/>
    </xf>
    <xf numFmtId="0" fontId="3" fillId="10" borderId="9" xfId="0" applyFont="1" applyFill="1" applyBorder="1" applyAlignment="1">
      <alignment vertical="top"/>
    </xf>
    <xf numFmtId="0" fontId="3" fillId="10" borderId="9" xfId="0" applyFont="1" applyFill="1" applyBorder="1" applyAlignment="1">
      <alignment vertical="top" wrapText="1"/>
    </xf>
    <xf numFmtId="0" fontId="12" fillId="11" borderId="9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vertical="top" wrapText="1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0" fontId="3" fillId="0" borderId="9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3" fontId="3" fillId="0" borderId="13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0" fontId="3" fillId="10" borderId="0" xfId="0" applyFont="1" applyFill="1" applyAlignment="1">
      <alignment vertical="top" wrapText="1"/>
    </xf>
    <xf numFmtId="0" fontId="3" fillId="0" borderId="11" xfId="0" applyFont="1" applyBorder="1" applyAlignment="1">
      <alignment vertical="center"/>
    </xf>
    <xf numFmtId="0" fontId="15" fillId="4" borderId="15" xfId="0" applyFont="1" applyFill="1" applyBorder="1"/>
    <xf numFmtId="3" fontId="15" fillId="4" borderId="15" xfId="0" applyNumberFormat="1" applyFont="1" applyFill="1" applyBorder="1"/>
    <xf numFmtId="0" fontId="16" fillId="10" borderId="0" xfId="0" applyFont="1" applyFill="1" applyAlignment="1">
      <alignment vertical="top" wrapText="1"/>
    </xf>
    <xf numFmtId="0" fontId="11" fillId="10" borderId="9" xfId="0" applyFont="1" applyFill="1" applyBorder="1" applyAlignment="1">
      <alignment vertical="top" wrapText="1"/>
    </xf>
    <xf numFmtId="0" fontId="3" fillId="7" borderId="9" xfId="0" applyFont="1" applyFill="1" applyBorder="1" applyAlignment="1">
      <alignment vertical="top"/>
    </xf>
    <xf numFmtId="0" fontId="17" fillId="0" borderId="9" xfId="0" applyFont="1" applyBorder="1" applyAlignment="1">
      <alignment vertical="top" wrapText="1"/>
    </xf>
    <xf numFmtId="0" fontId="18" fillId="7" borderId="9" xfId="0" applyFont="1" applyFill="1" applyBorder="1" applyAlignment="1">
      <alignment vertical="top"/>
    </xf>
    <xf numFmtId="164" fontId="18" fillId="7" borderId="9" xfId="0" applyNumberFormat="1" applyFont="1" applyFill="1" applyBorder="1" applyAlignment="1">
      <alignment horizontal="right" vertical="top"/>
    </xf>
    <xf numFmtId="0" fontId="18" fillId="7" borderId="9" xfId="0" applyFont="1" applyFill="1" applyBorder="1" applyAlignment="1">
      <alignment vertical="top" wrapText="1"/>
    </xf>
    <xf numFmtId="0" fontId="19" fillId="7" borderId="9" xfId="0" applyFont="1" applyFill="1" applyBorder="1" applyAlignment="1">
      <alignment vertical="top" wrapText="1"/>
    </xf>
    <xf numFmtId="164" fontId="20" fillId="7" borderId="9" xfId="0" applyNumberFormat="1" applyFont="1" applyFill="1" applyBorder="1" applyAlignment="1">
      <alignment vertical="top"/>
    </xf>
    <xf numFmtId="0" fontId="20" fillId="7" borderId="9" xfId="0" applyFont="1" applyFill="1" applyBorder="1" applyAlignment="1">
      <alignment vertical="top"/>
    </xf>
    <xf numFmtId="0" fontId="21" fillId="7" borderId="9" xfId="0" applyFont="1" applyFill="1" applyBorder="1" applyAlignment="1">
      <alignment vertical="center" wrapText="1"/>
    </xf>
    <xf numFmtId="0" fontId="18" fillId="7" borderId="16" xfId="0" applyFont="1" applyFill="1" applyBorder="1" applyAlignment="1">
      <alignment vertical="top"/>
    </xf>
    <xf numFmtId="164" fontId="18" fillId="7" borderId="17" xfId="0" applyNumberFormat="1" applyFont="1" applyFill="1" applyBorder="1" applyAlignment="1">
      <alignment horizontal="right" vertical="top"/>
    </xf>
    <xf numFmtId="0" fontId="18" fillId="7" borderId="17" xfId="0" applyFont="1" applyFill="1" applyBorder="1" applyAlignment="1">
      <alignment vertical="top"/>
    </xf>
    <xf numFmtId="0" fontId="18" fillId="7" borderId="17" xfId="0" applyFont="1" applyFill="1" applyBorder="1" applyAlignment="1">
      <alignment vertical="top" wrapText="1"/>
    </xf>
    <xf numFmtId="0" fontId="22" fillId="7" borderId="17" xfId="0" applyFont="1" applyFill="1" applyBorder="1" applyAlignment="1">
      <alignment vertical="top" wrapText="1"/>
    </xf>
    <xf numFmtId="164" fontId="20" fillId="7" borderId="17" xfId="0" applyNumberFormat="1" applyFont="1" applyFill="1" applyBorder="1" applyAlignment="1">
      <alignment vertical="top"/>
    </xf>
    <xf numFmtId="0" fontId="20" fillId="7" borderId="17" xfId="0" applyFont="1" applyFill="1" applyBorder="1" applyAlignment="1">
      <alignment vertical="top"/>
    </xf>
    <xf numFmtId="0" fontId="21" fillId="7" borderId="18" xfId="0" applyFont="1" applyFill="1" applyBorder="1" applyAlignment="1">
      <alignment vertical="center" wrapText="1"/>
    </xf>
    <xf numFmtId="0" fontId="20" fillId="0" borderId="0" xfId="0" applyFont="1"/>
    <xf numFmtId="0" fontId="3" fillId="0" borderId="16" xfId="0" applyFont="1" applyBorder="1" applyAlignment="1">
      <alignment vertical="top"/>
    </xf>
    <xf numFmtId="164" fontId="3" fillId="0" borderId="17" xfId="0" applyNumberFormat="1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7" xfId="0" applyFont="1" applyBorder="1" applyAlignment="1">
      <alignment vertical="top" wrapText="1"/>
    </xf>
    <xf numFmtId="0" fontId="11" fillId="0" borderId="17" xfId="0" applyFont="1" applyBorder="1" applyAlignment="1">
      <alignment vertical="top" wrapText="1"/>
    </xf>
    <xf numFmtId="0" fontId="12" fillId="11" borderId="18" xfId="0" applyFont="1" applyFill="1" applyBorder="1" applyAlignment="1">
      <alignment vertical="center" wrapText="1"/>
    </xf>
    <xf numFmtId="0" fontId="23" fillId="0" borderId="17" xfId="0" applyFont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5" fillId="0" borderId="17" xfId="0" applyFont="1" applyBorder="1" applyAlignment="1">
      <alignment vertical="top"/>
    </xf>
    <xf numFmtId="164" fontId="18" fillId="7" borderId="17" xfId="0" applyNumberFormat="1" applyFont="1" applyFill="1" applyBorder="1" applyAlignment="1">
      <alignment vertical="top"/>
    </xf>
    <xf numFmtId="0" fontId="26" fillId="0" borderId="17" xfId="0" applyFont="1" applyBorder="1" applyAlignment="1">
      <alignment vertical="top"/>
    </xf>
    <xf numFmtId="0" fontId="27" fillId="0" borderId="17" xfId="0" applyFont="1" applyBorder="1" applyAlignment="1">
      <alignment vertical="top" wrapText="1"/>
    </xf>
    <xf numFmtId="0" fontId="28" fillId="7" borderId="17" xfId="0" applyFont="1" applyFill="1" applyBorder="1" applyAlignment="1">
      <alignment vertical="top"/>
    </xf>
    <xf numFmtId="0" fontId="29" fillId="0" borderId="17" xfId="0" applyFont="1" applyBorder="1" applyAlignment="1">
      <alignment vertical="top" wrapText="1"/>
    </xf>
    <xf numFmtId="0" fontId="30" fillId="0" borderId="17" xfId="0" applyFont="1" applyBorder="1" applyAlignment="1">
      <alignment vertical="center"/>
    </xf>
    <xf numFmtId="0" fontId="31" fillId="0" borderId="9" xfId="0" applyFont="1" applyBorder="1" applyAlignment="1">
      <alignment vertical="top"/>
    </xf>
    <xf numFmtId="164" fontId="18" fillId="7" borderId="9" xfId="0" applyNumberFormat="1" applyFont="1" applyFill="1" applyBorder="1" applyAlignment="1">
      <alignment vertical="top"/>
    </xf>
    <xf numFmtId="0" fontId="32" fillId="0" borderId="9" xfId="0" applyFont="1" applyBorder="1" applyAlignment="1">
      <alignment vertical="top"/>
    </xf>
    <xf numFmtId="0" fontId="3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/>
    <xf numFmtId="0" fontId="5" fillId="4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4" fillId="4" borderId="0" xfId="0" applyFont="1" applyFill="1"/>
  </cellXfs>
  <cellStyles count="1">
    <cellStyle name="Normal" xfId="0" builtinId="0"/>
  </cellStyles>
  <dxfs count="12">
    <dxf>
      <font>
        <color rgb="FF991B1B"/>
      </font>
      <fill>
        <patternFill patternType="solid">
          <fgColor rgb="FFFDE7E7"/>
          <bgColor rgb="FFFDE7E7"/>
        </patternFill>
      </fill>
    </dxf>
    <dxf>
      <font>
        <color rgb="FF854D0E"/>
      </font>
      <fill>
        <patternFill patternType="solid">
          <fgColor rgb="FFFFF4CC"/>
          <bgColor rgb="FFFFF4CC"/>
        </patternFill>
      </fill>
    </dxf>
    <dxf>
      <font>
        <color rgb="FF166534"/>
      </font>
      <fill>
        <patternFill patternType="solid">
          <fgColor rgb="FFE7F6EC"/>
          <bgColor rgb="FFE7F6EC"/>
        </patternFill>
      </fill>
    </dxf>
    <dxf>
      <font>
        <color rgb="FF166534"/>
      </font>
      <fill>
        <patternFill patternType="solid">
          <fgColor rgb="FFE7F6EC"/>
          <bgColor rgb="FFE7F6E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Источники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Новости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Registry" displayName="SourcesRegistry" ref="A5:M504">
  <autoFilter ref="A5:M504" xr:uid="{00000000-0009-0000-0100-000001000000}"/>
  <tableColumns count="13">
    <tableColumn id="1" xr3:uid="{00000000-0010-0000-0000-000001000000}" name="Сборщик"/>
    <tableColumn id="2" xr3:uid="{00000000-0010-0000-0000-000002000000}" name="Дата проверки"/>
    <tableColumn id="3" xr3:uid="{00000000-0010-0000-0000-000003000000}" name="Муниципалитет"/>
    <tableColumn id="4" xr3:uid="{00000000-0010-0000-0000-000004000000}" name="Орган/владелец"/>
    <tableColumn id="5" xr3:uid="{00000000-0010-0000-0000-000005000000}" name="Тип источника"/>
    <tableColumn id="6" xr3:uid="{00000000-0010-0000-0000-000006000000}" name="Платформа"/>
    <tableColumn id="7" xr3:uid="{00000000-0010-0000-0000-000007000000}" name="Название"/>
    <tableColumn id="8" xr3:uid="{00000000-0010-0000-0000-000008000000}" name="Основная ссылка"/>
    <tableColumn id="9" xr3:uid="{00000000-0010-0000-0000-000009000000}" name="Подтверждение официальности"/>
    <tableColumn id="10" xr3:uid="{00000000-0010-0000-0000-00000A000000}" name="Дата последней публикации"/>
    <tableColumn id="11" xr3:uid="{00000000-0010-0000-0000-00000B000000}" name="Активность"/>
    <tableColumn id="12" xr3:uid="{00000000-0010-0000-0000-00000C000000}" name="Комментарий"/>
    <tableColumn id="13" xr3:uid="{00000000-0010-0000-0000-00000D000000}" name="Автопроверка"/>
  </tableColumns>
  <tableStyleInfo name="Источник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k.com/molcentr_sykt" TargetMode="External"/><Relationship Id="rId21" Type="http://schemas.openxmlformats.org/officeDocument/2006/relationships/hyperlink" Target="https://t.me/my_sykt" TargetMode="External"/><Relationship Id="rId63" Type="http://schemas.openxmlformats.org/officeDocument/2006/relationships/hyperlink" Target="https://max.ru/id1102011331_biz" TargetMode="External"/><Relationship Id="rId159" Type="http://schemas.openxmlformats.org/officeDocument/2006/relationships/hyperlink" Target="https://vk.com/ksp_uhta" TargetMode="External"/><Relationship Id="rId170" Type="http://schemas.openxmlformats.org/officeDocument/2006/relationships/hyperlink" Target="https://t.me/SosnogorskNews" TargetMode="External"/><Relationship Id="rId226" Type="http://schemas.openxmlformats.org/officeDocument/2006/relationships/hyperlink" Target="https://kortobrazovanie.ucoz.ru/" TargetMode="External"/><Relationship Id="rId268" Type="http://schemas.openxmlformats.org/officeDocument/2006/relationships/hyperlink" Target="https://arch.rkomi.ru/?ysclid=mtcodvdsrb303755578" TargetMode="External"/><Relationship Id="rId32" Type="http://schemas.openxmlformats.org/officeDocument/2006/relationships/hyperlink" Target="https://t.me/rkomiru" TargetMode="External"/><Relationship Id="rId74" Type="http://schemas.openxmlformats.org/officeDocument/2006/relationships/hyperlink" Target="https://mincult.rkomi.ru/presscenter/news/" TargetMode="External"/><Relationship Id="rId128" Type="http://schemas.openxmlformats.org/officeDocument/2006/relationships/hyperlink" Target="https://vk.com/kriro_ru" TargetMode="External"/><Relationship Id="rId5" Type="http://schemas.openxmlformats.org/officeDocument/2006/relationships/hyperlink" Target="https://t.me/maximmart2903" TargetMode="External"/><Relationship Id="rId181" Type="http://schemas.openxmlformats.org/officeDocument/2006/relationships/hyperlink" Target="https://www.bnkomi.ru/" TargetMode="External"/><Relationship Id="rId237" Type="http://schemas.openxmlformats.org/officeDocument/2006/relationships/hyperlink" Target="https://vkvideo.ru/@zaryatimana" TargetMode="External"/><Relationship Id="rId279" Type="http://schemas.openxmlformats.org/officeDocument/2006/relationships/hyperlink" Target="http://fuizhma.ru/" TargetMode="External"/><Relationship Id="rId43" Type="http://schemas.openxmlformats.org/officeDocument/2006/relationships/hyperlink" Target="https://t.me/babushkina22" TargetMode="External"/><Relationship Id="rId139" Type="http://schemas.openxmlformats.org/officeDocument/2006/relationships/hyperlink" Target="https://vk.com/minstrrk" TargetMode="External"/><Relationship Id="rId290" Type="http://schemas.openxmlformats.org/officeDocument/2006/relationships/hyperlink" Target="https://vk.ru/newsever?ysclid=mtcnqin99o319759503" TargetMode="External"/><Relationship Id="rId85" Type="http://schemas.openxmlformats.org/officeDocument/2006/relationships/hyperlink" Target="https://digital.rkomi.ru/presscenter/news/" TargetMode="External"/><Relationship Id="rId150" Type="http://schemas.openxmlformats.org/officeDocument/2006/relationships/hyperlink" Target="https://vk.com/vonkokomi" TargetMode="External"/><Relationship Id="rId192" Type="http://schemas.openxmlformats.org/officeDocument/2006/relationships/hyperlink" Target="https://komigor.com/geo/ust-kulomskij-rajon/" TargetMode="External"/><Relationship Id="rId206" Type="http://schemas.openxmlformats.org/officeDocument/2006/relationships/hyperlink" Target="https://istochnik.online/" TargetMode="External"/><Relationship Id="rId248" Type="http://schemas.openxmlformats.org/officeDocument/2006/relationships/hyperlink" Target="https://vk.com/usinskonline" TargetMode="External"/><Relationship Id="rId12" Type="http://schemas.openxmlformats.org/officeDocument/2006/relationships/hyperlink" Target="https://t.me/komiproc" TargetMode="External"/><Relationship Id="rId33" Type="http://schemas.openxmlformats.org/officeDocument/2006/relationships/hyperlink" Target="https://t.me/skochev" TargetMode="External"/><Relationship Id="rId108" Type="http://schemas.openxmlformats.org/officeDocument/2006/relationships/hyperlink" Target="https://vk.com/krasnozatonskiy" TargetMode="External"/><Relationship Id="rId129" Type="http://schemas.openxmlformats.org/officeDocument/2006/relationships/hyperlink" Target="https://vk.com/gorodvorkuta" TargetMode="External"/><Relationship Id="rId280" Type="http://schemas.openxmlformats.org/officeDocument/2006/relationships/hyperlink" Target="https://priluzie.gosuslugi.ru/" TargetMode="External"/><Relationship Id="rId54" Type="http://schemas.openxmlformats.org/officeDocument/2006/relationships/hyperlink" Target="https://max.ru/id1101169990_gos" TargetMode="External"/><Relationship Id="rId75" Type="http://schemas.openxmlformats.org/officeDocument/2006/relationships/hyperlink" Target="https://molodezh.rkomi.ru/presscenter/news/" TargetMode="External"/><Relationship Id="rId96" Type="http://schemas.openxmlformats.org/officeDocument/2006/relationships/hyperlink" Target="https://www.rkomi.ru/news" TargetMode="External"/><Relationship Id="rId140" Type="http://schemas.openxmlformats.org/officeDocument/2006/relationships/hyperlink" Target="https://vk.com/socialkomi" TargetMode="External"/><Relationship Id="rId161" Type="http://schemas.openxmlformats.org/officeDocument/2006/relationships/hyperlink" Target="https://vk.com/turinfokomi" TargetMode="External"/><Relationship Id="rId182" Type="http://schemas.openxmlformats.org/officeDocument/2006/relationships/hyperlink" Target="https://www.bnkomi.ru/data/city/16" TargetMode="External"/><Relationship Id="rId217" Type="http://schemas.openxmlformats.org/officeDocument/2006/relationships/hyperlink" Target="https://press.pechoraonline.ru/" TargetMode="External"/><Relationship Id="rId6" Type="http://schemas.openxmlformats.org/officeDocument/2006/relationships/hyperlink" Target="https://t.me/minzdravkomi" TargetMode="External"/><Relationship Id="rId238" Type="http://schemas.openxmlformats.org/officeDocument/2006/relationships/hyperlink" Target="https://vk.com/zvezdakomikortkeros" TargetMode="External"/><Relationship Id="rId259" Type="http://schemas.openxmlformats.org/officeDocument/2006/relationships/hyperlink" Target="https://znamyatryda.ru/?ysclid=mtcnt7h4hl347903080" TargetMode="External"/><Relationship Id="rId23" Type="http://schemas.openxmlformats.org/officeDocument/2006/relationships/hyperlink" Target="https://t.me/marina_meteleva_uhta" TargetMode="External"/><Relationship Id="rId119" Type="http://schemas.openxmlformats.org/officeDocument/2006/relationships/hyperlink" Target="https://vk.com/syktslpk" TargetMode="External"/><Relationship Id="rId270" Type="http://schemas.openxmlformats.org/officeDocument/2006/relationships/hyperlink" Target="https://sport.rkomi.ru/?ysclid=mtcoedzie6350149956" TargetMode="External"/><Relationship Id="rId291" Type="http://schemas.openxmlformats.org/officeDocument/2006/relationships/hyperlink" Target="https://vk.ru/ksk_vuktil?ysclid=mtcoggsyjd31221232" TargetMode="External"/><Relationship Id="rId44" Type="http://schemas.openxmlformats.org/officeDocument/2006/relationships/hyperlink" Target="https://max.ru/id1103023523_gos" TargetMode="External"/><Relationship Id="rId65" Type="http://schemas.openxmlformats.org/officeDocument/2006/relationships/hyperlink" Target="https://max.ru/yurgankomi" TargetMode="External"/><Relationship Id="rId86" Type="http://schemas.openxmlformats.org/officeDocument/2006/relationships/hyperlink" Target="https://econom.rkomi.ru/presscenter/news/" TargetMode="External"/><Relationship Id="rId130" Type="http://schemas.openxmlformats.org/officeDocument/2006/relationships/hyperlink" Target="https://vk.com/igor_gurev1968" TargetMode="External"/><Relationship Id="rId151" Type="http://schemas.openxmlformats.org/officeDocument/2006/relationships/hyperlink" Target="https://vk.com/linkovalexey" TargetMode="External"/><Relationship Id="rId172" Type="http://schemas.openxmlformats.org/officeDocument/2006/relationships/hyperlink" Target="https://t.me/usinsk_novosti" TargetMode="External"/><Relationship Id="rId193" Type="http://schemas.openxmlformats.org/officeDocument/2006/relationships/hyperlink" Target="http://dskedr.ucoz.net/" TargetMode="External"/><Relationship Id="rId207" Type="http://schemas.openxmlformats.org/officeDocument/2006/relationships/hyperlink" Target="https://nasha-zhizn.ru/" TargetMode="External"/><Relationship Id="rId228" Type="http://schemas.openxmlformats.org/officeDocument/2006/relationships/hyperlink" Target="https://usinsk-novosti.ru/" TargetMode="External"/><Relationship Id="rId249" Type="http://schemas.openxmlformats.org/officeDocument/2006/relationships/hyperlink" Target="https://knyazhpogostskij-r11.gosweb.gosuslugi.ru/" TargetMode="External"/><Relationship Id="rId13" Type="http://schemas.openxmlformats.org/officeDocument/2006/relationships/hyperlink" Target="https://t.me/su_skr11" TargetMode="External"/><Relationship Id="rId109" Type="http://schemas.openxmlformats.org/officeDocument/2006/relationships/hyperlink" Target="https://vk.com/id247737586" TargetMode="External"/><Relationship Id="rId260" Type="http://schemas.openxmlformats.org/officeDocument/2006/relationships/hyperlink" Target="https://knvesti.ru/?ysclid=mtcnr8kxy83289676" TargetMode="External"/><Relationship Id="rId281" Type="http://schemas.openxmlformats.org/officeDocument/2006/relationships/hyperlink" Target="https://udora.info/administratsiya" TargetMode="External"/><Relationship Id="rId34" Type="http://schemas.openxmlformats.org/officeDocument/2006/relationships/hyperlink" Target="https://t.me/syktyvkar01" TargetMode="External"/><Relationship Id="rId55" Type="http://schemas.openxmlformats.org/officeDocument/2006/relationships/hyperlink" Target="https://max.ru/minzdravkomi" TargetMode="External"/><Relationship Id="rId76" Type="http://schemas.openxmlformats.org/officeDocument/2006/relationships/hyperlink" Target="https://minnats.rkomi.ru/presscenter/news/" TargetMode="External"/><Relationship Id="rId97" Type="http://schemas.openxmlformats.org/officeDocument/2006/relationships/hyperlink" Target="https://komigor.com/" TargetMode="External"/><Relationship Id="rId120" Type="http://schemas.openxmlformats.org/officeDocument/2006/relationships/hyperlink" Target="https://vk.com/syktuditis" TargetMode="External"/><Relationship Id="rId141" Type="http://schemas.openxmlformats.org/officeDocument/2006/relationships/hyperlink" Target="https://vk.com/minsportkomi" TargetMode="External"/><Relationship Id="rId7" Type="http://schemas.openxmlformats.org/officeDocument/2006/relationships/hyperlink" Target="https://t.me/komiedu" TargetMode="External"/><Relationship Id="rId162" Type="http://schemas.openxmlformats.org/officeDocument/2006/relationships/hyperlink" Target="https://vk.com/vesti11" TargetMode="External"/><Relationship Id="rId183" Type="http://schemas.openxmlformats.org/officeDocument/2006/relationships/hyperlink" Target="https://www.bnkomi.ru/data/city/4" TargetMode="External"/><Relationship Id="rId218" Type="http://schemas.openxmlformats.org/officeDocument/2006/relationships/hyperlink" Target="https://muzeum-pechora.ru/" TargetMode="External"/><Relationship Id="rId239" Type="http://schemas.openxmlformats.org/officeDocument/2006/relationships/hyperlink" Target="https://vk.com/gazeta_syktivdin11" TargetMode="External"/><Relationship Id="rId250" Type="http://schemas.openxmlformats.org/officeDocument/2006/relationships/hyperlink" Target="https://izhemskij-r11.gosweb.gosuslugi.ru/" TargetMode="External"/><Relationship Id="rId271" Type="http://schemas.openxmlformats.org/officeDocument/2006/relationships/hyperlink" Target="https://digital.rkomi.ru/?ysclid=mtcoeybzm9534512581" TargetMode="External"/><Relationship Id="rId292" Type="http://schemas.openxmlformats.org/officeDocument/2006/relationships/hyperlink" Target="https://vk.ru/iskratgg?ysclid=mtcnkmt73z212170608" TargetMode="External"/><Relationship Id="rId24" Type="http://schemas.openxmlformats.org/officeDocument/2006/relationships/hyperlink" Target="https://t.me/mariabutina" TargetMode="External"/><Relationship Id="rId45" Type="http://schemas.openxmlformats.org/officeDocument/2006/relationships/hyperlink" Target="https://max.ru/id1103002530_gos" TargetMode="External"/><Relationship Id="rId66" Type="http://schemas.openxmlformats.org/officeDocument/2006/relationships/hyperlink" Target="https://vorkuta.gosuslugi.ru/dlya-zhiteley/novosti-i-reportazhi/" TargetMode="External"/><Relationship Id="rId87" Type="http://schemas.openxmlformats.org/officeDocument/2006/relationships/hyperlink" Target="https://minjust.rkomi.ru/presscenter/news/" TargetMode="External"/><Relationship Id="rId110" Type="http://schemas.openxmlformats.org/officeDocument/2006/relationships/hyperlink" Target="https://vk.com/pressgsrk" TargetMode="External"/><Relationship Id="rId131" Type="http://schemas.openxmlformats.org/officeDocument/2006/relationships/hyperlink" Target="https://vk.com/zakupkikomi" TargetMode="External"/><Relationship Id="rId152" Type="http://schemas.openxmlformats.org/officeDocument/2006/relationships/hyperlink" Target="https://vk.com/galinandreypavlovich" TargetMode="External"/><Relationship Id="rId173" Type="http://schemas.openxmlformats.org/officeDocument/2006/relationships/hyperlink" Target="https://t.me/+ArEBWZ2nQvVjMzIy" TargetMode="External"/><Relationship Id="rId194" Type="http://schemas.openxmlformats.org/officeDocument/2006/relationships/hyperlink" Target="https://www.sosnogorsk.org/about/smi/smi/" TargetMode="External"/><Relationship Id="rId208" Type="http://schemas.openxmlformats.org/officeDocument/2006/relationships/hyperlink" Target="https://&#1085;&#1072;&#1096;&#1072;&#1078;&#1080;&#1079;&#1085;&#1100;11.&#1088;&#1092;/" TargetMode="External"/><Relationship Id="rId229" Type="http://schemas.openxmlformats.org/officeDocument/2006/relationships/hyperlink" Target="https://usinsk.in/" TargetMode="External"/><Relationship Id="rId240" Type="http://schemas.openxmlformats.org/officeDocument/2006/relationships/hyperlink" Target="https://vk.com/kortkeros" TargetMode="External"/><Relationship Id="rId261" Type="http://schemas.openxmlformats.org/officeDocument/2006/relationships/hyperlink" Target="https://novaia-zhizn.ru/?ysclid=mtcnohhixp933636564" TargetMode="External"/><Relationship Id="rId14" Type="http://schemas.openxmlformats.org/officeDocument/2006/relationships/hyperlink" Target="https://t.me/ugtu_aktualnoe" TargetMode="External"/><Relationship Id="rId35" Type="http://schemas.openxmlformats.org/officeDocument/2006/relationships/hyperlink" Target="https://t.me/tovorkuta" TargetMode="External"/><Relationship Id="rId56" Type="http://schemas.openxmlformats.org/officeDocument/2006/relationships/hyperlink" Target="https://max.ru/minstrrk" TargetMode="External"/><Relationship Id="rId77" Type="http://schemas.openxmlformats.org/officeDocument/2006/relationships/hyperlink" Target="https://minobr.rkomi.ru/presscenter/news/" TargetMode="External"/><Relationship Id="rId100" Type="http://schemas.openxmlformats.org/officeDocument/2006/relationships/hyperlink" Target="https://www.bnkomi.ru/data/city/5" TargetMode="External"/><Relationship Id="rId282" Type="http://schemas.openxmlformats.org/officeDocument/2006/relationships/hyperlink" Target="https://vk.ru/amo_knyaz" TargetMode="External"/><Relationship Id="rId8" Type="http://schemas.openxmlformats.org/officeDocument/2006/relationships/hyperlink" Target="https://t.me/mprkomi" TargetMode="External"/><Relationship Id="rId98" Type="http://schemas.openxmlformats.org/officeDocument/2006/relationships/hyperlink" Target="https://gazetamv.ru/category/novosti" TargetMode="External"/><Relationship Id="rId121" Type="http://schemas.openxmlformats.org/officeDocument/2006/relationships/hyperlink" Target="https://vk.com/udosykt" TargetMode="External"/><Relationship Id="rId142" Type="http://schemas.openxmlformats.org/officeDocument/2006/relationships/hyperlink" Target="https://vk.com/minfinkomi" TargetMode="External"/><Relationship Id="rId163" Type="http://schemas.openxmlformats.org/officeDocument/2006/relationships/hyperlink" Target="https://vk.com/yurgankomi" TargetMode="External"/><Relationship Id="rId184" Type="http://schemas.openxmlformats.org/officeDocument/2006/relationships/hyperlink" Target="https://www.bnkomi.ru/data/city/9" TargetMode="External"/><Relationship Id="rId219" Type="http://schemas.openxmlformats.org/officeDocument/2006/relationships/hyperlink" Target="https://pv-pechora.ru/" TargetMode="External"/><Relationship Id="rId230" Type="http://schemas.openxmlformats.org/officeDocument/2006/relationships/hyperlink" Target="https://gorodusinsk.ru/" TargetMode="External"/><Relationship Id="rId251" Type="http://schemas.openxmlformats.org/officeDocument/2006/relationships/hyperlink" Target="https://www.priluzie.ru/" TargetMode="External"/><Relationship Id="rId25" Type="http://schemas.openxmlformats.org/officeDocument/2006/relationships/hyperlink" Target="https://t.me/nrkomi" TargetMode="External"/><Relationship Id="rId46" Type="http://schemas.openxmlformats.org/officeDocument/2006/relationships/hyperlink" Target="https://max.ru/id1101175721_gos" TargetMode="External"/><Relationship Id="rId67" Type="http://schemas.openxmlformats.org/officeDocument/2006/relationships/hyperlink" Target="https://mouhta.ru/news/" TargetMode="External"/><Relationship Id="rId272" Type="http://schemas.openxmlformats.org/officeDocument/2006/relationships/hyperlink" Target="https://econom.rkomi.ru/" TargetMode="External"/><Relationship Id="rId293" Type="http://schemas.openxmlformats.org/officeDocument/2006/relationships/vmlDrawing" Target="../drawings/vmlDrawing1.vml"/><Relationship Id="rId88" Type="http://schemas.openxmlformats.org/officeDocument/2006/relationships/hyperlink" Target="https://www.dtdm-vorkuta.ru/novosti" TargetMode="External"/><Relationship Id="rId111" Type="http://schemas.openxmlformats.org/officeDocument/2006/relationships/hyperlink" Target="https://vk.com/ddnkomi" TargetMode="External"/><Relationship Id="rId132" Type="http://schemas.openxmlformats.org/officeDocument/2006/relationships/hyperlink" Target="https://vk.com/mvd11" TargetMode="External"/><Relationship Id="rId153" Type="http://schemas.openxmlformats.org/officeDocument/2006/relationships/hyperlink" Target="https://vk.com/iliyn_di" TargetMode="External"/><Relationship Id="rId174" Type="http://schemas.openxmlformats.org/officeDocument/2006/relationships/hyperlink" Target="https://kortkeros-r11.gosweb.gosuslugi.ru/" TargetMode="External"/><Relationship Id="rId195" Type="http://schemas.openxmlformats.org/officeDocument/2006/relationships/hyperlink" Target="https://gazeta-komi.ru/category/sosnogorsk/" TargetMode="External"/><Relationship Id="rId209" Type="http://schemas.openxmlformats.org/officeDocument/2006/relationships/hyperlink" Target="https://vk.com/nashazhizn11" TargetMode="External"/><Relationship Id="rId220" Type="http://schemas.openxmlformats.org/officeDocument/2006/relationships/hyperlink" Target="https://rosguard.gov.ru/News/" TargetMode="External"/><Relationship Id="rId241" Type="http://schemas.openxmlformats.org/officeDocument/2006/relationships/hyperlink" Target="https://m.vkvideo.ru/@kortkeros" TargetMode="External"/><Relationship Id="rId15" Type="http://schemas.openxmlformats.org/officeDocument/2006/relationships/hyperlink" Target="https://t.me/v_syke" TargetMode="External"/><Relationship Id="rId36" Type="http://schemas.openxmlformats.org/officeDocument/2006/relationships/hyperlink" Target="https://t.me/uhoukhta" TargetMode="External"/><Relationship Id="rId57" Type="http://schemas.openxmlformats.org/officeDocument/2006/relationships/hyperlink" Target="https://max.ru/socialkomi" TargetMode="External"/><Relationship Id="rId262" Type="http://schemas.openxmlformats.org/officeDocument/2006/relationships/hyperlink" Target="https://siyanie-severa.ru/?ysclid=mtcnpsjh5x189934582" TargetMode="External"/><Relationship Id="rId283" Type="http://schemas.openxmlformats.org/officeDocument/2006/relationships/hyperlink" Target="https://vk.ru/movuktyl?ysclid=mth8nsopww771217757" TargetMode="External"/><Relationship Id="rId78" Type="http://schemas.openxmlformats.org/officeDocument/2006/relationships/hyperlink" Target="https://mpr.rkomi.ru/presscenter/news/" TargetMode="External"/><Relationship Id="rId99" Type="http://schemas.openxmlformats.org/officeDocument/2006/relationships/hyperlink" Target="https://pg11.ru/news" TargetMode="External"/><Relationship Id="rId101" Type="http://schemas.openxmlformats.org/officeDocument/2006/relationships/hyperlink" Target="https://komiinform.ru/" TargetMode="External"/><Relationship Id="rId122" Type="http://schemas.openxmlformats.org/officeDocument/2006/relationships/hyperlink" Target="https://vk.com/syktzhkh" TargetMode="External"/><Relationship Id="rId143" Type="http://schemas.openxmlformats.org/officeDocument/2006/relationships/hyperlink" Target="https://vk.com/mineconomy11" TargetMode="External"/><Relationship Id="rId164" Type="http://schemas.openxmlformats.org/officeDocument/2006/relationships/hyperlink" Target="https://t.me/pechoraonline" TargetMode="External"/><Relationship Id="rId185" Type="http://schemas.openxmlformats.org/officeDocument/2006/relationships/hyperlink" Target="https://www.bnkomi.ru/data/city/7" TargetMode="External"/><Relationship Id="rId9" Type="http://schemas.openxmlformats.org/officeDocument/2006/relationships/hyperlink" Target="https://t.me/rectorSYKTSU" TargetMode="External"/><Relationship Id="rId210" Type="http://schemas.openxmlformats.org/officeDocument/2006/relationships/hyperlink" Target="https://www.ksp-syktyvdin.ru/" TargetMode="External"/><Relationship Id="rId26" Type="http://schemas.openxmlformats.org/officeDocument/2006/relationships/hyperlink" Target="https://t.me/siktivkar_smi" TargetMode="External"/><Relationship Id="rId231" Type="http://schemas.openxmlformats.org/officeDocument/2006/relationships/hyperlink" Target="https://usinsk.in/un/" TargetMode="External"/><Relationship Id="rId252" Type="http://schemas.openxmlformats.org/officeDocument/2006/relationships/hyperlink" Target="https://sysola-r11.gosweb.gosuslugi.ru/" TargetMode="External"/><Relationship Id="rId273" Type="http://schemas.openxmlformats.org/officeDocument/2006/relationships/hyperlink" Target="https://adminta.ru/" TargetMode="External"/><Relationship Id="rId294" Type="http://schemas.openxmlformats.org/officeDocument/2006/relationships/table" Target="../tables/table1.xml"/><Relationship Id="rId47" Type="http://schemas.openxmlformats.org/officeDocument/2006/relationships/hyperlink" Target="https://max.ru/id1101182084_gos" TargetMode="External"/><Relationship Id="rId68" Type="http://schemas.openxmlformats.org/officeDocument/2006/relationships/hyperlink" Target="https://vorkutaugol.ru/vu-media/news" TargetMode="External"/><Relationship Id="rId89" Type="http://schemas.openxmlformats.org/officeDocument/2006/relationships/hyperlink" Target="https://ukhtavodokanal.ru/?page_id=37" TargetMode="External"/><Relationship Id="rId112" Type="http://schemas.openxmlformats.org/officeDocument/2006/relationships/hyperlink" Target="https://vk.com/kjp_syktyvkar" TargetMode="External"/><Relationship Id="rId133" Type="http://schemas.openxmlformats.org/officeDocument/2006/relationships/hyperlink" Target="https://vk.com/minzdravkomi" TargetMode="External"/><Relationship Id="rId154" Type="http://schemas.openxmlformats.org/officeDocument/2006/relationships/hyperlink" Target="https://vk.com/id177006107" TargetMode="External"/><Relationship Id="rId175" Type="http://schemas.openxmlformats.org/officeDocument/2006/relationships/hyperlink" Target="https://www.pechoraonline.ru/ru/news/" TargetMode="External"/><Relationship Id="rId196" Type="http://schemas.openxmlformats.org/officeDocument/2006/relationships/hyperlink" Target="https://museum-sosnogorsk.ru/" TargetMode="External"/><Relationship Id="rId200" Type="http://schemas.openxmlformats.org/officeDocument/2006/relationships/hyperlink" Target="https://komiinform.ru/news/municipal/13/" TargetMode="External"/><Relationship Id="rId16" Type="http://schemas.openxmlformats.org/officeDocument/2006/relationships/hyperlink" Target="https://t.me/rkomivoice" TargetMode="External"/><Relationship Id="rId221" Type="http://schemas.openxmlformats.org/officeDocument/2006/relationships/hyperlink" Target="https://usinsk.online/" TargetMode="External"/><Relationship Id="rId242" Type="http://schemas.openxmlformats.org/officeDocument/2006/relationships/hyperlink" Target="https://vk.com/nk.sosnogorsk" TargetMode="External"/><Relationship Id="rId263" Type="http://schemas.openxmlformats.org/officeDocument/2006/relationships/hyperlink" Target="https://kdo-rckdik-ustcilma-r11.gosweb.gosuslugi.ru/" TargetMode="External"/><Relationship Id="rId284" Type="http://schemas.openxmlformats.org/officeDocument/2006/relationships/hyperlink" Target="https://vk.ru/intaofficial" TargetMode="External"/><Relationship Id="rId37" Type="http://schemas.openxmlformats.org/officeDocument/2006/relationships/hyperlink" Target="https://t.me/etokomidetka" TargetMode="External"/><Relationship Id="rId58" Type="http://schemas.openxmlformats.org/officeDocument/2006/relationships/hyperlink" Target="https://max.ru/goldshtein_komi" TargetMode="External"/><Relationship Id="rId79" Type="http://schemas.openxmlformats.org/officeDocument/2006/relationships/hyperlink" Target="https://mshp.rkomi.ru/presscenter/news/" TargetMode="External"/><Relationship Id="rId102" Type="http://schemas.openxmlformats.org/officeDocument/2006/relationships/hyperlink" Target="https://sovet.mouhta.ru/news/" TargetMode="External"/><Relationship Id="rId123" Type="http://schemas.openxmlformats.org/officeDocument/2006/relationships/hyperlink" Target="https://vk.com/kultsykt" TargetMode="External"/><Relationship Id="rId144" Type="http://schemas.openxmlformats.org/officeDocument/2006/relationships/hyperlink" Target="https://vk.com/minjust.komi" TargetMode="External"/><Relationship Id="rId90" Type="http://schemas.openxmlformats.org/officeDocument/2006/relationships/hyperlink" Target="https://syktyvkar-sovet.ru/news/" TargetMode="External"/><Relationship Id="rId165" Type="http://schemas.openxmlformats.org/officeDocument/2006/relationships/hyperlink" Target="https://t.me/OverheardUsinsk" TargetMode="External"/><Relationship Id="rId186" Type="http://schemas.openxmlformats.org/officeDocument/2006/relationships/hyperlink" Target="https://www.bnkomi.ru/data/city/17" TargetMode="External"/><Relationship Id="rId211" Type="http://schemas.openxmlformats.org/officeDocument/2006/relationships/hyperlink" Target="https://ust-kulomsky.gosuslugi.ru/deyatelnost/napravleniya-deyatelnosti/kultura/" TargetMode="External"/><Relationship Id="rId232" Type="http://schemas.openxmlformats.org/officeDocument/2006/relationships/hyperlink" Target="https://usinsk-city.ru/" TargetMode="External"/><Relationship Id="rId253" Type="http://schemas.openxmlformats.org/officeDocument/2006/relationships/hyperlink" Target="https://udorskij-r11.gosweb.gosuslugi.ru/" TargetMode="External"/><Relationship Id="rId274" Type="http://schemas.openxmlformats.org/officeDocument/2006/relationships/hyperlink" Target="https://nadzor.rkomi.ru/about/structure/?ysclid=mtcniuoepp9" TargetMode="External"/><Relationship Id="rId295" Type="http://schemas.openxmlformats.org/officeDocument/2006/relationships/comments" Target="../comments1.xml"/><Relationship Id="rId27" Type="http://schemas.openxmlformats.org/officeDocument/2006/relationships/hyperlink" Target="https://t.me/pececc" TargetMode="External"/><Relationship Id="rId48" Type="http://schemas.openxmlformats.org/officeDocument/2006/relationships/hyperlink" Target="https://max.ru/mvd11" TargetMode="External"/><Relationship Id="rId69" Type="http://schemas.openxmlformats.org/officeDocument/2006/relationships/hyperlink" Target="https://vf.ugtu.net/" TargetMode="External"/><Relationship Id="rId113" Type="http://schemas.openxmlformats.org/officeDocument/2006/relationships/hyperlink" Target="https://vk.com/aguirkomi" TargetMode="External"/><Relationship Id="rId134" Type="http://schemas.openxmlformats.org/officeDocument/2006/relationships/hyperlink" Target="https://vk.com/mincultkomi" TargetMode="External"/><Relationship Id="rId80" Type="http://schemas.openxmlformats.org/officeDocument/2006/relationships/hyperlink" Target="https://arch.rkomi.ru/presscenter/news/" TargetMode="External"/><Relationship Id="rId155" Type="http://schemas.openxmlformats.org/officeDocument/2006/relationships/hyperlink" Target="https://vk.com/syktyvkarsovet" TargetMode="External"/><Relationship Id="rId176" Type="http://schemas.openxmlformats.org/officeDocument/2006/relationships/hyperlink" Target="https://www.sosnogorsk.org/" TargetMode="External"/><Relationship Id="rId197" Type="http://schemas.openxmlformats.org/officeDocument/2006/relationships/hyperlink" Target="https://www.komi-nao.ru/komi/usinsk/novosti" TargetMode="External"/><Relationship Id="rId201" Type="http://schemas.openxmlformats.org/officeDocument/2006/relationships/hyperlink" Target="https://komiinform.ru/news/municipal/22" TargetMode="External"/><Relationship Id="rId222" Type="http://schemas.openxmlformats.org/officeDocument/2006/relationships/hyperlink" Target="https://&#1089;&#1083;&#1072;&#1074;&#1072;-&#1074;&#1077;&#1088;&#1093;&#1085;&#1077;&#1081;-&#1074;&#1099;&#1095;&#1077;&#1075;&#1076;&#1099;.&#1088;&#1092;/" TargetMode="External"/><Relationship Id="rId243" Type="http://schemas.openxmlformats.org/officeDocument/2006/relationships/hyperlink" Target="https://vk.com/typical_pecha" TargetMode="External"/><Relationship Id="rId264" Type="http://schemas.openxmlformats.org/officeDocument/2006/relationships/hyperlink" Target="https://cbs-inta.ru/?ysclid=mtcmrxex3642347578" TargetMode="External"/><Relationship Id="rId285" Type="http://schemas.openxmlformats.org/officeDocument/2006/relationships/hyperlink" Target="https://vk.ru/koygorodsky?ysclid=mth7px7n35865473204" TargetMode="External"/><Relationship Id="rId17" Type="http://schemas.openxmlformats.org/officeDocument/2006/relationships/hyperlink" Target="https://t.me/goldshtein_komi" TargetMode="External"/><Relationship Id="rId38" Type="http://schemas.openxmlformats.org/officeDocument/2006/relationships/hyperlink" Target="https://t.me/zhivuvkomi11" TargetMode="External"/><Relationship Id="rId59" Type="http://schemas.openxmlformats.org/officeDocument/2006/relationships/hyperlink" Target="https://max.ru/amogosykt" TargetMode="External"/><Relationship Id="rId103" Type="http://schemas.openxmlformats.org/officeDocument/2006/relationships/hyperlink" Target="https://www.bnkomi.ru/data/city/2" TargetMode="External"/><Relationship Id="rId124" Type="http://schemas.openxmlformats.org/officeDocument/2006/relationships/hyperlink" Target="https://vk.com/sportsyktyvkara" TargetMode="External"/><Relationship Id="rId70" Type="http://schemas.openxmlformats.org/officeDocument/2006/relationships/hyperlink" Target="https://www.gsrk.ru/presscenter/news/" TargetMode="External"/><Relationship Id="rId91" Type="http://schemas.openxmlformats.org/officeDocument/2006/relationships/hyperlink" Target="https://gov.rkomi.ru/press" TargetMode="External"/><Relationship Id="rId145" Type="http://schemas.openxmlformats.org/officeDocument/2006/relationships/hyperlink" Target="https://vk.com/pressrkomi" TargetMode="External"/><Relationship Id="rId166" Type="http://schemas.openxmlformats.org/officeDocument/2006/relationships/hyperlink" Target="https://t.me/mainkomi" TargetMode="External"/><Relationship Id="rId187" Type="http://schemas.openxmlformats.org/officeDocument/2006/relationships/hyperlink" Target="https://vpechore.ru/" TargetMode="External"/><Relationship Id="rId1" Type="http://schemas.openxmlformats.org/officeDocument/2006/relationships/hyperlink" Target="https://t.me/notBNK" TargetMode="External"/><Relationship Id="rId212" Type="http://schemas.openxmlformats.org/officeDocument/2006/relationships/hyperlink" Target="https://usinsk.in/week/" TargetMode="External"/><Relationship Id="rId233" Type="http://schemas.openxmlformats.org/officeDocument/2006/relationships/hyperlink" Target="https://vk.com/syktyvdin" TargetMode="External"/><Relationship Id="rId254" Type="http://schemas.openxmlformats.org/officeDocument/2006/relationships/hyperlink" Target="https://udorainfo.gosuslugi.ru/" TargetMode="External"/><Relationship Id="rId28" Type="http://schemas.openxmlformats.org/officeDocument/2006/relationships/hyperlink" Target="https://t.me/northKomi" TargetMode="External"/><Relationship Id="rId49" Type="http://schemas.openxmlformats.org/officeDocument/2006/relationships/hyperlink" Target="https://max.ru/channel_MNM" TargetMode="External"/><Relationship Id="rId114" Type="http://schemas.openxmlformats.org/officeDocument/2006/relationships/hyperlink" Target="https://vk.com/komirec" TargetMode="External"/><Relationship Id="rId275" Type="http://schemas.openxmlformats.org/officeDocument/2006/relationships/hyperlink" Target="http://sov.udora.info/" TargetMode="External"/><Relationship Id="rId60" Type="http://schemas.openxmlformats.org/officeDocument/2006/relationships/hyperlink" Target="https://max.ru/ezhva_adm" TargetMode="External"/><Relationship Id="rId81" Type="http://schemas.openxmlformats.org/officeDocument/2006/relationships/hyperlink" Target="https://komirec.rkomi.ru/presscenter/news/" TargetMode="External"/><Relationship Id="rId135" Type="http://schemas.openxmlformats.org/officeDocument/2006/relationships/hyperlink" Target="https://vk.com/minnats.rkomi" TargetMode="External"/><Relationship Id="rId156" Type="http://schemas.openxmlformats.org/officeDocument/2006/relationships/hyperlink" Target="https://vk.ru/prospectsyk" TargetMode="External"/><Relationship Id="rId177" Type="http://schemas.openxmlformats.org/officeDocument/2006/relationships/hyperlink" Target="https://usinsk.gosuslugi.ru/" TargetMode="External"/><Relationship Id="rId198" Type="http://schemas.openxmlformats.org/officeDocument/2006/relationships/hyperlink" Target="https://komiinform.ru/news/municipal/7" TargetMode="External"/><Relationship Id="rId202" Type="http://schemas.openxmlformats.org/officeDocument/2006/relationships/hyperlink" Target="https://usinsk.in/nns/" TargetMode="External"/><Relationship Id="rId223" Type="http://schemas.openxmlformats.org/officeDocument/2006/relationships/hyperlink" Target="https://www.sosnogorsk.org/strukturnye/mau-sosnogorsk-media/general-information/" TargetMode="External"/><Relationship Id="rId244" Type="http://schemas.openxmlformats.org/officeDocument/2006/relationships/hyperlink" Target="https://vk.com/kulturapechora" TargetMode="External"/><Relationship Id="rId18" Type="http://schemas.openxmlformats.org/officeDocument/2006/relationships/hyperlink" Target="https://t.me/komivkomi" TargetMode="External"/><Relationship Id="rId39" Type="http://schemas.openxmlformats.org/officeDocument/2006/relationships/hyperlink" Target="https://t.me/komileaks" TargetMode="External"/><Relationship Id="rId265" Type="http://schemas.openxmlformats.org/officeDocument/2006/relationships/hyperlink" Target="https://minobr.rkomi.ru/?ysclid=mtcmsysrb0168745732" TargetMode="External"/><Relationship Id="rId286" Type="http://schemas.openxmlformats.org/officeDocument/2006/relationships/hyperlink" Target="https://vk.ru/vpered1932?ysclid=mtcnwpldw7283137609" TargetMode="External"/><Relationship Id="rId50" Type="http://schemas.openxmlformats.org/officeDocument/2006/relationships/hyperlink" Target="https://max.ru/turinfokomi" TargetMode="External"/><Relationship Id="rId104" Type="http://schemas.openxmlformats.org/officeDocument/2006/relationships/hyperlink" Target="https://progoroduhta.ru/" TargetMode="External"/><Relationship Id="rId125" Type="http://schemas.openxmlformats.org/officeDocument/2006/relationships/hyperlink" Target="https://vk.com/mauk_ckm" TargetMode="External"/><Relationship Id="rId146" Type="http://schemas.openxmlformats.org/officeDocument/2006/relationships/hyperlink" Target="https://vk.com/goldshtein_komi" TargetMode="External"/><Relationship Id="rId167" Type="http://schemas.openxmlformats.org/officeDocument/2006/relationships/hyperlink" Target="https://t.me/komivoytyr" TargetMode="External"/><Relationship Id="rId188" Type="http://schemas.openxmlformats.org/officeDocument/2006/relationships/hyperlink" Target="https://www.sosnogorsk.org/about/smi/vestitimana/" TargetMode="External"/><Relationship Id="rId71" Type="http://schemas.openxmlformats.org/officeDocument/2006/relationships/hyperlink" Target="https://zakupki.rkomi.ru/presscenter/news/" TargetMode="External"/><Relationship Id="rId92" Type="http://schemas.openxmlformats.org/officeDocument/2006/relationships/hyperlink" Target="https://epp.genproc.gov.ru/web/proc_11" TargetMode="External"/><Relationship Id="rId213" Type="http://schemas.openxmlformats.org/officeDocument/2006/relationships/hyperlink" Target="https://news-komi.ru/" TargetMode="External"/><Relationship Id="rId234" Type="http://schemas.openxmlformats.org/officeDocument/2006/relationships/hyperlink" Target="https://vk.com/vtsosnogorsk" TargetMode="External"/><Relationship Id="rId2" Type="http://schemas.openxmlformats.org/officeDocument/2006/relationships/hyperlink" Target="https://t.me/bnk11" TargetMode="External"/><Relationship Id="rId29" Type="http://schemas.openxmlformats.org/officeDocument/2006/relationships/hyperlink" Target="https://t.me/pg11ru" TargetMode="External"/><Relationship Id="rId255" Type="http://schemas.openxmlformats.org/officeDocument/2006/relationships/hyperlink" Target="https://ustcilemskij-r11.gosweb.gosuslugi.ru/" TargetMode="External"/><Relationship Id="rId276" Type="http://schemas.openxmlformats.org/officeDocument/2006/relationships/hyperlink" Target="https://ustvymskij.ru/index.php/sovet-mr-ust-vymskij" TargetMode="External"/><Relationship Id="rId40" Type="http://schemas.openxmlformats.org/officeDocument/2006/relationships/hyperlink" Target="https://t.me/mintrudsocKomi" TargetMode="External"/><Relationship Id="rId115" Type="http://schemas.openxmlformats.org/officeDocument/2006/relationships/hyperlink" Target="https://vk.com/maximmart2903" TargetMode="External"/><Relationship Id="rId136" Type="http://schemas.openxmlformats.org/officeDocument/2006/relationships/hyperlink" Target="https://vk.com/komiedu" TargetMode="External"/><Relationship Id="rId157" Type="http://schemas.openxmlformats.org/officeDocument/2006/relationships/hyperlink" Target="https://vk.com/mouhta" TargetMode="External"/><Relationship Id="rId178" Type="http://schemas.openxmlformats.org/officeDocument/2006/relationships/hyperlink" Target="https://syktyvdin.gosuslugi.ru/" TargetMode="External"/><Relationship Id="rId61" Type="http://schemas.openxmlformats.org/officeDocument/2006/relationships/hyperlink" Target="https://max.ru/channel_maximmart2903" TargetMode="External"/><Relationship Id="rId82" Type="http://schemas.openxmlformats.org/officeDocument/2006/relationships/hyperlink" Target="https://mintrudsoc.rkomi.ru/presscenter/news/" TargetMode="External"/><Relationship Id="rId199" Type="http://schemas.openxmlformats.org/officeDocument/2006/relationships/hyperlink" Target="https://komi-nao.ru/komi/ust-kulom/novosti" TargetMode="External"/><Relationship Id="rId203" Type="http://schemas.openxmlformats.org/officeDocument/2006/relationships/hyperlink" Target="https://komiinform.ru/news/municipal/14/" TargetMode="External"/><Relationship Id="rId19" Type="http://schemas.openxmlformats.org/officeDocument/2006/relationships/hyperlink" Target="https://t.me/komitesha" TargetMode="External"/><Relationship Id="rId224" Type="http://schemas.openxmlformats.org/officeDocument/2006/relationships/hyperlink" Target="https://sosnogorsk-edu.ru/" TargetMode="External"/><Relationship Id="rId245" Type="http://schemas.openxmlformats.org/officeDocument/2006/relationships/hyperlink" Target="https://vk.com/usinsk_novosti" TargetMode="External"/><Relationship Id="rId266" Type="http://schemas.openxmlformats.org/officeDocument/2006/relationships/hyperlink" Target="https://mpr.rkomi.ru/?ysclid=mtco4j0i83810388013" TargetMode="External"/><Relationship Id="rId287" Type="http://schemas.openxmlformats.org/officeDocument/2006/relationships/hyperlink" Target="https://vk.ru/public91733271?ysclid=mtcnvyrdhh661747812" TargetMode="External"/><Relationship Id="rId30" Type="http://schemas.openxmlformats.org/officeDocument/2006/relationships/hyperlink" Target="https://t.me/pgukhta11" TargetMode="External"/><Relationship Id="rId105" Type="http://schemas.openxmlformats.org/officeDocument/2006/relationships/hyperlink" Target="https://www.bnkomi.ru/data/city/6" TargetMode="External"/><Relationship Id="rId126" Type="http://schemas.openxmlformats.org/officeDocument/2006/relationships/hyperlink" Target="https://vk.com/social_ezhva" TargetMode="External"/><Relationship Id="rId147" Type="http://schemas.openxmlformats.org/officeDocument/2006/relationships/hyperlink" Target="https://vk.com/skkomi" TargetMode="External"/><Relationship Id="rId168" Type="http://schemas.openxmlformats.org/officeDocument/2006/relationships/hyperlink" Target="https://t.me/pechoratoday" TargetMode="External"/><Relationship Id="rId51" Type="http://schemas.openxmlformats.org/officeDocument/2006/relationships/hyperlink" Target="https://max.ru/vkpgu" TargetMode="External"/><Relationship Id="rId72" Type="http://schemas.openxmlformats.org/officeDocument/2006/relationships/hyperlink" Target="https://minzdrav.rkomi.ru/presscenter/news/" TargetMode="External"/><Relationship Id="rId93" Type="http://schemas.openxmlformats.org/officeDocument/2006/relationships/hyperlink" Target="https://slpk.com/news/" TargetMode="External"/><Relationship Id="rId189" Type="http://schemas.openxmlformats.org/officeDocument/2006/relationships/hyperlink" Target="https://ves-sosnogorsk.ru/" TargetMode="External"/><Relationship Id="rId3" Type="http://schemas.openxmlformats.org/officeDocument/2006/relationships/hyperlink" Target="https://t.me/officially_vorkuta" TargetMode="External"/><Relationship Id="rId214" Type="http://schemas.openxmlformats.org/officeDocument/2006/relationships/hyperlink" Target="https://usinsk.in/sv/" TargetMode="External"/><Relationship Id="rId235" Type="http://schemas.openxmlformats.org/officeDocument/2006/relationships/hyperlink" Target="https://vkvideo.ru/@vesti11" TargetMode="External"/><Relationship Id="rId256" Type="http://schemas.openxmlformats.org/officeDocument/2006/relationships/hyperlink" Target="https://admtrpk.gosuslugi.ru/" TargetMode="External"/><Relationship Id="rId277" Type="http://schemas.openxmlformats.org/officeDocument/2006/relationships/hyperlink" Target="http://uo-vizinga.lbihost.ru/?ysclid=mtcolrgdeh390655221" TargetMode="External"/><Relationship Id="rId116" Type="http://schemas.openxmlformats.org/officeDocument/2006/relationships/hyperlink" Target="https://vk.com/dorojnoehozajstvo" TargetMode="External"/><Relationship Id="rId137" Type="http://schemas.openxmlformats.org/officeDocument/2006/relationships/hyperlink" Target="https://vk.com/minpr.rkomi" TargetMode="External"/><Relationship Id="rId158" Type="http://schemas.openxmlformats.org/officeDocument/2006/relationships/hyperlink" Target="https://vk.com/gazprom_gtukhta" TargetMode="External"/><Relationship Id="rId20" Type="http://schemas.openxmlformats.org/officeDocument/2006/relationships/hyperlink" Target="https://t.me/komiinform" TargetMode="External"/><Relationship Id="rId41" Type="http://schemas.openxmlformats.org/officeDocument/2006/relationships/hyperlink" Target="https://t.me/digitalkomi" TargetMode="External"/><Relationship Id="rId62" Type="http://schemas.openxmlformats.org/officeDocument/2006/relationships/hyperlink" Target="https://max.ru/syktyvkar01" TargetMode="External"/><Relationship Id="rId83" Type="http://schemas.openxmlformats.org/officeDocument/2006/relationships/hyperlink" Target="https://sport.rkomi.ru/presscenter/news/" TargetMode="External"/><Relationship Id="rId179" Type="http://schemas.openxmlformats.org/officeDocument/2006/relationships/hyperlink" Target="https://ust-kulomsky.gosuslugi.ru/" TargetMode="External"/><Relationship Id="rId190" Type="http://schemas.openxmlformats.org/officeDocument/2006/relationships/hyperlink" Target="https://&#1087;&#1072;&#1088;&#1084;&#1072;-&#1075;&#1086;&#1088;.&#1088;&#1092;/" TargetMode="External"/><Relationship Id="rId204" Type="http://schemas.openxmlformats.org/officeDocument/2006/relationships/hyperlink" Target="https://vilgort.bezformata.com/" TargetMode="External"/><Relationship Id="rId225" Type="http://schemas.openxmlformats.org/officeDocument/2006/relationships/hyperlink" Target="https://ruoust-kulom.ucoz.ru/" TargetMode="External"/><Relationship Id="rId246" Type="http://schemas.openxmlformats.org/officeDocument/2006/relationships/hyperlink" Target="https://vkvideo.ru/@usinsk_novosti" TargetMode="External"/><Relationship Id="rId267" Type="http://schemas.openxmlformats.org/officeDocument/2006/relationships/hyperlink" Target="https://mshp.rkomi.ru/?ysclid=mtcofl8y51846691782" TargetMode="External"/><Relationship Id="rId288" Type="http://schemas.openxmlformats.org/officeDocument/2006/relationships/hyperlink" Target="https://vk.ru/club50019490?ysclid=mtcnz2jgo176835637" TargetMode="External"/><Relationship Id="rId106" Type="http://schemas.openxmlformats.org/officeDocument/2006/relationships/hyperlink" Target="https://vk.com/amogosykt" TargetMode="External"/><Relationship Id="rId127" Type="http://schemas.openxmlformats.org/officeDocument/2006/relationships/hyperlink" Target="https://vk.com/csmsykt" TargetMode="External"/><Relationship Id="rId10" Type="http://schemas.openxmlformats.org/officeDocument/2006/relationships/hyperlink" Target="https://t.me/gazprom_gtukhta" TargetMode="External"/><Relationship Id="rId31" Type="http://schemas.openxmlformats.org/officeDocument/2006/relationships/hyperlink" Target="https://t.me/ranshevcex" TargetMode="External"/><Relationship Id="rId52" Type="http://schemas.openxmlformats.org/officeDocument/2006/relationships/hyperlink" Target="https://max.ru/id1103023731_gos" TargetMode="External"/><Relationship Id="rId73" Type="http://schemas.openxmlformats.org/officeDocument/2006/relationships/hyperlink" Target="https://agui.rkomi.ru/presscenter/news/" TargetMode="External"/><Relationship Id="rId94" Type="http://schemas.openxmlformats.org/officeDocument/2006/relationships/hyperlink" Target="https://uprovorcuta.ru/index.php/novosti.html" TargetMode="External"/><Relationship Id="rId148" Type="http://schemas.openxmlformats.org/officeDocument/2006/relationships/hyperlink" Target="https://vk.com/tsur11" TargetMode="External"/><Relationship Id="rId169" Type="http://schemas.openxmlformats.org/officeDocument/2006/relationships/hyperlink" Target="https://t.me/OverHeardPechora" TargetMode="External"/><Relationship Id="rId4" Type="http://schemas.openxmlformats.org/officeDocument/2006/relationships/hyperlink" Target="https://t.me/komanda_komi" TargetMode="External"/><Relationship Id="rId180" Type="http://schemas.openxmlformats.org/officeDocument/2006/relationships/hyperlink" Target="https://sosnogorsk.bezformata.com/" TargetMode="External"/><Relationship Id="rId215" Type="http://schemas.openxmlformats.org/officeDocument/2006/relationships/hyperlink" Target="https://parma-gor.orgs.biz/" TargetMode="External"/><Relationship Id="rId236" Type="http://schemas.openxmlformats.org/officeDocument/2006/relationships/hyperlink" Target="https://vk.com/zaryatimana" TargetMode="External"/><Relationship Id="rId257" Type="http://schemas.openxmlformats.org/officeDocument/2006/relationships/hyperlink" Target="https://ustvymskij-r11.gosweb.gosuslugi.ru/" TargetMode="External"/><Relationship Id="rId278" Type="http://schemas.openxmlformats.org/officeDocument/2006/relationships/hyperlink" Target="https://ustvymskij.ru/index.php/upravlenie-fizicheskoj-kultury-i-sporta" TargetMode="External"/><Relationship Id="rId42" Type="http://schemas.openxmlformats.org/officeDocument/2006/relationships/hyperlink" Target="https://t.me/MinEcKomi" TargetMode="External"/><Relationship Id="rId84" Type="http://schemas.openxmlformats.org/officeDocument/2006/relationships/hyperlink" Target="https://minfin.rkomi.ru/presscenter/news/" TargetMode="External"/><Relationship Id="rId138" Type="http://schemas.openxmlformats.org/officeDocument/2006/relationships/hyperlink" Target="https://vk.com/selskoe_hozaistvo_komi" TargetMode="External"/><Relationship Id="rId191" Type="http://schemas.openxmlformats.org/officeDocument/2006/relationships/hyperlink" Target="https://gazetakomi.ru/" TargetMode="External"/><Relationship Id="rId205" Type="http://schemas.openxmlformats.org/officeDocument/2006/relationships/hyperlink" Target="https://www.bnkomi.ru/data/city/11" TargetMode="External"/><Relationship Id="rId247" Type="http://schemas.openxmlformats.org/officeDocument/2006/relationships/hyperlink" Target="https://vk.com/usnov" TargetMode="External"/><Relationship Id="rId107" Type="http://schemas.openxmlformats.org/officeDocument/2006/relationships/hyperlink" Target="https://vk.com/vmaksakovka" TargetMode="External"/><Relationship Id="rId289" Type="http://schemas.openxmlformats.org/officeDocument/2006/relationships/hyperlink" Target="https://vk.ru/wall-203363251_27739" TargetMode="External"/><Relationship Id="rId11" Type="http://schemas.openxmlformats.org/officeDocument/2006/relationships/hyperlink" Target="https://t.me/mvd_komi" TargetMode="External"/><Relationship Id="rId53" Type="http://schemas.openxmlformats.org/officeDocument/2006/relationships/hyperlink" Target="https://max.ru/id1101170040_gos" TargetMode="External"/><Relationship Id="rId149" Type="http://schemas.openxmlformats.org/officeDocument/2006/relationships/hyperlink" Target="https://vk.com/syktyvkar_250" TargetMode="External"/><Relationship Id="rId95" Type="http://schemas.openxmlformats.org/officeDocument/2006/relationships/hyperlink" Target="https://vorkutasports.ru/news" TargetMode="External"/><Relationship Id="rId160" Type="http://schemas.openxmlformats.org/officeDocument/2006/relationships/hyperlink" Target="https://vk.com/sovetuhta" TargetMode="External"/><Relationship Id="rId216" Type="http://schemas.openxmlformats.org/officeDocument/2006/relationships/hyperlink" Target="https://pechora-cbs.ru/" TargetMode="External"/><Relationship Id="rId258" Type="http://schemas.openxmlformats.org/officeDocument/2006/relationships/hyperlink" Target="https://gazetazarya.ru/" TargetMode="External"/><Relationship Id="rId22" Type="http://schemas.openxmlformats.org/officeDocument/2006/relationships/hyperlink" Target="https://t.me/komitelega" TargetMode="External"/><Relationship Id="rId64" Type="http://schemas.openxmlformats.org/officeDocument/2006/relationships/hyperlink" Target="https://max.ru/pressrkomi" TargetMode="External"/><Relationship Id="rId118" Type="http://schemas.openxmlformats.org/officeDocument/2006/relationships/hyperlink" Target="https://vk.com/rvnoskov" TargetMode="External"/><Relationship Id="rId171" Type="http://schemas.openxmlformats.org/officeDocument/2006/relationships/hyperlink" Target="https://t.me/pechora11rus" TargetMode="External"/><Relationship Id="rId227" Type="http://schemas.openxmlformats.org/officeDocument/2006/relationships/hyperlink" Target="https://syktyvdin.edusite.ru/" TargetMode="External"/><Relationship Id="rId269" Type="http://schemas.openxmlformats.org/officeDocument/2006/relationships/hyperlink" Target="https://mintrudsoc.rkomi.ru/?ysclid=mtcobthsmc855811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showGridLines="0" tabSelected="1" workbookViewId="0">
      <pane ySplit="5" topLeftCell="A6" activePane="bottomLeft" state="frozen"/>
      <selection pane="bottomLeft" activeCell="B7" sqref="B7"/>
    </sheetView>
  </sheetViews>
  <sheetFormatPr defaultColWidth="12.625" defaultRowHeight="15" customHeight="1"/>
  <cols>
    <col min="1" max="1" width="18" customWidth="1"/>
    <col min="2" max="2" width="14" customWidth="1"/>
    <col min="3" max="3" width="26" customWidth="1"/>
    <col min="4" max="5" width="28" customWidth="1"/>
    <col min="6" max="6" width="20" customWidth="1"/>
    <col min="7" max="7" width="32" customWidth="1"/>
    <col min="8" max="8" width="40" customWidth="1"/>
    <col min="9" max="9" width="27" customWidth="1"/>
    <col min="10" max="10" width="16" customWidth="1"/>
    <col min="11" max="11" width="19" customWidth="1"/>
    <col min="12" max="12" width="38" customWidth="1"/>
    <col min="13" max="13" width="34" customWidth="1"/>
    <col min="14" max="25" width="8.625" customWidth="1"/>
  </cols>
  <sheetData>
    <row r="1" spans="1:13" ht="36" customHeight="1">
      <c r="A1" s="80" t="s">
        <v>26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13" ht="42" customHeight="1">
      <c r="A2" s="82" t="s">
        <v>32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13" ht="24" customHeight="1">
      <c r="A3" s="6" t="s">
        <v>21</v>
      </c>
      <c r="B3" s="83"/>
      <c r="C3" s="81"/>
      <c r="D3" s="84"/>
      <c r="E3" s="81"/>
      <c r="F3" s="85"/>
      <c r="G3" s="81"/>
      <c r="H3" s="86"/>
      <c r="I3" s="81"/>
      <c r="J3" s="81"/>
      <c r="K3" s="81"/>
      <c r="L3" s="81"/>
      <c r="M3" s="81"/>
    </row>
    <row r="4" spans="1:13" ht="7.5" customHeight="1"/>
    <row r="5" spans="1:13" ht="45.75" customHeight="1">
      <c r="A5" s="9" t="s">
        <v>30</v>
      </c>
      <c r="B5" s="9" t="s">
        <v>46</v>
      </c>
      <c r="C5" s="9" t="s">
        <v>1</v>
      </c>
      <c r="D5" s="9" t="s">
        <v>52</v>
      </c>
      <c r="E5" s="9" t="s">
        <v>53</v>
      </c>
      <c r="F5" s="9" t="s">
        <v>56</v>
      </c>
      <c r="G5" s="9" t="s">
        <v>61</v>
      </c>
      <c r="H5" s="9" t="s">
        <v>62</v>
      </c>
      <c r="I5" s="9" t="s">
        <v>63</v>
      </c>
      <c r="J5" s="10" t="s">
        <v>66</v>
      </c>
      <c r="K5" s="9" t="s">
        <v>10</v>
      </c>
      <c r="L5" s="10" t="s">
        <v>70</v>
      </c>
      <c r="M5" s="11" t="s">
        <v>74</v>
      </c>
    </row>
    <row r="6" spans="1:13" ht="25.5" customHeight="1">
      <c r="A6" s="12" t="s">
        <v>78</v>
      </c>
      <c r="B6" s="13">
        <v>46267</v>
      </c>
      <c r="C6" s="14" t="s">
        <v>84</v>
      </c>
      <c r="D6" s="15" t="s">
        <v>87</v>
      </c>
      <c r="E6" s="14" t="s">
        <v>75</v>
      </c>
      <c r="F6" s="14" t="s">
        <v>43</v>
      </c>
      <c r="G6" s="15" t="s">
        <v>87</v>
      </c>
      <c r="H6" s="16" t="s">
        <v>95</v>
      </c>
      <c r="I6" s="15" t="s">
        <v>27</v>
      </c>
      <c r="J6" s="17" t="s">
        <v>100</v>
      </c>
      <c r="K6" s="14" t="s">
        <v>18</v>
      </c>
      <c r="L6" s="15" t="s">
        <v>103</v>
      </c>
      <c r="M6" s="21" t="str">
        <f ca="1">IFERROR(__xludf.DUMMYFUNCTION("IF(COUNTA(A6:L6)=0,"""",IFS(AND(H6&lt;&gt;"""",COUNTIF($H$6:$H$504,H6)&gt;1),""Ошибка: повтор URL"",OR(A6="""",B6="""",C6="""",D6="""",E6="""",F6="""",G6="""",H6="""",K6=""""),""Ошибка: обязательные поля"",NOT(REGEXMATCH(H6,""^https?://[^ /]+"")),""Ошибка: некорре"&amp;"ктная ссылка"",COUNTIF('Справочники'!$A$4:$A$24,C6)=0,""Ошибка: территория вне справочника"",K6=""Недоступен"",""Ошибка: ссылка недоступна"",E6=""Неофициальный источник"",IF(K6=""Активен"",""Готово"",""Проверить: активность""),I6&lt;&gt;""Подтверждено"",""Прове"&amp;"рить: официальность / комментарий"",K6&lt;&gt;""Активен"",""Проверить: активность"",AND(ISNUMBER(J6),J6&lt;TODAY()-30),""Проверить: публикации старше 30 дней"",TRUE,""Готово""))"),"Готово")</f>
        <v>Готово</v>
      </c>
    </row>
    <row r="7" spans="1:13" ht="25.5" customHeight="1">
      <c r="A7" s="22" t="s">
        <v>78</v>
      </c>
      <c r="B7" s="13">
        <v>46267</v>
      </c>
      <c r="C7" s="23" t="s">
        <v>84</v>
      </c>
      <c r="D7" s="24" t="s">
        <v>108</v>
      </c>
      <c r="E7" s="23" t="s">
        <v>75</v>
      </c>
      <c r="F7" s="23" t="s">
        <v>43</v>
      </c>
      <c r="G7" s="24" t="s">
        <v>108</v>
      </c>
      <c r="H7" s="26" t="s">
        <v>110</v>
      </c>
      <c r="I7" s="24" t="s">
        <v>17</v>
      </c>
      <c r="J7" s="13" t="s">
        <v>100</v>
      </c>
      <c r="K7" s="23" t="s">
        <v>18</v>
      </c>
      <c r="L7" s="24" t="s">
        <v>111</v>
      </c>
      <c r="M7" s="21" t="str">
        <f ca="1">IFERROR(__xludf.DUMMYFUNCTION("IF(COUNTA(A7:L7)=0,"""",IFS(AND(H7&lt;&gt;"""",COUNTIF($H$6:$H$504,H7)&gt;1),""Ошибка: повтор URL"",OR(A7="""",B7="""",C7="""",D7="""",E7="""",F7="""",G7="""",H7="""",K7=""""),""Ошибка: обязательные поля"",NOT(REGEXMATCH(H7,""^https?://[^ /]+"")),""Ошибка: некорре"&amp;"ктная ссылка"",COUNTIF('Справочники'!$A$4:$A$24,C7)=0,""Ошибка: территория вне справочника"",K7=""Недоступен"",""Ошибка: ссылка недоступна"",E7=""Неофициальный источник"",IF(K7=""Активен"",""Готово"",""Проверить: активность""),I7&lt;&gt;""Подтверждено"",""Прове"&amp;"рить: официальность / комментарий"",K7&lt;&gt;""Активен"",""Проверить: активность"",AND(ISNUMBER(J7),J7&lt;TODAY()-30),""Проверить: публикации старше 30 дней"",TRUE,""Готово""))"),"Готово")</f>
        <v>Готово</v>
      </c>
    </row>
    <row r="8" spans="1:13" ht="25.5" customHeight="1">
      <c r="A8" s="22" t="s">
        <v>78</v>
      </c>
      <c r="B8" s="13">
        <v>46267</v>
      </c>
      <c r="C8" s="23" t="s">
        <v>12</v>
      </c>
      <c r="D8" s="24" t="s">
        <v>113</v>
      </c>
      <c r="E8" s="23" t="s">
        <v>16</v>
      </c>
      <c r="F8" s="23" t="s">
        <v>43</v>
      </c>
      <c r="G8" s="24" t="s">
        <v>114</v>
      </c>
      <c r="H8" s="26" t="s">
        <v>115</v>
      </c>
      <c r="I8" s="24" t="s">
        <v>17</v>
      </c>
      <c r="J8" s="13"/>
      <c r="K8" s="23" t="s">
        <v>18</v>
      </c>
      <c r="L8" s="24" t="s">
        <v>103</v>
      </c>
      <c r="M8" s="21" t="str">
        <f ca="1">IFERROR(__xludf.DUMMYFUNCTION("IF(COUNTA(A8:L8)=0,"""",IFS(AND(H8&lt;&gt;"""",COUNTIF($H$6:$H$504,H8)&gt;1),""Ошибка: повтор URL"",OR(A8="""",B8="""",C8="""",D8="""",E8="""",F8="""",G8="""",H8="""",K8=""""),""Ошибка: обязательные поля"",NOT(REGEXMATCH(H8,""^https?://[^ /]+"")),""Ошибка: некорре"&amp;"ктная ссылка"",COUNTIF('Справочники'!$A$4:$A$24,C8)=0,""Ошибка: территория вне справочника"",K8=""Недоступен"",""Ошибка: ссылка недоступна"",E8=""Неофициальный источник"",IF(K8=""Активен"",""Готово"",""Проверить: активность""),I8&lt;&gt;""Подтверждено"",""Прове"&amp;"рить: официальность / комментарий"",K8&lt;&gt;""Активен"",""Проверить: активность"",AND(ISNUMBER(J8),J8&lt;TODAY()-30),""Проверить: публикации старше 30 дней"",TRUE,""Готово""))"),"Готово")</f>
        <v>Готово</v>
      </c>
    </row>
    <row r="9" spans="1:13" ht="25.5" customHeight="1">
      <c r="A9" s="22" t="s">
        <v>78</v>
      </c>
      <c r="B9" s="13">
        <v>46267</v>
      </c>
      <c r="C9" s="23" t="s">
        <v>84</v>
      </c>
      <c r="D9" s="24" t="s">
        <v>120</v>
      </c>
      <c r="E9" s="23" t="s">
        <v>51</v>
      </c>
      <c r="F9" s="23" t="s">
        <v>43</v>
      </c>
      <c r="G9" s="24" t="s">
        <v>121</v>
      </c>
      <c r="H9" s="26" t="s">
        <v>122</v>
      </c>
      <c r="I9" s="24" t="s">
        <v>17</v>
      </c>
      <c r="J9" s="13"/>
      <c r="K9" s="23" t="s">
        <v>18</v>
      </c>
      <c r="L9" s="24" t="s">
        <v>103</v>
      </c>
      <c r="M9" s="21" t="str">
        <f ca="1">IFERROR(__xludf.DUMMYFUNCTION("IF(COUNTA(A9:L9)=0,"""",IFS(AND(H9&lt;&gt;"""",COUNTIF($H$6:$H$504,H9)&gt;1),""Ошибка: повтор URL"",OR(A9="""",B9="""",C9="""",D9="""",E9="""",F9="""",G9="""",H9="""",K9=""""),""Ошибка: обязательные поля"",NOT(REGEXMATCH(H9,""^https?://[^ /]+"")),""Ошибка: некорре"&amp;"ктная ссылка"",COUNTIF('Справочники'!$A$4:$A$24,C9)=0,""Ошибка: территория вне справочника"",K9=""Недоступен"",""Ошибка: ссылка недоступна"",E9=""Неофициальный источник"",IF(K9=""Активен"",""Готово"",""Проверить: активность""),I9&lt;&gt;""Подтверждено"",""Прове"&amp;"рить: официальность / комментарий"",K9&lt;&gt;""Активен"",""Проверить: активность"",AND(ISNUMBER(J9),J9&lt;TODAY()-30),""Проверить: публикации старше 30 дней"",TRUE,""Готово""))"),"Готово")</f>
        <v>Готово</v>
      </c>
    </row>
    <row r="10" spans="1:13" ht="25.5" customHeight="1">
      <c r="A10" s="22" t="s">
        <v>78</v>
      </c>
      <c r="B10" s="13">
        <v>46267</v>
      </c>
      <c r="C10" s="23" t="s">
        <v>89</v>
      </c>
      <c r="D10" s="24" t="s">
        <v>132</v>
      </c>
      <c r="E10" s="23" t="s">
        <v>25</v>
      </c>
      <c r="F10" s="23" t="s">
        <v>43</v>
      </c>
      <c r="G10" s="24" t="s">
        <v>132</v>
      </c>
      <c r="H10" s="26" t="s">
        <v>133</v>
      </c>
      <c r="I10" s="24" t="s">
        <v>17</v>
      </c>
      <c r="J10" s="13"/>
      <c r="K10" s="23" t="s">
        <v>18</v>
      </c>
      <c r="L10" s="24" t="s">
        <v>103</v>
      </c>
      <c r="M10" s="21" t="str">
        <f ca="1">IFERROR(__xludf.DUMMYFUNCTION("IF(COUNTA(A10:L10)=0,"""",IFS(AND(H10&lt;&gt;"""",COUNTIF($H$6:$H$504,H10)&gt;1),""Ошибка: повтор URL"",OR(A10="""",B10="""",C10="""",D10="""",E10="""",F10="""",G10="""",H10="""",K10=""""),""Ошибка: обязательные поля"",NOT(REGEXMATCH(H10,""^https?://[^ /]+"")),""О"&amp;"шибка: некорректная ссылка"",COUNTIF('Справочники'!$A$4:$A$24,C10)=0,""Ошибка: территория вне справочника"",K10=""Недоступен"",""Ошибка: ссылка недоступна"",E10=""Неофициальный источник"",IF(K10=""Активен"",""Готово"",""Проверить: активность""),I10&lt;&gt;""Под"&amp;"тверждено"",""Проверить: официальность / комментарий"",K10&lt;&gt;""Активен"",""Проверить: активность"",AND(ISNUMBER(J10),J10&lt;TODAY()-30),""Проверить: публикации старше 30 дней"",TRUE,""Готово""))"),"Готово")</f>
        <v>Готово</v>
      </c>
    </row>
    <row r="11" spans="1:13" ht="25.5" customHeight="1">
      <c r="A11" s="22" t="s">
        <v>78</v>
      </c>
      <c r="B11" s="13">
        <v>46267</v>
      </c>
      <c r="C11" s="23" t="s">
        <v>84</v>
      </c>
      <c r="D11" s="24" t="s">
        <v>136</v>
      </c>
      <c r="E11" s="23" t="s">
        <v>51</v>
      </c>
      <c r="F11" s="23" t="s">
        <v>43</v>
      </c>
      <c r="G11" s="24" t="s">
        <v>137</v>
      </c>
      <c r="H11" s="26" t="s">
        <v>138</v>
      </c>
      <c r="I11" s="24" t="s">
        <v>17</v>
      </c>
      <c r="J11" s="13"/>
      <c r="K11" s="23" t="s">
        <v>18</v>
      </c>
      <c r="L11" s="24" t="s">
        <v>103</v>
      </c>
      <c r="M11" s="21" t="str">
        <f ca="1">IFERROR(__xludf.DUMMYFUNCTION("IF(COUNTA(A11:L11)=0,"""",IFS(AND(H11&lt;&gt;"""",COUNTIF($H$6:$H$504,H11)&gt;1),""Ошибка: повтор URL"",OR(A11="""",B11="""",C11="""",D11="""",E11="""",F11="""",G11="""",H11="""",K11=""""),""Ошибка: обязательные поля"",NOT(REGEXMATCH(H11,""^https?://[^ /]+"")),""О"&amp;"шибка: некорректная ссылка"",COUNTIF('Справочники'!$A$4:$A$24,C11)=0,""Ошибка: территория вне справочника"",K11=""Недоступен"",""Ошибка: ссылка недоступна"",E11=""Неофициальный источник"",IF(K11=""Активен"",""Готово"",""Проверить: активность""),I11&lt;&gt;""Под"&amp;"тверждено"",""Проверить: официальность / комментарий"",K11&lt;&gt;""Активен"",""Проверить: активность"",AND(ISNUMBER(J11),J11&lt;TODAY()-30),""Проверить: публикации старше 30 дней"",TRUE,""Готово""))"),"Готово")</f>
        <v>Готово</v>
      </c>
    </row>
    <row r="12" spans="1:13" ht="25.5" customHeight="1">
      <c r="A12" s="22" t="s">
        <v>78</v>
      </c>
      <c r="B12" s="13">
        <v>46267</v>
      </c>
      <c r="C12" s="23" t="s">
        <v>84</v>
      </c>
      <c r="D12" s="24" t="s">
        <v>141</v>
      </c>
      <c r="E12" s="23" t="s">
        <v>51</v>
      </c>
      <c r="F12" s="23" t="s">
        <v>43</v>
      </c>
      <c r="G12" s="24" t="s">
        <v>142</v>
      </c>
      <c r="H12" s="26" t="s">
        <v>143</v>
      </c>
      <c r="I12" s="24" t="s">
        <v>17</v>
      </c>
      <c r="J12" s="13"/>
      <c r="K12" s="23" t="s">
        <v>18</v>
      </c>
      <c r="L12" s="24" t="s">
        <v>103</v>
      </c>
      <c r="M12" s="21" t="str">
        <f ca="1">IFERROR(__xludf.DUMMYFUNCTION("IF(COUNTA(A12:L12)=0,"""",IFS(AND(H12&lt;&gt;"""",COUNTIF($H$6:$H$504,H12)&gt;1),""Ошибка: повтор URL"",OR(A12="""",B12="""",C12="""",D12="""",E12="""",F12="""",G12="""",H12="""",K12=""""),""Ошибка: обязательные поля"",NOT(REGEXMATCH(H12,""^https?://[^ /]+"")),""О"&amp;"шибка: некорректная ссылка"",COUNTIF('Справочники'!$A$4:$A$24,C12)=0,""Ошибка: территория вне справочника"",K12=""Недоступен"",""Ошибка: ссылка недоступна"",E12=""Неофициальный источник"",IF(K12=""Активен"",""Готово"",""Проверить: активность""),I12&lt;&gt;""Под"&amp;"тверждено"",""Проверить: официальность / комментарий"",K12&lt;&gt;""Активен"",""Проверить: активность"",AND(ISNUMBER(J12),J12&lt;TODAY()-30),""Проверить: публикации старше 30 дней"",TRUE,""Готово""))"),"Готово")</f>
        <v>Готово</v>
      </c>
    </row>
    <row r="13" spans="1:13" ht="25.5" customHeight="1">
      <c r="A13" s="22" t="s">
        <v>78</v>
      </c>
      <c r="B13" s="13">
        <v>46267</v>
      </c>
      <c r="C13" s="23" t="s">
        <v>84</v>
      </c>
      <c r="D13" s="24" t="s">
        <v>146</v>
      </c>
      <c r="E13" s="23" t="s">
        <v>51</v>
      </c>
      <c r="F13" s="23" t="s">
        <v>43</v>
      </c>
      <c r="G13" s="24" t="s">
        <v>148</v>
      </c>
      <c r="H13" s="26" t="s">
        <v>149</v>
      </c>
      <c r="I13" s="24" t="s">
        <v>17</v>
      </c>
      <c r="J13" s="13"/>
      <c r="K13" s="23" t="s">
        <v>18</v>
      </c>
      <c r="L13" s="24" t="s">
        <v>103</v>
      </c>
      <c r="M13" s="21" t="str">
        <f ca="1">IFERROR(__xludf.DUMMYFUNCTION("IF(COUNTA(A13:L13)=0,"""",IFS(AND(H13&lt;&gt;"""",COUNTIF($H$6:$H$504,H13)&gt;1),""Ошибка: повтор URL"",OR(A13="""",B13="""",C13="""",D13="""",E13="""",F13="""",G13="""",H13="""",K13=""""),""Ошибка: обязательные поля"",NOT(REGEXMATCH(H13,""^https?://[^ /]+"")),""О"&amp;"шибка: некорректная ссылка"",COUNTIF('Справочники'!$A$4:$A$24,C13)=0,""Ошибка: территория вне справочника"",K13=""Недоступен"",""Ошибка: ссылка недоступна"",E13=""Неофициальный источник"",IF(K13=""Активен"",""Готово"",""Проверить: активность""),I13&lt;&gt;""Под"&amp;"тверждено"",""Проверить: официальность / комментарий"",K13&lt;&gt;""Активен"",""Проверить: активность"",AND(ISNUMBER(J13),J13&lt;TODAY()-30),""Проверить: публикации старше 30 дней"",TRUE,""Готово""))"),"Готово")</f>
        <v>Готово</v>
      </c>
    </row>
    <row r="14" spans="1:13" ht="25.5" customHeight="1">
      <c r="A14" s="22" t="s">
        <v>78</v>
      </c>
      <c r="B14" s="13">
        <v>46267</v>
      </c>
      <c r="C14" s="23" t="s">
        <v>89</v>
      </c>
      <c r="D14" s="24" t="s">
        <v>152</v>
      </c>
      <c r="E14" s="23" t="s">
        <v>45</v>
      </c>
      <c r="F14" s="23" t="s">
        <v>43</v>
      </c>
      <c r="G14" s="37" t="s">
        <v>153</v>
      </c>
      <c r="H14" s="26" t="s">
        <v>155</v>
      </c>
      <c r="I14" s="24" t="s">
        <v>17</v>
      </c>
      <c r="J14" s="13"/>
      <c r="K14" s="23" t="s">
        <v>18</v>
      </c>
      <c r="L14" s="24" t="s">
        <v>103</v>
      </c>
      <c r="M14" s="21" t="str">
        <f ca="1">IFERROR(__xludf.DUMMYFUNCTION("IF(COUNTA(A14:L14)=0,"""",IFS(AND(H14&lt;&gt;"""",COUNTIF($H$6:$H$504,H14)&gt;1),""Ошибка: повтор URL"",OR(A14="""",B14="""",C14="""",D14="""",E14="""",F14="""",G14="""",H14="""",K14=""""),""Ошибка: обязательные поля"",NOT(REGEXMATCH(H14,""^https?://[^ /]+"")),""О"&amp;"шибка: некорректная ссылка"",COUNTIF('Справочники'!$A$4:$A$24,C14)=0,""Ошибка: территория вне справочника"",K14=""Недоступен"",""Ошибка: ссылка недоступна"",E14=""Неофициальный источник"",IF(K14=""Активен"",""Готово"",""Проверить: активность""),I14&lt;&gt;""Под"&amp;"тверждено"",""Проверить: официальность / комментарий"",K14&lt;&gt;""Активен"",""Проверить: активность"",AND(ISNUMBER(J14),J14&lt;TODAY()-30),""Проверить: публикации старше 30 дней"",TRUE,""Готово""))"),"Готово")</f>
        <v>Готово</v>
      </c>
    </row>
    <row r="15" spans="1:13" ht="25.5" customHeight="1">
      <c r="A15" s="22" t="s">
        <v>78</v>
      </c>
      <c r="B15" s="13">
        <v>46267</v>
      </c>
      <c r="C15" s="23" t="s">
        <v>105</v>
      </c>
      <c r="D15" s="24" t="s">
        <v>158</v>
      </c>
      <c r="E15" s="23" t="s">
        <v>69</v>
      </c>
      <c r="F15" s="23" t="s">
        <v>43</v>
      </c>
      <c r="G15" s="24" t="s">
        <v>159</v>
      </c>
      <c r="H15" s="26" t="s">
        <v>160</v>
      </c>
      <c r="I15" s="24" t="s">
        <v>17</v>
      </c>
      <c r="J15" s="13"/>
      <c r="K15" s="23" t="s">
        <v>18</v>
      </c>
      <c r="L15" s="24" t="s">
        <v>103</v>
      </c>
      <c r="M15" s="21" t="str">
        <f ca="1">IFERROR(__xludf.DUMMYFUNCTION("IF(COUNTA(A15:L15)=0,"""",IFS(AND(H15&lt;&gt;"""",COUNTIF($H$6:$H$504,H15)&gt;1),""Ошибка: повтор URL"",OR(A15="""",B15="""",C15="""",D15="""",E15="""",F15="""",G15="""",H15="""",K15=""""),""Ошибка: обязательные поля"",NOT(REGEXMATCH(H15,""^https?://[^ /]+"")),""О"&amp;"шибка: некорректная ссылка"",COUNTIF('Справочники'!$A$4:$A$24,C15)=0,""Ошибка: территория вне справочника"",K15=""Недоступен"",""Ошибка: ссылка недоступна"",E15=""Неофициальный источник"",IF(K15=""Активен"",""Готово"",""Проверить: активность""),I15&lt;&gt;""Под"&amp;"тверждено"",""Проверить: официальность / комментарий"",K15&lt;&gt;""Активен"",""Проверить: активность"",AND(ISNUMBER(J15),J15&lt;TODAY()-30),""Проверить: публикации старше 30 дней"",TRUE,""Готово""))"),"Готово")</f>
        <v>Готово</v>
      </c>
    </row>
    <row r="16" spans="1:13" ht="25.5" customHeight="1">
      <c r="A16" s="22" t="s">
        <v>78</v>
      </c>
      <c r="B16" s="13">
        <v>46267</v>
      </c>
      <c r="C16" s="23" t="s">
        <v>84</v>
      </c>
      <c r="D16" s="24" t="s">
        <v>164</v>
      </c>
      <c r="E16" s="23" t="s">
        <v>51</v>
      </c>
      <c r="F16" s="23" t="s">
        <v>43</v>
      </c>
      <c r="G16" s="24" t="s">
        <v>165</v>
      </c>
      <c r="H16" s="26" t="s">
        <v>166</v>
      </c>
      <c r="I16" s="24" t="s">
        <v>17</v>
      </c>
      <c r="J16" s="13"/>
      <c r="K16" s="23" t="s">
        <v>18</v>
      </c>
      <c r="L16" s="24" t="s">
        <v>103</v>
      </c>
      <c r="M16" s="21" t="str">
        <f ca="1">IFERROR(__xludf.DUMMYFUNCTION("IF(COUNTA(A16:L16)=0,"""",IFS(AND(H16&lt;&gt;"""",COUNTIF($H$6:$H$504,H16)&gt;1),""Ошибка: повтор URL"",OR(A16="""",B16="""",C16="""",D16="""",E16="""",F16="""",G16="""",H16="""",K16=""""),""Ошибка: обязательные поля"",NOT(REGEXMATCH(H16,""^https?://[^ /]+"")),""О"&amp;"шибка: некорректная ссылка"",COUNTIF('Справочники'!$A$4:$A$24,C16)=0,""Ошибка: территория вне справочника"",K16=""Недоступен"",""Ошибка: ссылка недоступна"",E16=""Неофициальный источник"",IF(K16=""Активен"",""Готово"",""Проверить: активность""),I16&lt;&gt;""Под"&amp;"тверждено"",""Проверить: официальность / комментарий"",K16&lt;&gt;""Активен"",""Проверить: активность"",AND(ISNUMBER(J16),J16&lt;TODAY()-30),""Проверить: публикации старше 30 дней"",TRUE,""Готово""))"),"Готово")</f>
        <v>Готово</v>
      </c>
    </row>
    <row r="17" spans="1:13" ht="25.5" customHeight="1">
      <c r="A17" s="22" t="s">
        <v>78</v>
      </c>
      <c r="B17" s="13">
        <v>46267</v>
      </c>
      <c r="C17" s="23" t="s">
        <v>84</v>
      </c>
      <c r="D17" s="24" t="s">
        <v>169</v>
      </c>
      <c r="E17" s="23" t="s">
        <v>51</v>
      </c>
      <c r="F17" s="23" t="s">
        <v>43</v>
      </c>
      <c r="G17" s="24" t="s">
        <v>169</v>
      </c>
      <c r="H17" s="26" t="s">
        <v>170</v>
      </c>
      <c r="I17" s="24" t="s">
        <v>17</v>
      </c>
      <c r="J17" s="13"/>
      <c r="K17" s="23" t="s">
        <v>18</v>
      </c>
      <c r="L17" s="24" t="s">
        <v>103</v>
      </c>
      <c r="M17" s="21" t="str">
        <f ca="1">IFERROR(__xludf.DUMMYFUNCTION("IF(COUNTA(A17:L17)=0,"""",IFS(AND(H17&lt;&gt;"""",COUNTIF($H$6:$H$504,H17)&gt;1),""Ошибка: повтор URL"",OR(A17="""",B17="""",C17="""",D17="""",E17="""",F17="""",G17="""",H17="""",K17=""""),""Ошибка: обязательные поля"",NOT(REGEXMATCH(H17,""^https?://[^ /]+"")),""О"&amp;"шибка: некорректная ссылка"",COUNTIF('Справочники'!$A$4:$A$24,C17)=0,""Ошибка: территория вне справочника"",K17=""Недоступен"",""Ошибка: ссылка недоступна"",E17=""Неофициальный источник"",IF(K17=""Активен"",""Готово"",""Проверить: активность""),I17&lt;&gt;""Под"&amp;"тверждено"",""Проверить: официальность / комментарий"",K17&lt;&gt;""Активен"",""Проверить: активность"",AND(ISNUMBER(J17),J17&lt;TODAY()-30),""Проверить: публикации старше 30 дней"",TRUE,""Готово""))"),"Готово")</f>
        <v>Готово</v>
      </c>
    </row>
    <row r="18" spans="1:13" ht="25.5" customHeight="1">
      <c r="A18" s="22" t="s">
        <v>78</v>
      </c>
      <c r="B18" s="13">
        <v>46267</v>
      </c>
      <c r="C18" s="23" t="s">
        <v>84</v>
      </c>
      <c r="D18" s="24" t="s">
        <v>173</v>
      </c>
      <c r="E18" s="23" t="s">
        <v>51</v>
      </c>
      <c r="F18" s="23" t="s">
        <v>43</v>
      </c>
      <c r="G18" s="24" t="s">
        <v>173</v>
      </c>
      <c r="H18" s="26" t="s">
        <v>174</v>
      </c>
      <c r="I18" s="24" t="s">
        <v>17</v>
      </c>
      <c r="J18" s="13"/>
      <c r="K18" s="23" t="s">
        <v>18</v>
      </c>
      <c r="L18" s="24" t="s">
        <v>103</v>
      </c>
      <c r="M18" s="21" t="str">
        <f ca="1">IFERROR(__xludf.DUMMYFUNCTION("IF(COUNTA(A18:L18)=0,"""",IFS(AND(H18&lt;&gt;"""",COUNTIF($H$6:$H$504,H18)&gt;1),""Ошибка: повтор URL"",OR(A18="""",B18="""",C18="""",D18="""",E18="""",F18="""",G18="""",H18="""",K18=""""),""Ошибка: обязательные поля"",NOT(REGEXMATCH(H18,""^https?://[^ /]+"")),""О"&amp;"шибка: некорректная ссылка"",COUNTIF('Справочники'!$A$4:$A$24,C18)=0,""Ошибка: территория вне справочника"",K18=""Недоступен"",""Ошибка: ссылка недоступна"",E18=""Неофициальный источник"",IF(K18=""Активен"",""Готово"",""Проверить: активность""),I18&lt;&gt;""Под"&amp;"тверждено"",""Проверить: официальность / комментарий"",K18&lt;&gt;""Активен"",""Проверить: активность"",AND(ISNUMBER(J18),J18&lt;TODAY()-30),""Проверить: публикации старше 30 дней"",TRUE,""Готово""))"),"Готово")</f>
        <v>Готово</v>
      </c>
    </row>
    <row r="19" spans="1:13" ht="25.5" customHeight="1">
      <c r="A19" s="22" t="s">
        <v>78</v>
      </c>
      <c r="B19" s="13">
        <v>46267</v>
      </c>
      <c r="C19" s="23" t="s">
        <v>105</v>
      </c>
      <c r="D19" s="24" t="s">
        <v>177</v>
      </c>
      <c r="E19" s="23" t="s">
        <v>45</v>
      </c>
      <c r="F19" s="23" t="s">
        <v>43</v>
      </c>
      <c r="G19" s="24" t="s">
        <v>179</v>
      </c>
      <c r="H19" s="26" t="s">
        <v>180</v>
      </c>
      <c r="I19" s="24" t="s">
        <v>17</v>
      </c>
      <c r="J19" s="13"/>
      <c r="K19" s="23" t="s">
        <v>18</v>
      </c>
      <c r="L19" s="24" t="s">
        <v>103</v>
      </c>
      <c r="M19" s="21" t="str">
        <f ca="1">IFERROR(__xludf.DUMMYFUNCTION("IF(COUNTA(A19:L19)=0,"""",IFS(AND(H19&lt;&gt;"""",COUNTIF($H$6:$H$504,H19)&gt;1),""Ошибка: повтор URL"",OR(A19="""",B19="""",C19="""",D19="""",E19="""",F19="""",G19="""",H19="""",K19=""""),""Ошибка: обязательные поля"",NOT(REGEXMATCH(H19,""^https?://[^ /]+"")),""О"&amp;"шибка: некорректная ссылка"",COUNTIF('Справочники'!$A$4:$A$24,C19)=0,""Ошибка: территория вне справочника"",K19=""Недоступен"",""Ошибка: ссылка недоступна"",E19=""Неофициальный источник"",IF(K19=""Активен"",""Готово"",""Проверить: активность""),I19&lt;&gt;""Под"&amp;"тверждено"",""Проверить: официальность / комментарий"",K19&lt;&gt;""Активен"",""Проверить: активность"",AND(ISNUMBER(J19),J19&lt;TODAY()-30),""Проверить: публикации старше 30 дней"",TRUE,""Готово""))"),"Готово")</f>
        <v>Готово</v>
      </c>
    </row>
    <row r="20" spans="1:13" ht="25.5" customHeight="1">
      <c r="A20" s="22" t="s">
        <v>78</v>
      </c>
      <c r="B20" s="13">
        <v>46267</v>
      </c>
      <c r="C20" s="23" t="s">
        <v>89</v>
      </c>
      <c r="D20" s="24" t="s">
        <v>182</v>
      </c>
      <c r="E20" s="23" t="s">
        <v>75</v>
      </c>
      <c r="F20" s="23" t="s">
        <v>43</v>
      </c>
      <c r="G20" s="24" t="s">
        <v>182</v>
      </c>
      <c r="H20" s="26" t="s">
        <v>184</v>
      </c>
      <c r="I20" s="24" t="s">
        <v>27</v>
      </c>
      <c r="J20" s="13"/>
      <c r="K20" s="23" t="s">
        <v>18</v>
      </c>
      <c r="L20" s="24" t="s">
        <v>186</v>
      </c>
      <c r="M20" s="21" t="str">
        <f ca="1">IFERROR(__xludf.DUMMYFUNCTION("IF(COUNTA(A20:L20)=0,"""",IFS(AND(H20&lt;&gt;"""",COUNTIF($H$6:$H$504,H20)&gt;1),""Ошибка: повтор URL"",OR(A20="""",B20="""",C20="""",D20="""",E20="""",F20="""",G20="""",H20="""",K20=""""),""Ошибка: обязательные поля"",NOT(REGEXMATCH(H20,""^https?://[^ /]+"")),""О"&amp;"шибка: некорректная ссылка"",COUNTIF('Справочники'!$A$4:$A$24,C20)=0,""Ошибка: территория вне справочника"",K20=""Недоступен"",""Ошибка: ссылка недоступна"",E20=""Неофициальный источник"",IF(K20=""Активен"",""Готово"",""Проверить: активность""),I20&lt;&gt;""Под"&amp;"тверждено"",""Проверить: официальность / комментарий"",K20&lt;&gt;""Активен"",""Проверить: активность"",AND(ISNUMBER(J20),J20&lt;TODAY()-30),""Проверить: публикации старше 30 дней"",TRUE,""Готово""))"),"Готово")</f>
        <v>Готово</v>
      </c>
    </row>
    <row r="21" spans="1:13" ht="25.5" customHeight="1">
      <c r="A21" s="22" t="s">
        <v>78</v>
      </c>
      <c r="B21" s="13">
        <v>46267</v>
      </c>
      <c r="C21" s="23" t="s">
        <v>84</v>
      </c>
      <c r="D21" s="24" t="s">
        <v>188</v>
      </c>
      <c r="E21" s="23" t="s">
        <v>36</v>
      </c>
      <c r="F21" s="23" t="s">
        <v>43</v>
      </c>
      <c r="G21" s="24" t="s">
        <v>189</v>
      </c>
      <c r="H21" s="26" t="s">
        <v>190</v>
      </c>
      <c r="I21" s="24" t="s">
        <v>17</v>
      </c>
      <c r="J21" s="13"/>
      <c r="K21" s="23" t="s">
        <v>18</v>
      </c>
      <c r="L21" s="24" t="s">
        <v>192</v>
      </c>
      <c r="M21" s="21" t="str">
        <f ca="1">IFERROR(__xludf.DUMMYFUNCTION("IF(COUNTA(A21:L21)=0,"""",IFS(AND(H21&lt;&gt;"""",COUNTIF($H$6:$H$504,H21)&gt;1),""Ошибка: повтор URL"",OR(A21="""",B21="""",C21="""",D21="""",E21="""",F21="""",G21="""",H21="""",K21=""""),""Ошибка: обязательные поля"",NOT(REGEXMATCH(H21,""^https?://[^ /]+"")),""О"&amp;"шибка: некорректная ссылка"",COUNTIF('Справочники'!$A$4:$A$24,C21)=0,""Ошибка: территория вне справочника"",K21=""Недоступен"",""Ошибка: ссылка недоступна"",E21=""Неофициальный источник"",IF(K21=""Активен"",""Готово"",""Проверить: активность""),I21&lt;&gt;""Под"&amp;"тверждено"",""Проверить: официальность / комментарий"",K21&lt;&gt;""Активен"",""Проверить: активность"",AND(ISNUMBER(J21),J21&lt;TODAY()-30),""Проверить: публикации старше 30 дней"",TRUE,""Готово""))"),"Готово")</f>
        <v>Готово</v>
      </c>
    </row>
    <row r="22" spans="1:13" ht="25.5" customHeight="1">
      <c r="A22" s="22" t="s">
        <v>78</v>
      </c>
      <c r="B22" s="13">
        <v>46267</v>
      </c>
      <c r="C22" s="23" t="s">
        <v>84</v>
      </c>
      <c r="D22" s="24" t="s">
        <v>194</v>
      </c>
      <c r="E22" s="23" t="s">
        <v>25</v>
      </c>
      <c r="F22" s="23" t="s">
        <v>43</v>
      </c>
      <c r="G22" s="24" t="s">
        <v>195</v>
      </c>
      <c r="H22" s="26" t="s">
        <v>196</v>
      </c>
      <c r="I22" s="24" t="s">
        <v>17</v>
      </c>
      <c r="J22" s="13"/>
      <c r="K22" s="23" t="s">
        <v>18</v>
      </c>
      <c r="L22" s="24" t="s">
        <v>198</v>
      </c>
      <c r="M22" s="21" t="str">
        <f ca="1">IFERROR(__xludf.DUMMYFUNCTION("IF(COUNTA(A22:L22)=0,"""",IFS(AND(H22&lt;&gt;"""",COUNTIF($H$6:$H$504,H22)&gt;1),""Ошибка: повтор URL"",OR(A22="""",B22="""",C22="""",D22="""",E22="""",F22="""",G22="""",H22="""",K22=""""),""Ошибка: обязательные поля"",NOT(REGEXMATCH(H22,""^https?://[^ /]+"")),""О"&amp;"шибка: некорректная ссылка"",COUNTIF('Справочники'!$A$4:$A$24,C22)=0,""Ошибка: территория вне справочника"",K22=""Недоступен"",""Ошибка: ссылка недоступна"",E22=""Неофициальный источник"",IF(K22=""Активен"",""Готово"",""Проверить: активность""),I22&lt;&gt;""Под"&amp;"тверждено"",""Проверить: официальность / комментарий"",K22&lt;&gt;""Активен"",""Проверить: активность"",AND(ISNUMBER(J22),J22&lt;TODAY()-30),""Проверить: публикации старше 30 дней"",TRUE,""Готово""))"),"Готово")</f>
        <v>Готово</v>
      </c>
    </row>
    <row r="23" spans="1:13" ht="25.5" customHeight="1">
      <c r="A23" s="22" t="s">
        <v>78</v>
      </c>
      <c r="B23" s="13">
        <v>46267</v>
      </c>
      <c r="C23" s="23" t="s">
        <v>84</v>
      </c>
      <c r="D23" s="24" t="s">
        <v>202</v>
      </c>
      <c r="E23" s="23" t="s">
        <v>75</v>
      </c>
      <c r="F23" s="23" t="s">
        <v>43</v>
      </c>
      <c r="G23" s="24" t="s">
        <v>204</v>
      </c>
      <c r="H23" s="26" t="s">
        <v>205</v>
      </c>
      <c r="I23" s="24" t="s">
        <v>27</v>
      </c>
      <c r="J23" s="13"/>
      <c r="K23" s="23" t="s">
        <v>18</v>
      </c>
      <c r="L23" s="24" t="s">
        <v>198</v>
      </c>
      <c r="M23" s="21" t="str">
        <f ca="1">IFERROR(__xludf.DUMMYFUNCTION("IF(COUNTA(A23:L23)=0,"""",IFS(AND(H23&lt;&gt;"""",COUNTIF($H$6:$H$504,H23)&gt;1),""Ошибка: повтор URL"",OR(A23="""",B23="""",C23="""",D23="""",E23="""",F23="""",G23="""",H23="""",K23=""""),""Ошибка: обязательные поля"",NOT(REGEXMATCH(H23,""^https?://[^ /]+"")),""О"&amp;"шибка: некорректная ссылка"",COUNTIF('Справочники'!$A$4:$A$24,C23)=0,""Ошибка: территория вне справочника"",K23=""Недоступен"",""Ошибка: ссылка недоступна"",E23=""Неофициальный источник"",IF(K23=""Активен"",""Готово"",""Проверить: активность""),I23&lt;&gt;""Под"&amp;"тверждено"",""Проверить: официальность / комментарий"",K23&lt;&gt;""Активен"",""Проверить: активность"",AND(ISNUMBER(J23),J23&lt;TODAY()-30),""Проверить: публикации старше 30 дней"",TRUE,""Готово""))"),"Готово")</f>
        <v>Готово</v>
      </c>
    </row>
    <row r="24" spans="1:13" ht="25.5" customHeight="1">
      <c r="A24" s="22" t="s">
        <v>78</v>
      </c>
      <c r="B24" s="13">
        <v>46267</v>
      </c>
      <c r="C24" s="23" t="s">
        <v>84</v>
      </c>
      <c r="D24" s="24" t="s">
        <v>207</v>
      </c>
      <c r="E24" s="23" t="s">
        <v>75</v>
      </c>
      <c r="F24" s="23" t="s">
        <v>43</v>
      </c>
      <c r="G24" s="24" t="s">
        <v>207</v>
      </c>
      <c r="H24" s="26" t="s">
        <v>209</v>
      </c>
      <c r="I24" s="24" t="s">
        <v>27</v>
      </c>
      <c r="J24" s="13"/>
      <c r="K24" s="23" t="s">
        <v>18</v>
      </c>
      <c r="L24" s="24" t="s">
        <v>198</v>
      </c>
      <c r="M24" s="21" t="str">
        <f ca="1">IFERROR(__xludf.DUMMYFUNCTION("IF(COUNTA(A24:L24)=0,"""",IFS(AND(H24&lt;&gt;"""",COUNTIF($H$6:$H$504,H24)&gt;1),""Ошибка: повтор URL"",OR(A24="""",B24="""",C24="""",D24="""",E24="""",F24="""",G24="""",H24="""",K24=""""),""Ошибка: обязательные поля"",NOT(REGEXMATCH(H24,""^https?://[^ /]+"")),""О"&amp;"шибка: некорректная ссылка"",COUNTIF('Справочники'!$A$4:$A$24,C24)=0,""Ошибка: территория вне справочника"",K24=""Недоступен"",""Ошибка: ссылка недоступна"",E24=""Неофициальный источник"",IF(K24=""Активен"",""Готово"",""Проверить: активность""),I24&lt;&gt;""Под"&amp;"тверждено"",""Проверить: официальность / комментарий"",K24&lt;&gt;""Активен"",""Проверить: активность"",AND(ISNUMBER(J24),J24&lt;TODAY()-30),""Проверить: публикации старше 30 дней"",TRUE,""Готово""))"),"Готово")</f>
        <v>Готово</v>
      </c>
    </row>
    <row r="25" spans="1:13" ht="25.5" customHeight="1">
      <c r="A25" s="22" t="s">
        <v>78</v>
      </c>
      <c r="B25" s="13">
        <v>46267</v>
      </c>
      <c r="C25" s="23" t="s">
        <v>84</v>
      </c>
      <c r="D25" s="24" t="s">
        <v>72</v>
      </c>
      <c r="E25" s="23" t="s">
        <v>60</v>
      </c>
      <c r="F25" s="23" t="s">
        <v>43</v>
      </c>
      <c r="G25" s="24" t="s">
        <v>72</v>
      </c>
      <c r="H25" s="26" t="s">
        <v>213</v>
      </c>
      <c r="I25" s="24" t="s">
        <v>17</v>
      </c>
      <c r="J25" s="13"/>
      <c r="K25" s="23" t="s">
        <v>18</v>
      </c>
      <c r="L25" s="24" t="s">
        <v>215</v>
      </c>
      <c r="M25" s="21" t="str">
        <f ca="1">IFERROR(__xludf.DUMMYFUNCTION("IF(COUNTA(A25:L25)=0,"""",IFS(AND(H25&lt;&gt;"""",COUNTIF($H$6:$H$504,H25)&gt;1),""Ошибка: повтор URL"",OR(A25="""",B25="""",C25="""",D25="""",E25="""",F25="""",G25="""",H25="""",K25=""""),""Ошибка: обязательные поля"",NOT(REGEXMATCH(H25,""^https?://[^ /]+"")),""О"&amp;"шибка: некорректная ссылка"",COUNTIF('Справочники'!$A$4:$A$24,C25)=0,""Ошибка: территория вне справочника"",K25=""Недоступен"",""Ошибка: ссылка недоступна"",E25=""Неофициальный источник"",IF(K25=""Активен"",""Готово"",""Проверить: активность""),I25&lt;&gt;""Под"&amp;"тверждено"",""Проверить: официальность / комментарий"",K25&lt;&gt;""Активен"",""Проверить: активность"",AND(ISNUMBER(J25),J25&lt;TODAY()-30),""Проверить: публикации старше 30 дней"",TRUE,""Готово""))"),"Готово")</f>
        <v>Готово</v>
      </c>
    </row>
    <row r="26" spans="1:13" ht="25.5" customHeight="1">
      <c r="A26" s="22" t="s">
        <v>78</v>
      </c>
      <c r="B26" s="13">
        <v>46267</v>
      </c>
      <c r="C26" s="23" t="s">
        <v>89</v>
      </c>
      <c r="D26" s="24" t="s">
        <v>217</v>
      </c>
      <c r="E26" s="23" t="s">
        <v>75</v>
      </c>
      <c r="F26" s="23" t="s">
        <v>43</v>
      </c>
      <c r="G26" s="24" t="s">
        <v>217</v>
      </c>
      <c r="H26" s="26" t="s">
        <v>219</v>
      </c>
      <c r="I26" s="24" t="s">
        <v>27</v>
      </c>
      <c r="J26" s="13"/>
      <c r="K26" s="23" t="s">
        <v>18</v>
      </c>
      <c r="L26" s="24" t="s">
        <v>186</v>
      </c>
      <c r="M26" s="21" t="str">
        <f ca="1">IFERROR(__xludf.DUMMYFUNCTION("IF(COUNTA(A26:L26)=0,"""",IFS(AND(H26&lt;&gt;"""",COUNTIF($H$6:$H$504,H26)&gt;1),""Ошибка: повтор URL"",OR(A26="""",B26="""",C26="""",D26="""",E26="""",F26="""",G26="""",H26="""",K26=""""),""Ошибка: обязательные поля"",NOT(REGEXMATCH(H26,""^https?://[^ /]+"")),""О"&amp;"шибка: некорректная ссылка"",COUNTIF('Справочники'!$A$4:$A$24,C26)=0,""Ошибка: территория вне справочника"",K26=""Недоступен"",""Ошибка: ссылка недоступна"",E26=""Неофициальный источник"",IF(K26=""Активен"",""Готово"",""Проверить: активность""),I26&lt;&gt;""Под"&amp;"тверждено"",""Проверить: официальность / комментарий"",K26&lt;&gt;""Активен"",""Проверить: активность"",AND(ISNUMBER(J26),J26&lt;TODAY()-30),""Проверить: публикации старше 30 дней"",TRUE,""Готово""))"),"Готово")</f>
        <v>Готово</v>
      </c>
    </row>
    <row r="27" spans="1:13" ht="25.5" customHeight="1">
      <c r="A27" s="22" t="s">
        <v>78</v>
      </c>
      <c r="B27" s="13">
        <v>46267</v>
      </c>
      <c r="C27" s="23" t="s">
        <v>84</v>
      </c>
      <c r="D27" s="24" t="s">
        <v>222</v>
      </c>
      <c r="E27" s="23" t="s">
        <v>75</v>
      </c>
      <c r="F27" s="23" t="s">
        <v>43</v>
      </c>
      <c r="G27" s="24" t="s">
        <v>223</v>
      </c>
      <c r="H27" s="26" t="s">
        <v>225</v>
      </c>
      <c r="I27" s="24" t="s">
        <v>27</v>
      </c>
      <c r="J27" s="13"/>
      <c r="K27" s="23" t="s">
        <v>18</v>
      </c>
      <c r="L27" s="24" t="s">
        <v>198</v>
      </c>
      <c r="M27" s="21" t="str">
        <f ca="1">IFERROR(__xludf.DUMMYFUNCTION("IF(COUNTA(A27:L27)=0,"""",IFS(AND(H27&lt;&gt;"""",COUNTIF($H$6:$H$504,H27)&gt;1),""Ошибка: повтор URL"",OR(A27="""",B27="""",C27="""",D27="""",E27="""",F27="""",G27="""",H27="""",K27=""""),""Ошибка: обязательные поля"",NOT(REGEXMATCH(H27,""^https?://[^ /]+"")),""О"&amp;"шибка: некорректная ссылка"",COUNTIF('Справочники'!$A$4:$A$24,C27)=0,""Ошибка: территория вне справочника"",K27=""Недоступен"",""Ошибка: ссылка недоступна"",E27=""Неофициальный источник"",IF(K27=""Активен"",""Готово"",""Проверить: активность""),I27&lt;&gt;""Под"&amp;"тверждено"",""Проверить: официальность / комментарий"",K27&lt;&gt;""Активен"",""Проверить: активность"",AND(ISNUMBER(J27),J27&lt;TODAY()-30),""Проверить: публикации старше 30 дней"",TRUE,""Готово""))"),"Готово")</f>
        <v>Готово</v>
      </c>
    </row>
    <row r="28" spans="1:13" ht="25.5" customHeight="1">
      <c r="A28" s="22" t="s">
        <v>78</v>
      </c>
      <c r="B28" s="13">
        <v>46267</v>
      </c>
      <c r="C28" s="23" t="s">
        <v>105</v>
      </c>
      <c r="D28" s="24" t="s">
        <v>226</v>
      </c>
      <c r="E28" s="23" t="s">
        <v>25</v>
      </c>
      <c r="F28" s="23" t="s">
        <v>43</v>
      </c>
      <c r="G28" s="24" t="s">
        <v>227</v>
      </c>
      <c r="H28" s="26" t="s">
        <v>228</v>
      </c>
      <c r="I28" s="24" t="s">
        <v>17</v>
      </c>
      <c r="J28" s="13"/>
      <c r="K28" s="23" t="s">
        <v>18</v>
      </c>
      <c r="L28" s="24" t="s">
        <v>230</v>
      </c>
      <c r="M28" s="21" t="str">
        <f ca="1">IFERROR(__xludf.DUMMYFUNCTION("IF(COUNTA(A28:L28)=0,"""",IFS(AND(H28&lt;&gt;"""",COUNTIF($H$6:$H$504,H28)&gt;1),""Ошибка: повтор URL"",OR(A28="""",B28="""",C28="""",D28="""",E28="""",F28="""",G28="""",H28="""",K28=""""),""Ошибка: обязательные поля"",NOT(REGEXMATCH(H28,""^https?://[^ /]+"")),""О"&amp;"шибка: некорректная ссылка"",COUNTIF('Справочники'!$A$4:$A$24,C28)=0,""Ошибка: территория вне справочника"",K28=""Недоступен"",""Ошибка: ссылка недоступна"",E28=""Неофициальный источник"",IF(K28=""Активен"",""Готово"",""Проверить: активность""),I28&lt;&gt;""Под"&amp;"тверждено"",""Проверить: официальность / комментарий"",K28&lt;&gt;""Активен"",""Проверить: активность"",AND(ISNUMBER(J28),J28&lt;TODAY()-30),""Проверить: публикации старше 30 дней"",TRUE,""Готово""))"),"Готово")</f>
        <v>Готово</v>
      </c>
    </row>
    <row r="29" spans="1:13" ht="25.5" customHeight="1">
      <c r="A29" s="23" t="s">
        <v>78</v>
      </c>
      <c r="B29" s="13">
        <v>46267</v>
      </c>
      <c r="C29" s="23" t="s">
        <v>105</v>
      </c>
      <c r="D29" s="24" t="s">
        <v>233</v>
      </c>
      <c r="E29" s="23" t="s">
        <v>36</v>
      </c>
      <c r="F29" s="23" t="s">
        <v>43</v>
      </c>
      <c r="G29" s="24" t="s">
        <v>233</v>
      </c>
      <c r="H29" s="41" t="s">
        <v>234</v>
      </c>
      <c r="I29" s="24" t="s">
        <v>17</v>
      </c>
      <c r="J29" s="13"/>
      <c r="K29" s="23" t="s">
        <v>18</v>
      </c>
      <c r="L29" s="24" t="s">
        <v>192</v>
      </c>
      <c r="M29" s="21" t="str">
        <f ca="1">IFERROR(__xludf.DUMMYFUNCTION("IF(COUNTA(A29:L29)=0,"""",IFS(AND(H29&lt;&gt;"""",COUNTIF($H$6:$H$504,H29)&gt;1),""Ошибка: повтор URL"",OR(A29="""",B29="""",C29="""",D29="""",E29="""",F29="""",G29="""",H29="""",K29=""""),""Ошибка: обязательные поля"",NOT(REGEXMATCH(H29,""^https?://[^ /]+"")),""О"&amp;"шибка: некорректная ссылка"",COUNTIF('Справочники'!$A$4:$A$24,C29)=0,""Ошибка: территория вне справочника"",K29=""Недоступен"",""Ошибка: ссылка недоступна"",E29=""Неофициальный источник"",IF(K29=""Активен"",""Готово"",""Проверить: активность""),I29&lt;&gt;""Под"&amp;"тверждено"",""Проверить: официальность / комментарий"",K29&lt;&gt;""Активен"",""Проверить: активность"",AND(ISNUMBER(J29),J29&lt;TODAY()-30),""Проверить: публикации старше 30 дней"",TRUE,""Готово""))"),"Готово")</f>
        <v>Готово</v>
      </c>
    </row>
    <row r="30" spans="1:13" ht="25.5" customHeight="1">
      <c r="A30" s="23" t="s">
        <v>78</v>
      </c>
      <c r="B30" s="13">
        <v>46267</v>
      </c>
      <c r="C30" s="23" t="s">
        <v>84</v>
      </c>
      <c r="D30" s="24" t="s">
        <v>237</v>
      </c>
      <c r="E30" s="23" t="s">
        <v>75</v>
      </c>
      <c r="F30" s="23" t="s">
        <v>43</v>
      </c>
      <c r="G30" s="24" t="s">
        <v>237</v>
      </c>
      <c r="H30" s="26" t="s">
        <v>239</v>
      </c>
      <c r="I30" s="24" t="s">
        <v>27</v>
      </c>
      <c r="J30" s="13"/>
      <c r="K30" s="23" t="s">
        <v>18</v>
      </c>
      <c r="L30" s="24" t="s">
        <v>198</v>
      </c>
      <c r="M30" s="21" t="str">
        <f ca="1">IFERROR(__xludf.DUMMYFUNCTION("IF(COUNTA(A30:L30)=0,"""",IFS(AND(H30&lt;&gt;"""",COUNTIF($H$6:$H$504,H30)&gt;1),""Ошибка: повтор URL"",OR(A30="""",B30="""",C30="""",D30="""",E30="""",F30="""",G30="""",H30="""",K30=""""),""Ошибка: обязательные поля"",NOT(REGEXMATCH(H30,""^https?://[^ /]+"")),""О"&amp;"шибка: некорректная ссылка"",COUNTIF('Справочники'!$A$4:$A$24,C30)=0,""Ошибка: территория вне справочника"",K30=""Недоступен"",""Ошибка: ссылка недоступна"",E30=""Неофициальный источник"",IF(K30=""Активен"",""Готово"",""Проверить: активность""),I30&lt;&gt;""Под"&amp;"тверждено"",""Проверить: официальность / комментарий"",K30&lt;&gt;""Активен"",""Проверить: активность"",AND(ISNUMBER(J30),J30&lt;TODAY()-30),""Проверить: публикации старше 30 дней"",TRUE,""Готово""))"),"Готово")</f>
        <v>Готово</v>
      </c>
    </row>
    <row r="31" spans="1:13" ht="25.5" customHeight="1">
      <c r="A31" s="23" t="s">
        <v>78</v>
      </c>
      <c r="B31" s="13">
        <v>46267</v>
      </c>
      <c r="C31" s="23" t="s">
        <v>89</v>
      </c>
      <c r="D31" s="24" t="s">
        <v>240</v>
      </c>
      <c r="E31" s="23" t="s">
        <v>75</v>
      </c>
      <c r="F31" s="23" t="s">
        <v>43</v>
      </c>
      <c r="G31" s="24" t="s">
        <v>240</v>
      </c>
      <c r="H31" s="26" t="s">
        <v>241</v>
      </c>
      <c r="I31" s="24" t="s">
        <v>27</v>
      </c>
      <c r="J31" s="13"/>
      <c r="K31" s="23" t="s">
        <v>18</v>
      </c>
      <c r="L31" s="24" t="s">
        <v>186</v>
      </c>
      <c r="M31" s="21" t="str">
        <f ca="1">IFERROR(__xludf.DUMMYFUNCTION("IF(COUNTA(A31:L31)=0,"""",IFS(AND(H31&lt;&gt;"""",COUNTIF($H$6:$H$504,H31)&gt;1),""Ошибка: повтор URL"",OR(A31="""",B31="""",C31="""",D31="""",E31="""",F31="""",G31="""",H31="""",K31=""""),""Ошибка: обязательные поля"",NOT(REGEXMATCH(H31,""^https?://[^ /]+"")),""О"&amp;"шибка: некорректная ссылка"",COUNTIF('Справочники'!$A$4:$A$24,C31)=0,""Ошибка: территория вне справочника"",K31=""Недоступен"",""Ошибка: ссылка недоступна"",E31=""Неофициальный источник"",IF(K31=""Активен"",""Готово"",""Проверить: активность""),I31&lt;&gt;""Под"&amp;"тверждено"",""Проверить: официальность / комментарий"",K31&lt;&gt;""Активен"",""Проверить: активность"",AND(ISNUMBER(J31),J31&lt;TODAY()-30),""Проверить: публикации старше 30 дней"",TRUE,""Готово""))"),"Готово")</f>
        <v>Готово</v>
      </c>
    </row>
    <row r="32" spans="1:13" ht="25.5" customHeight="1">
      <c r="A32" s="23" t="s">
        <v>78</v>
      </c>
      <c r="B32" s="13">
        <v>46267</v>
      </c>
      <c r="C32" s="23" t="s">
        <v>84</v>
      </c>
      <c r="D32" s="24" t="s">
        <v>242</v>
      </c>
      <c r="E32" s="23" t="s">
        <v>75</v>
      </c>
      <c r="F32" s="23" t="s">
        <v>43</v>
      </c>
      <c r="G32" s="24" t="s">
        <v>242</v>
      </c>
      <c r="H32" s="26" t="s">
        <v>243</v>
      </c>
      <c r="I32" s="24" t="s">
        <v>27</v>
      </c>
      <c r="J32" s="13"/>
      <c r="K32" s="23" t="s">
        <v>18</v>
      </c>
      <c r="L32" s="24" t="s">
        <v>198</v>
      </c>
      <c r="M32" s="21" t="str">
        <f ca="1">IFERROR(__xludf.DUMMYFUNCTION("IF(COUNTA(A32:L32)=0,"""",IFS(AND(H32&lt;&gt;"""",COUNTIF($H$6:$H$504,H32)&gt;1),""Ошибка: повтор URL"",OR(A32="""",B32="""",C32="""",D32="""",E32="""",F32="""",G32="""",H32="""",K32=""""),""Ошибка: обязательные поля"",NOT(REGEXMATCH(H32,""^https?://[^ /]+"")),""О"&amp;"шибка: некорректная ссылка"",COUNTIF('Справочники'!$A$4:$A$24,C32)=0,""Ошибка: территория вне справочника"",K32=""Недоступен"",""Ошибка: ссылка недоступна"",E32=""Неофициальный источник"",IF(K32=""Активен"",""Готово"",""Проверить: активность""),I32&lt;&gt;""Под"&amp;"тверждено"",""Проверить: официальность / комментарий"",K32&lt;&gt;""Активен"",""Проверить: активность"",AND(ISNUMBER(J32),J32&lt;TODAY()-30),""Проверить: публикации старше 30 дней"",TRUE,""Готово""))"),"Готово")</f>
        <v>Готово</v>
      </c>
    </row>
    <row r="33" spans="1:13" ht="25.5" customHeight="1">
      <c r="A33" s="23" t="s">
        <v>78</v>
      </c>
      <c r="B33" s="13">
        <v>46267</v>
      </c>
      <c r="C33" s="23" t="s">
        <v>84</v>
      </c>
      <c r="D33" s="24" t="s">
        <v>244</v>
      </c>
      <c r="E33" s="23" t="s">
        <v>75</v>
      </c>
      <c r="F33" s="23" t="s">
        <v>43</v>
      </c>
      <c r="G33" s="24" t="s">
        <v>244</v>
      </c>
      <c r="H33" s="26" t="s">
        <v>245</v>
      </c>
      <c r="I33" s="24" t="s">
        <v>27</v>
      </c>
      <c r="J33" s="13"/>
      <c r="K33" s="23" t="s">
        <v>18</v>
      </c>
      <c r="L33" s="24" t="s">
        <v>198</v>
      </c>
      <c r="M33" s="21" t="str">
        <f ca="1">IFERROR(__xludf.DUMMYFUNCTION("IF(COUNTA(A33:L33)=0,"""",IFS(AND(H33&lt;&gt;"""",COUNTIF($H$6:$H$504,H33)&gt;1),""Ошибка: повтор URL"",OR(A33="""",B33="""",C33="""",D33="""",E33="""",F33="""",G33="""",H33="""",K33=""""),""Ошибка: обязательные поля"",NOT(REGEXMATCH(H33,""^https?://[^ /]+"")),""О"&amp;"шибка: некорректная ссылка"",COUNTIF('Справочники'!$A$4:$A$24,C33)=0,""Ошибка: территория вне справочника"",K33=""Недоступен"",""Ошибка: ссылка недоступна"",E33=""Неофициальный источник"",IF(K33=""Активен"",""Готово"",""Проверить: активность""),I33&lt;&gt;""Под"&amp;"тверждено"",""Проверить: официальность / комментарий"",K33&lt;&gt;""Активен"",""Проверить: активность"",AND(ISNUMBER(J33),J33&lt;TODAY()-30),""Проверить: публикации старше 30 дней"",TRUE,""Готово""))"),"Готово")</f>
        <v>Готово</v>
      </c>
    </row>
    <row r="34" spans="1:13" ht="25.5" customHeight="1">
      <c r="A34" s="23" t="s">
        <v>78</v>
      </c>
      <c r="B34" s="13">
        <v>46267</v>
      </c>
      <c r="C34" s="23" t="s">
        <v>89</v>
      </c>
      <c r="D34" s="24" t="s">
        <v>232</v>
      </c>
      <c r="E34" s="23" t="s">
        <v>75</v>
      </c>
      <c r="F34" s="23" t="s">
        <v>43</v>
      </c>
      <c r="G34" s="24" t="s">
        <v>246</v>
      </c>
      <c r="H34" s="26" t="s">
        <v>247</v>
      </c>
      <c r="I34" s="24" t="s">
        <v>27</v>
      </c>
      <c r="J34" s="13"/>
      <c r="K34" s="23" t="s">
        <v>18</v>
      </c>
      <c r="L34" s="24" t="s">
        <v>248</v>
      </c>
      <c r="M34" s="21" t="str">
        <f ca="1">IFERROR(__xludf.DUMMYFUNCTION("IF(COUNTA(A34:L34)=0,"""",IFS(AND(H34&lt;&gt;"""",COUNTIF($H$6:$H$504,H34)&gt;1),""Ошибка: повтор URL"",OR(A34="""",B34="""",C34="""",D34="""",E34="""",F34="""",G34="""",H34="""",K34=""""),""Ошибка: обязательные поля"",NOT(REGEXMATCH(H34,""^https?://[^ /]+"")),""О"&amp;"шибка: некорректная ссылка"",COUNTIF('Справочники'!$A$4:$A$24,C34)=0,""Ошибка: территория вне справочника"",K34=""Недоступен"",""Ошибка: ссылка недоступна"",E34=""Неофициальный источник"",IF(K34=""Активен"",""Готово"",""Проверить: активность""),I34&lt;&gt;""Под"&amp;"тверждено"",""Проверить: официальность / комментарий"",K34&lt;&gt;""Активен"",""Проверить: активность"",AND(ISNUMBER(J34),J34&lt;TODAY()-30),""Проверить: публикации старше 30 дней"",TRUE,""Готово""))"),"Готово")</f>
        <v>Готово</v>
      </c>
    </row>
    <row r="35" spans="1:13" ht="25.5" customHeight="1">
      <c r="A35" s="23" t="s">
        <v>78</v>
      </c>
      <c r="B35" s="13">
        <v>46267</v>
      </c>
      <c r="C35" s="23" t="s">
        <v>105</v>
      </c>
      <c r="D35" s="24" t="s">
        <v>249</v>
      </c>
      <c r="E35" s="23" t="s">
        <v>75</v>
      </c>
      <c r="F35" s="23" t="s">
        <v>43</v>
      </c>
      <c r="G35" s="24" t="s">
        <v>249</v>
      </c>
      <c r="H35" s="26" t="s">
        <v>250</v>
      </c>
      <c r="I35" s="24" t="s">
        <v>27</v>
      </c>
      <c r="J35" s="13"/>
      <c r="K35" s="23" t="s">
        <v>18</v>
      </c>
      <c r="L35" s="24" t="s">
        <v>186</v>
      </c>
      <c r="M35" s="21" t="str">
        <f ca="1">IFERROR(__xludf.DUMMYFUNCTION("IF(COUNTA(A35:L35)=0,"""",IFS(AND(H35&lt;&gt;"""",COUNTIF($H$6:$H$504,H35)&gt;1),""Ошибка: повтор URL"",OR(A35="""",B35="""",C35="""",D35="""",E35="""",F35="""",G35="""",H35="""",K35=""""),""Ошибка: обязательные поля"",NOT(REGEXMATCH(H35,""^https?://[^ /]+"")),""О"&amp;"шибка: некорректная ссылка"",COUNTIF('Справочники'!$A$4:$A$24,C35)=0,""Ошибка: территория вне справочника"",K35=""Недоступен"",""Ошибка: ссылка недоступна"",E35=""Неофициальный источник"",IF(K35=""Активен"",""Готово"",""Проверить: активность""),I35&lt;&gt;""Под"&amp;"тверждено"",""Проверить: официальность / комментарий"",K35&lt;&gt;""Активен"",""Проверить: активность"",AND(ISNUMBER(J35),J35&lt;TODAY()-30),""Проверить: публикации старше 30 дней"",TRUE,""Готово""))"),"Готово")</f>
        <v>Готово</v>
      </c>
    </row>
    <row r="36" spans="1:13" ht="25.5" customHeight="1">
      <c r="A36" s="23" t="s">
        <v>78</v>
      </c>
      <c r="B36" s="13">
        <v>46267</v>
      </c>
      <c r="C36" s="23" t="s">
        <v>84</v>
      </c>
      <c r="D36" s="24" t="s">
        <v>251</v>
      </c>
      <c r="E36" s="23" t="s">
        <v>75</v>
      </c>
      <c r="F36" s="23" t="s">
        <v>43</v>
      </c>
      <c r="G36" s="24" t="s">
        <v>252</v>
      </c>
      <c r="H36" s="26" t="s">
        <v>253</v>
      </c>
      <c r="I36" s="24" t="s">
        <v>27</v>
      </c>
      <c r="J36" s="13"/>
      <c r="K36" s="23" t="s">
        <v>18</v>
      </c>
      <c r="L36" s="24" t="s">
        <v>254</v>
      </c>
      <c r="M36" s="21" t="str">
        <f ca="1">IFERROR(__xludf.DUMMYFUNCTION("IF(COUNTA(A36:L36)=0,"""",IFS(AND(H36&lt;&gt;"""",COUNTIF($H$6:$H$504,H36)&gt;1),""Ошибка: повтор URL"",OR(A36="""",B36="""",C36="""",D36="""",E36="""",F36="""",G36="""",H36="""",K36=""""),""Ошибка: обязательные поля"",NOT(REGEXMATCH(H36,""^https?://[^ /]+"")),""О"&amp;"шибка: некорректная ссылка"",COUNTIF('Справочники'!$A$4:$A$24,C36)=0,""Ошибка: территория вне справочника"",K36=""Недоступен"",""Ошибка: ссылка недоступна"",E36=""Неофициальный источник"",IF(K36=""Активен"",""Готово"",""Проверить: активность""),I36&lt;&gt;""Под"&amp;"тверждено"",""Проверить: официальность / комментарий"",K36&lt;&gt;""Активен"",""Проверить: активность"",AND(ISNUMBER(J36),J36&lt;TODAY()-30),""Проверить: публикации старше 30 дней"",TRUE,""Готово""))"),"Готово")</f>
        <v>Готово</v>
      </c>
    </row>
    <row r="37" spans="1:13" ht="25.5" customHeight="1">
      <c r="A37" s="23" t="s">
        <v>78</v>
      </c>
      <c r="B37" s="13">
        <v>46267</v>
      </c>
      <c r="C37" s="23" t="s">
        <v>84</v>
      </c>
      <c r="D37" s="24" t="s">
        <v>84</v>
      </c>
      <c r="E37" s="23" t="s">
        <v>60</v>
      </c>
      <c r="F37" s="23" t="s">
        <v>43</v>
      </c>
      <c r="G37" s="24" t="s">
        <v>235</v>
      </c>
      <c r="H37" s="26" t="s">
        <v>255</v>
      </c>
      <c r="I37" s="24" t="s">
        <v>17</v>
      </c>
      <c r="J37" s="13"/>
      <c r="K37" s="23" t="s">
        <v>18</v>
      </c>
      <c r="L37" s="24" t="s">
        <v>256</v>
      </c>
      <c r="M37" s="21" t="str">
        <f ca="1">IFERROR(__xludf.DUMMYFUNCTION("IF(COUNTA(A37:L37)=0,"""",IFS(AND(H37&lt;&gt;"""",COUNTIF($H$6:$H$504,H37)&gt;1),""Ошибка: повтор URL"",OR(A37="""",B37="""",C37="""",D37="""",E37="""",F37="""",G37="""",H37="""",K37=""""),""Ошибка: обязательные поля"",NOT(REGEXMATCH(H37,""^https?://[^ /]+"")),""О"&amp;"шибка: некорректная ссылка"",COUNTIF('Справочники'!$A$4:$A$24,C37)=0,""Ошибка: территория вне справочника"",K37=""Недоступен"",""Ошибка: ссылка недоступна"",E37=""Неофициальный источник"",IF(K37=""Активен"",""Готово"",""Проверить: активность""),I37&lt;&gt;""Под"&amp;"тверждено"",""Проверить: официальность / комментарий"",K37&lt;&gt;""Активен"",""Проверить: активность"",AND(ISNUMBER(J37),J37&lt;TODAY()-30),""Проверить: публикации старше 30 дней"",TRUE,""Готово""))"),"Готово")</f>
        <v>Готово</v>
      </c>
    </row>
    <row r="38" spans="1:13" ht="25.5" customHeight="1">
      <c r="A38" s="23" t="s">
        <v>78</v>
      </c>
      <c r="B38" s="13">
        <v>46267</v>
      </c>
      <c r="C38" s="23" t="s">
        <v>89</v>
      </c>
      <c r="D38" s="24" t="s">
        <v>257</v>
      </c>
      <c r="E38" s="23" t="s">
        <v>36</v>
      </c>
      <c r="F38" s="23" t="s">
        <v>43</v>
      </c>
      <c r="G38" s="24" t="s">
        <v>257</v>
      </c>
      <c r="H38" s="26" t="s">
        <v>258</v>
      </c>
      <c r="I38" s="24" t="s">
        <v>17</v>
      </c>
      <c r="J38" s="13"/>
      <c r="K38" s="23" t="s">
        <v>18</v>
      </c>
      <c r="L38" s="24" t="s">
        <v>192</v>
      </c>
      <c r="M38" s="21" t="str">
        <f ca="1">IFERROR(__xludf.DUMMYFUNCTION("IF(COUNTA(A38:L38)=0,"""",IFS(AND(H38&lt;&gt;"""",COUNTIF($H$6:$H$504,H38)&gt;1),""Ошибка: повтор URL"",OR(A38="""",B38="""",C38="""",D38="""",E38="""",F38="""",G38="""",H38="""",K38=""""),""Ошибка: обязательные поля"",NOT(REGEXMATCH(H38,""^https?://[^ /]+"")),""О"&amp;"шибка: некорректная ссылка"",COUNTIF('Справочники'!$A$4:$A$24,C38)=0,""Ошибка: территория вне справочника"",K38=""Недоступен"",""Ошибка: ссылка недоступна"",E38=""Неофициальный источник"",IF(K38=""Активен"",""Готово"",""Проверить: активность""),I38&lt;&gt;""Под"&amp;"тверждено"",""Проверить: официальность / комментарий"",K38&lt;&gt;""Активен"",""Проверить: активность"",AND(ISNUMBER(J38),J38&lt;TODAY()-30),""Проверить: публикации старше 30 дней"",TRUE,""Готово""))"),"Готово")</f>
        <v>Готово</v>
      </c>
    </row>
    <row r="39" spans="1:13" ht="25.5" customHeight="1">
      <c r="A39" s="23" t="s">
        <v>78</v>
      </c>
      <c r="B39" s="13">
        <v>46267</v>
      </c>
      <c r="C39" s="23" t="s">
        <v>89</v>
      </c>
      <c r="D39" s="24" t="s">
        <v>259</v>
      </c>
      <c r="E39" s="23" t="s">
        <v>75</v>
      </c>
      <c r="F39" s="23" t="s">
        <v>43</v>
      </c>
      <c r="G39" s="24" t="s">
        <v>259</v>
      </c>
      <c r="H39" s="26" t="s">
        <v>260</v>
      </c>
      <c r="I39" s="24" t="s">
        <v>27</v>
      </c>
      <c r="J39" s="13"/>
      <c r="K39" s="23" t="s">
        <v>18</v>
      </c>
      <c r="L39" s="24" t="s">
        <v>186</v>
      </c>
      <c r="M39" s="21" t="str">
        <f ca="1">IFERROR(__xludf.DUMMYFUNCTION("IF(COUNTA(A39:L39)=0,"""",IFS(AND(H39&lt;&gt;"""",COUNTIF($H$6:$H$504,H39)&gt;1),""Ошибка: повтор URL"",OR(A39="""",B39="""",C39="""",D39="""",E39="""",F39="""",G39="""",H39="""",K39=""""),""Ошибка: обязательные поля"",NOT(REGEXMATCH(H39,""^https?://[^ /]+"")),""О"&amp;"шибка: некорректная ссылка"",COUNTIF('Справочники'!$A$4:$A$24,C39)=0,""Ошибка: территория вне справочника"",K39=""Недоступен"",""Ошибка: ссылка недоступна"",E39=""Неофициальный источник"",IF(K39=""Активен"",""Готово"",""Проверить: активность""),I39&lt;&gt;""Под"&amp;"тверждено"",""Проверить: официальность / комментарий"",K39&lt;&gt;""Активен"",""Проверить: активность"",AND(ISNUMBER(J39),J39&lt;TODAY()-30),""Проверить: публикации старше 30 дней"",TRUE,""Готово""))"),"Готово")</f>
        <v>Готово</v>
      </c>
    </row>
    <row r="40" spans="1:13" ht="25.5" customHeight="1">
      <c r="A40" s="23" t="s">
        <v>78</v>
      </c>
      <c r="B40" s="13">
        <v>46267</v>
      </c>
      <c r="C40" s="23" t="s">
        <v>12</v>
      </c>
      <c r="D40" s="24" t="s">
        <v>261</v>
      </c>
      <c r="E40" s="23" t="s">
        <v>75</v>
      </c>
      <c r="F40" s="23" t="s">
        <v>43</v>
      </c>
      <c r="G40" s="24" t="s">
        <v>261</v>
      </c>
      <c r="H40" s="26" t="s">
        <v>262</v>
      </c>
      <c r="I40" s="24" t="s">
        <v>27</v>
      </c>
      <c r="J40" s="13"/>
      <c r="K40" s="23" t="s">
        <v>18</v>
      </c>
      <c r="L40" s="24" t="s">
        <v>186</v>
      </c>
      <c r="M40" s="21" t="str">
        <f ca="1">IFERROR(__xludf.DUMMYFUNCTION("IF(COUNTA(A40:L40)=0,"""",IFS(AND(H40&lt;&gt;"""",COUNTIF($H$6:$H$504,H40)&gt;1),""Ошибка: повтор URL"",OR(A40="""",B40="""",C40="""",D40="""",E40="""",F40="""",G40="""",H40="""",K40=""""),""Ошибка: обязательные поля"",NOT(REGEXMATCH(H40,""^https?://[^ /]+"")),""О"&amp;"шибка: некорректная ссылка"",COUNTIF('Справочники'!$A$4:$A$24,C40)=0,""Ошибка: территория вне справочника"",K40=""Недоступен"",""Ошибка: ссылка недоступна"",E40=""Неофициальный источник"",IF(K40=""Активен"",""Готово"",""Проверить: активность""),I40&lt;&gt;""Под"&amp;"тверждено"",""Проверить: официальность / комментарий"",K40&lt;&gt;""Активен"",""Проверить: активность"",AND(ISNUMBER(J40),J40&lt;TODAY()-30),""Проверить: публикации старше 30 дней"",TRUE,""Готово""))"),"Готово")</f>
        <v>Готово</v>
      </c>
    </row>
    <row r="41" spans="1:13" ht="25.5" customHeight="1">
      <c r="A41" s="23" t="s">
        <v>78</v>
      </c>
      <c r="B41" s="13">
        <v>46267</v>
      </c>
      <c r="C41" s="23" t="s">
        <v>105</v>
      </c>
      <c r="D41" s="24" t="s">
        <v>263</v>
      </c>
      <c r="E41" s="23" t="s">
        <v>75</v>
      </c>
      <c r="F41" s="23" t="s">
        <v>43</v>
      </c>
      <c r="G41" s="24" t="s">
        <v>263</v>
      </c>
      <c r="H41" s="26" t="s">
        <v>264</v>
      </c>
      <c r="I41" s="24" t="s">
        <v>27</v>
      </c>
      <c r="J41" s="13"/>
      <c r="K41" s="23" t="s">
        <v>18</v>
      </c>
      <c r="L41" s="24" t="s">
        <v>186</v>
      </c>
      <c r="M41" s="21" t="str">
        <f ca="1">IFERROR(__xludf.DUMMYFUNCTION("IF(COUNTA(A41:L41)=0,"""",IFS(AND(H41&lt;&gt;"""",COUNTIF($H$6:$H$504,H41)&gt;1),""Ошибка: повтор URL"",OR(A41="""",B41="""",C41="""",D41="""",E41="""",F41="""",G41="""",H41="""",K41=""""),""Ошибка: обязательные поля"",NOT(REGEXMATCH(H41,""^https?://[^ /]+"")),""О"&amp;"шибка: некорректная ссылка"",COUNTIF('Справочники'!$A$4:$A$24,C41)=0,""Ошибка: территория вне справочника"",K41=""Недоступен"",""Ошибка: ссылка недоступна"",E41=""Неофициальный источник"",IF(K41=""Активен"",""Готово"",""Проверить: активность""),I41&lt;&gt;""Под"&amp;"тверждено"",""Проверить: официальность / комментарий"",K41&lt;&gt;""Активен"",""Проверить: активность"",AND(ISNUMBER(J41),J41&lt;TODAY()-30),""Проверить: публикации старше 30 дней"",TRUE,""Готово""))"),"Готово")</f>
        <v>Готово</v>
      </c>
    </row>
    <row r="42" spans="1:13" ht="25.5" customHeight="1">
      <c r="A42" s="23" t="s">
        <v>78</v>
      </c>
      <c r="B42" s="13">
        <v>46267</v>
      </c>
      <c r="C42" s="23" t="s">
        <v>84</v>
      </c>
      <c r="D42" s="24" t="s">
        <v>265</v>
      </c>
      <c r="E42" s="23" t="s">
        <v>75</v>
      </c>
      <c r="F42" s="23" t="s">
        <v>43</v>
      </c>
      <c r="G42" s="24" t="s">
        <v>265</v>
      </c>
      <c r="H42" s="26" t="s">
        <v>266</v>
      </c>
      <c r="I42" s="24" t="s">
        <v>27</v>
      </c>
      <c r="J42" s="13"/>
      <c r="K42" s="23" t="s">
        <v>18</v>
      </c>
      <c r="L42" s="24" t="s">
        <v>198</v>
      </c>
      <c r="M42" s="21" t="str">
        <f ca="1">IFERROR(__xludf.DUMMYFUNCTION("IF(COUNTA(A42:L42)=0,"""",IFS(AND(H42&lt;&gt;"""",COUNTIF($H$6:$H$504,H42)&gt;1),""Ошибка: повтор URL"",OR(A42="""",B42="""",C42="""",D42="""",E42="""",F42="""",G42="""",H42="""",K42=""""),""Ошибка: обязательные поля"",NOT(REGEXMATCH(H42,""^https?://[^ /]+"")),""О"&amp;"шибка: некорректная ссылка"",COUNTIF('Справочники'!$A$4:$A$24,C42)=0,""Ошибка: территория вне справочника"",K42=""Недоступен"",""Ошибка: ссылка недоступна"",E42=""Неофициальный источник"",IF(K42=""Активен"",""Готово"",""Проверить: активность""),I42&lt;&gt;""Под"&amp;"тверждено"",""Проверить: официальность / комментарий"",K42&lt;&gt;""Активен"",""Проверить: активность"",AND(ISNUMBER(J42),J42&lt;TODAY()-30),""Проверить: публикации старше 30 дней"",TRUE,""Готово""))"),"Готово")</f>
        <v>Готово</v>
      </c>
    </row>
    <row r="43" spans="1:13" ht="25.5" customHeight="1">
      <c r="A43" s="23" t="s">
        <v>78</v>
      </c>
      <c r="B43" s="13">
        <v>46267</v>
      </c>
      <c r="C43" s="23" t="s">
        <v>84</v>
      </c>
      <c r="D43" s="24" t="s">
        <v>267</v>
      </c>
      <c r="E43" s="23" t="s">
        <v>75</v>
      </c>
      <c r="F43" s="23" t="s">
        <v>43</v>
      </c>
      <c r="G43" s="24" t="s">
        <v>267</v>
      </c>
      <c r="H43" s="26" t="s">
        <v>268</v>
      </c>
      <c r="I43" s="24" t="s">
        <v>27</v>
      </c>
      <c r="J43" s="13"/>
      <c r="K43" s="23" t="s">
        <v>18</v>
      </c>
      <c r="L43" s="24" t="s">
        <v>198</v>
      </c>
      <c r="M43" s="21" t="str">
        <f ca="1">IFERROR(__xludf.DUMMYFUNCTION("IF(COUNTA(A43:L43)=0,"""",IFS(AND(H43&lt;&gt;"""",COUNTIF($H$6:$H$504,H43)&gt;1),""Ошибка: повтор URL"",OR(A43="""",B43="""",C43="""",D43="""",E43="""",F43="""",G43="""",H43="""",K43=""""),""Ошибка: обязательные поля"",NOT(REGEXMATCH(H43,""^https?://[^ /]+"")),""О"&amp;"шибка: некорректная ссылка"",COUNTIF('Справочники'!$A$4:$A$24,C43)=0,""Ошибка: территория вне справочника"",K43=""Недоступен"",""Ошибка: ссылка недоступна"",E43=""Неофициальный источник"",IF(K43=""Активен"",""Готово"",""Проверить: активность""),I43&lt;&gt;""Под"&amp;"тверждено"",""Проверить: официальность / комментарий"",K43&lt;&gt;""Активен"",""Проверить: активность"",AND(ISNUMBER(J43),J43&lt;TODAY()-30),""Проверить: публикации старше 30 дней"",TRUE,""Готово""))"),"Готово")</f>
        <v>Готово</v>
      </c>
    </row>
    <row r="44" spans="1:13" ht="25.5" customHeight="1">
      <c r="A44" s="23" t="s">
        <v>78</v>
      </c>
      <c r="B44" s="13">
        <v>46267</v>
      </c>
      <c r="C44" s="23" t="s">
        <v>84</v>
      </c>
      <c r="D44" s="24" t="s">
        <v>236</v>
      </c>
      <c r="E44" s="23" t="s">
        <v>75</v>
      </c>
      <c r="F44" s="23" t="s">
        <v>43</v>
      </c>
      <c r="G44" s="24" t="s">
        <v>236</v>
      </c>
      <c r="H44" s="26" t="s">
        <v>269</v>
      </c>
      <c r="I44" s="24" t="s">
        <v>37</v>
      </c>
      <c r="J44" s="13"/>
      <c r="K44" s="23" t="s">
        <v>18</v>
      </c>
      <c r="L44" s="24" t="s">
        <v>270</v>
      </c>
      <c r="M44" s="21" t="str">
        <f ca="1">IFERROR(__xludf.DUMMYFUNCTION("IF(COUNTA(A44:L44)=0,"""",IFS(AND(H44&lt;&gt;"""",COUNTIF($H$6:$H$504,H44)&gt;1),""Ошибка: повтор URL"",OR(A44="""",B44="""",C44="""",D44="""",E44="""",F44="""",G44="""",H44="""",K44=""""),""Ошибка: обязательные поля"",NOT(REGEXMATCH(H44,""^https?://[^ /]+"")),""О"&amp;"шибка: некорректная ссылка"",COUNTIF('Справочники'!$A$4:$A$24,C44)=0,""Ошибка: территория вне справочника"",K44=""Недоступен"",""Ошибка: ссылка недоступна"",E44=""Неофициальный источник"",IF(K44=""Активен"",""Готово"",""Проверить: активность""),I44&lt;&gt;""Под"&amp;"тверждено"",""Проверить: официальность / комментарий"",K44&lt;&gt;""Активен"",""Проверить: активность"",AND(ISNUMBER(J44),J44&lt;TODAY()-30),""Проверить: публикации старше 30 дней"",TRUE,""Готово""))"),"Готово")</f>
        <v>Готово</v>
      </c>
    </row>
    <row r="45" spans="1:13" ht="25.5" customHeight="1">
      <c r="A45" s="23" t="s">
        <v>78</v>
      </c>
      <c r="B45" s="13">
        <v>46267</v>
      </c>
      <c r="C45" s="23" t="s">
        <v>84</v>
      </c>
      <c r="D45" s="24" t="s">
        <v>271</v>
      </c>
      <c r="E45" s="23" t="s">
        <v>51</v>
      </c>
      <c r="F45" s="23" t="s">
        <v>43</v>
      </c>
      <c r="G45" s="24" t="s">
        <v>272</v>
      </c>
      <c r="H45" s="26" t="s">
        <v>273</v>
      </c>
      <c r="I45" s="24" t="s">
        <v>17</v>
      </c>
      <c r="J45" s="13"/>
      <c r="K45" s="23" t="s">
        <v>18</v>
      </c>
      <c r="L45" s="24" t="s">
        <v>230</v>
      </c>
      <c r="M45" s="21" t="str">
        <f ca="1">IFERROR(__xludf.DUMMYFUNCTION("IF(COUNTA(A45:L45)=0,"""",IFS(AND(H45&lt;&gt;"""",COUNTIF($H$6:$H$504,H45)&gt;1),""Ошибка: повтор URL"",OR(A45="""",B45="""",C45="""",D45="""",E45="""",F45="""",G45="""",H45="""",K45=""""),""Ошибка: обязательные поля"",NOT(REGEXMATCH(H45,""^https?://[^ /]+"")),""О"&amp;"шибка: некорректная ссылка"",COUNTIF('Справочники'!$A$4:$A$24,C45)=0,""Ошибка: территория вне справочника"",K45=""Недоступен"",""Ошибка: ссылка недоступна"",E45=""Неофициальный источник"",IF(K45=""Активен"",""Готово"",""Проверить: активность""),I45&lt;&gt;""Под"&amp;"тверждено"",""Проверить: официальность / комментарий"",K45&lt;&gt;""Активен"",""Проверить: активность"",AND(ISNUMBER(J45),J45&lt;TODAY()-30),""Проверить: публикации старше 30 дней"",TRUE,""Готово""))"),"Готово")</f>
        <v>Готово</v>
      </c>
    </row>
    <row r="46" spans="1:13" ht="25.5" customHeight="1">
      <c r="A46" s="23" t="s">
        <v>78</v>
      </c>
      <c r="B46" s="13">
        <v>46267</v>
      </c>
      <c r="C46" s="23" t="s">
        <v>84</v>
      </c>
      <c r="D46" s="24" t="s">
        <v>274</v>
      </c>
      <c r="E46" s="23" t="s">
        <v>51</v>
      </c>
      <c r="F46" s="23" t="s">
        <v>43</v>
      </c>
      <c r="G46" s="24" t="s">
        <v>275</v>
      </c>
      <c r="H46" s="26" t="s">
        <v>276</v>
      </c>
      <c r="I46" s="24" t="s">
        <v>17</v>
      </c>
      <c r="J46" s="13"/>
      <c r="K46" s="23" t="s">
        <v>18</v>
      </c>
      <c r="L46" s="24" t="s">
        <v>230</v>
      </c>
      <c r="M46" s="21" t="str">
        <f ca="1">IFERROR(__xludf.DUMMYFUNCTION("IF(COUNTA(A46:L46)=0,"""",IFS(AND(H46&lt;&gt;"""",COUNTIF($H$6:$H$504,H46)&gt;1),""Ошибка: повтор URL"",OR(A46="""",B46="""",C46="""",D46="""",E46="""",F46="""",G46="""",H46="""",K46=""""),""Ошибка: обязательные поля"",NOT(REGEXMATCH(H46,""^https?://[^ /]+"")),""О"&amp;"шибка: некорректная ссылка"",COUNTIF('Справочники'!$A$4:$A$24,C46)=0,""Ошибка: территория вне справочника"",K46=""Недоступен"",""Ошибка: ссылка недоступна"",E46=""Неофициальный источник"",IF(K46=""Активен"",""Готово"",""Проверить: активность""),I46&lt;&gt;""Под"&amp;"тверждено"",""Проверить: официальность / комментарий"",K46&lt;&gt;""Активен"",""Проверить: активность"",AND(ISNUMBER(J46),J46&lt;TODAY()-30),""Проверить: публикации старше 30 дней"",TRUE,""Готово""))"),"Готово")</f>
        <v>Готово</v>
      </c>
    </row>
    <row r="47" spans="1:13" ht="25.5" customHeight="1">
      <c r="A47" s="23" t="s">
        <v>78</v>
      </c>
      <c r="B47" s="13">
        <v>46267</v>
      </c>
      <c r="C47" s="23" t="s">
        <v>84</v>
      </c>
      <c r="D47" s="24" t="s">
        <v>277</v>
      </c>
      <c r="E47" s="23" t="s">
        <v>51</v>
      </c>
      <c r="F47" s="23" t="s">
        <v>43</v>
      </c>
      <c r="G47" s="24" t="s">
        <v>278</v>
      </c>
      <c r="H47" s="26" t="s">
        <v>279</v>
      </c>
      <c r="I47" s="24" t="s">
        <v>17</v>
      </c>
      <c r="J47" s="13"/>
      <c r="K47" s="23" t="s">
        <v>18</v>
      </c>
      <c r="L47" s="24" t="s">
        <v>230</v>
      </c>
      <c r="M47" s="21" t="str">
        <f ca="1">IFERROR(__xludf.DUMMYFUNCTION("IF(COUNTA(A47:L47)=0,"""",IFS(AND(H47&lt;&gt;"""",COUNTIF($H$6:$H$504,H47)&gt;1),""Ошибка: повтор URL"",OR(A47="""",B47="""",C47="""",D47="""",E47="""",F47="""",G47="""",H47="""",K47=""""),""Ошибка: обязательные поля"",NOT(REGEXMATCH(H47,""^https?://[^ /]+"")),""О"&amp;"шибка: некорректная ссылка"",COUNTIF('Справочники'!$A$4:$A$24,C47)=0,""Ошибка: территория вне справочника"",K47=""Недоступен"",""Ошибка: ссылка недоступна"",E47=""Неофициальный источник"",IF(K47=""Активен"",""Готово"",""Проверить: активность""),I47&lt;&gt;""Под"&amp;"тверждено"",""Проверить: официальность / комментарий"",K47&lt;&gt;""Активен"",""Проверить: активность"",AND(ISNUMBER(J47),J47&lt;TODAY()-30),""Проверить: публикации старше 30 дней"",TRUE,""Готово""))"),"Готово")</f>
        <v>Готово</v>
      </c>
    </row>
    <row r="48" spans="1:13" ht="25.5" customHeight="1">
      <c r="A48" s="23" t="s">
        <v>78</v>
      </c>
      <c r="B48" s="13">
        <v>46267</v>
      </c>
      <c r="C48" s="23" t="s">
        <v>89</v>
      </c>
      <c r="D48" s="24" t="s">
        <v>280</v>
      </c>
      <c r="E48" s="23" t="s">
        <v>16</v>
      </c>
      <c r="F48" s="23" t="s">
        <v>43</v>
      </c>
      <c r="G48" s="24" t="s">
        <v>281</v>
      </c>
      <c r="H48" s="26" t="s">
        <v>282</v>
      </c>
      <c r="I48" s="24" t="s">
        <v>17</v>
      </c>
      <c r="J48" s="13"/>
      <c r="K48" s="23" t="s">
        <v>18</v>
      </c>
      <c r="L48" s="24" t="s">
        <v>230</v>
      </c>
      <c r="M48" s="21" t="str">
        <f ca="1">IFERROR(__xludf.DUMMYFUNCTION("IF(COUNTA(A48:L48)=0,"""",IFS(AND(H48&lt;&gt;"""",COUNTIF($H$6:$H$504,H48)&gt;1),""Ошибка: повтор URL"",OR(A48="""",B48="""",C48="""",D48="""",E48="""",F48="""",G48="""",H48="""",K48=""""),""Ошибка: обязательные поля"",NOT(REGEXMATCH(H48,""^https?://[^ /]+"")),""О"&amp;"шибка: некорректная ссылка"",COUNTIF('Справочники'!$A$4:$A$24,C48)=0,""Ошибка: территория вне справочника"",K48=""Недоступен"",""Ошибка: ссылка недоступна"",E48=""Неофициальный источник"",IF(K48=""Активен"",""Готово"",""Проверить: активность""),I48&lt;&gt;""Под"&amp;"тверждено"",""Проверить: официальность / комментарий"",K48&lt;&gt;""Активен"",""Проверить: активность"",AND(ISNUMBER(J48),J48&lt;TODAY()-30),""Проверить: публикации старше 30 дней"",TRUE,""Готово""))"),"Готово")</f>
        <v>Готово</v>
      </c>
    </row>
    <row r="49" spans="1:13" ht="25.5" customHeight="1">
      <c r="A49" s="23" t="s">
        <v>78</v>
      </c>
      <c r="B49" s="13">
        <v>46267</v>
      </c>
      <c r="C49" s="23" t="s">
        <v>12</v>
      </c>
      <c r="D49" s="24" t="s">
        <v>113</v>
      </c>
      <c r="E49" s="23" t="s">
        <v>16</v>
      </c>
      <c r="F49" s="23" t="s">
        <v>23</v>
      </c>
      <c r="G49" s="24" t="s">
        <v>283</v>
      </c>
      <c r="H49" s="26" t="s">
        <v>284</v>
      </c>
      <c r="I49" s="24" t="s">
        <v>17</v>
      </c>
      <c r="J49" s="13"/>
      <c r="K49" s="23" t="s">
        <v>18</v>
      </c>
      <c r="L49" s="24" t="s">
        <v>103</v>
      </c>
      <c r="M49" s="21" t="str">
        <f ca="1">IFERROR(__xludf.DUMMYFUNCTION("IF(COUNTA(A49:L49)=0,"""",IFS(AND(H49&lt;&gt;"""",COUNTIF($H$6:$H$504,H49)&gt;1),""Ошибка: повтор URL"",OR(A49="""",B49="""",C49="""",D49="""",E49="""",F49="""",G49="""",H49="""",K49=""""),""Ошибка: обязательные поля"",NOT(REGEXMATCH(H49,""^https?://[^ /]+"")),""О"&amp;"шибка: некорректная ссылка"",COUNTIF('Справочники'!$A$4:$A$24,C49)=0,""Ошибка: территория вне справочника"",K49=""Недоступен"",""Ошибка: ссылка недоступна"",E49=""Неофициальный источник"",IF(K49=""Активен"",""Готово"",""Проверить: активность""),I49&lt;&gt;""Под"&amp;"тверждено"",""Проверить: официальность / комментарий"",K49&lt;&gt;""Активен"",""Проверить: активность"",AND(ISNUMBER(J49),J49&lt;TODAY()-30),""Проверить: публикации старше 30 дней"",TRUE,""Готово""))"),"Готово")</f>
        <v>Готово</v>
      </c>
    </row>
    <row r="50" spans="1:13" ht="25.5" customHeight="1">
      <c r="A50" s="23" t="s">
        <v>78</v>
      </c>
      <c r="B50" s="13">
        <v>46267</v>
      </c>
      <c r="C50" s="23" t="s">
        <v>12</v>
      </c>
      <c r="D50" s="24" t="s">
        <v>285</v>
      </c>
      <c r="E50" s="23" t="s">
        <v>45</v>
      </c>
      <c r="F50" s="23" t="s">
        <v>23</v>
      </c>
      <c r="G50" s="24" t="s">
        <v>285</v>
      </c>
      <c r="H50" s="26" t="s">
        <v>287</v>
      </c>
      <c r="I50" s="24" t="s">
        <v>17</v>
      </c>
      <c r="J50" s="13"/>
      <c r="K50" s="23" t="s">
        <v>18</v>
      </c>
      <c r="L50" s="24" t="s">
        <v>103</v>
      </c>
      <c r="M50" s="21" t="str">
        <f ca="1">IFERROR(__xludf.DUMMYFUNCTION("IF(COUNTA(A50:L50)=0,"""",IFS(AND(H50&lt;&gt;"""",COUNTIF($H$6:$H$504,H50)&gt;1),""Ошибка: повтор URL"",OR(A50="""",B50="""",C50="""",D50="""",E50="""",F50="""",G50="""",H50="""",K50=""""),""Ошибка: обязательные поля"",NOT(REGEXMATCH(H50,""^https?://[^ /]+"")),""О"&amp;"шибка: некорректная ссылка"",COUNTIF('Справочники'!$A$4:$A$24,C50)=0,""Ошибка: территория вне справочника"",K50=""Недоступен"",""Ошибка: ссылка недоступна"",E50=""Неофициальный источник"",IF(K50=""Активен"",""Готово"",""Проверить: активность""),I50&lt;&gt;""Под"&amp;"тверждено"",""Проверить: официальность / комментарий"",K50&lt;&gt;""Активен"",""Проверить: активность"",AND(ISNUMBER(J50),J50&lt;TODAY()-30),""Проверить: публикации старше 30 дней"",TRUE,""Готово""))"),"Готово")</f>
        <v>Готово</v>
      </c>
    </row>
    <row r="51" spans="1:13" ht="25.5" customHeight="1">
      <c r="A51" s="23" t="s">
        <v>78</v>
      </c>
      <c r="B51" s="13">
        <v>46267</v>
      </c>
      <c r="C51" s="23" t="s">
        <v>84</v>
      </c>
      <c r="D51" s="24" t="s">
        <v>288</v>
      </c>
      <c r="E51" s="23" t="s">
        <v>51</v>
      </c>
      <c r="F51" s="23" t="s">
        <v>23</v>
      </c>
      <c r="G51" s="24" t="s">
        <v>288</v>
      </c>
      <c r="H51" s="26" t="s">
        <v>289</v>
      </c>
      <c r="I51" s="24" t="s">
        <v>17</v>
      </c>
      <c r="J51" s="13"/>
      <c r="K51" s="23" t="s">
        <v>18</v>
      </c>
      <c r="L51" s="24" t="s">
        <v>103</v>
      </c>
      <c r="M51" s="21" t="str">
        <f ca="1">IFERROR(__xludf.DUMMYFUNCTION("IF(COUNTA(A51:L51)=0,"""",IFS(AND(H51&lt;&gt;"""",COUNTIF($H$6:$H$504,H51)&gt;1),""Ошибка: повтор URL"",OR(A51="""",B51="""",C51="""",D51="""",E51="""",F51="""",G51="""",H51="""",K51=""""),""Ошибка: обязательные поля"",NOT(REGEXMATCH(H51,""^https?://[^ /]+"")),""О"&amp;"шибка: некорректная ссылка"",COUNTIF('Справочники'!$A$4:$A$24,C51)=0,""Ошибка: территория вне справочника"",K51=""Недоступен"",""Ошибка: ссылка недоступна"",E51=""Неофициальный источник"",IF(K51=""Активен"",""Готово"",""Проверить: активность""),I51&lt;&gt;""Под"&amp;"тверждено"",""Проверить: официальность / комментарий"",K51&lt;&gt;""Активен"",""Проверить: активность"",AND(ISNUMBER(J51),J51&lt;TODAY()-30),""Проверить: публикации старше 30 дней"",TRUE,""Готово""))"),"Готово")</f>
        <v>Готово</v>
      </c>
    </row>
    <row r="52" spans="1:13" ht="25.5" customHeight="1">
      <c r="A52" s="23" t="s">
        <v>78</v>
      </c>
      <c r="B52" s="13">
        <v>46267</v>
      </c>
      <c r="C52" s="23" t="s">
        <v>84</v>
      </c>
      <c r="D52" s="24" t="s">
        <v>290</v>
      </c>
      <c r="E52" s="23" t="s">
        <v>51</v>
      </c>
      <c r="F52" s="23" t="s">
        <v>23</v>
      </c>
      <c r="G52" s="24" t="s">
        <v>290</v>
      </c>
      <c r="H52" s="26" t="s">
        <v>291</v>
      </c>
      <c r="I52" s="24" t="s">
        <v>17</v>
      </c>
      <c r="J52" s="13"/>
      <c r="K52" s="23" t="s">
        <v>18</v>
      </c>
      <c r="L52" s="24" t="s">
        <v>103</v>
      </c>
      <c r="M52" s="21" t="str">
        <f ca="1">IFERROR(__xludf.DUMMYFUNCTION("IF(COUNTA(A52:L52)=0,"""",IFS(AND(H52&lt;&gt;"""",COUNTIF($H$6:$H$504,H52)&gt;1),""Ошибка: повтор URL"",OR(A52="""",B52="""",C52="""",D52="""",E52="""",F52="""",G52="""",H52="""",K52=""""),""Ошибка: обязательные поля"",NOT(REGEXMATCH(H52,""^https?://[^ /]+"")),""О"&amp;"шибка: некорректная ссылка"",COUNTIF('Справочники'!$A$4:$A$24,C52)=0,""Ошибка: территория вне справочника"",K52=""Недоступен"",""Ошибка: ссылка недоступна"",E52=""Неофициальный источник"",IF(K52=""Активен"",""Готово"",""Проверить: активность""),I52&lt;&gt;""Под"&amp;"тверждено"",""Проверить: официальность / комментарий"",K52&lt;&gt;""Активен"",""Проверить: активность"",AND(ISNUMBER(J52),J52&lt;TODAY()-30),""Проверить: публикации старше 30 дней"",TRUE,""Готово""))"),"Готово")</f>
        <v>Готово</v>
      </c>
    </row>
    <row r="53" spans="1:13" ht="25.5" customHeight="1">
      <c r="A53" s="23" t="s">
        <v>78</v>
      </c>
      <c r="B53" s="13">
        <v>46267</v>
      </c>
      <c r="C53" s="23" t="s">
        <v>84</v>
      </c>
      <c r="D53" s="24" t="s">
        <v>164</v>
      </c>
      <c r="E53" s="23" t="s">
        <v>51</v>
      </c>
      <c r="F53" s="23" t="s">
        <v>23</v>
      </c>
      <c r="G53" s="24" t="s">
        <v>165</v>
      </c>
      <c r="H53" s="26" t="s">
        <v>292</v>
      </c>
      <c r="I53" s="24" t="s">
        <v>17</v>
      </c>
      <c r="J53" s="13"/>
      <c r="K53" s="23" t="s">
        <v>18</v>
      </c>
      <c r="L53" s="24" t="s">
        <v>103</v>
      </c>
      <c r="M53" s="21" t="str">
        <f ca="1">IFERROR(__xludf.DUMMYFUNCTION("IF(COUNTA(A53:L53)=0,"""",IFS(AND(H53&lt;&gt;"""",COUNTIF($H$6:$H$504,H53)&gt;1),""Ошибка: повтор URL"",OR(A53="""",B53="""",C53="""",D53="""",E53="""",F53="""",G53="""",H53="""",K53=""""),""Ошибка: обязательные поля"",NOT(REGEXMATCH(H53,""^https?://[^ /]+"")),""О"&amp;"шибка: некорректная ссылка"",COUNTIF('Справочники'!$A$4:$A$24,C53)=0,""Ошибка: территория вне справочника"",K53=""Недоступен"",""Ошибка: ссылка недоступна"",E53=""Неофициальный источник"",IF(K53=""Активен"",""Готово"",""Проверить: активность""),I53&lt;&gt;""Под"&amp;"тверждено"",""Проверить: официальность / комментарий"",K53&lt;&gt;""Активен"",""Проверить: активность"",AND(ISNUMBER(J53),J53&lt;TODAY()-30),""Проверить: публикации старше 30 дней"",TRUE,""Готово""))"),"Готово")</f>
        <v>Готово</v>
      </c>
    </row>
    <row r="54" spans="1:13" ht="25.5" customHeight="1">
      <c r="A54" s="23" t="s">
        <v>78</v>
      </c>
      <c r="B54" s="13">
        <v>46267</v>
      </c>
      <c r="C54" s="23" t="s">
        <v>105</v>
      </c>
      <c r="D54" s="24" t="s">
        <v>226</v>
      </c>
      <c r="E54" s="23" t="s">
        <v>25</v>
      </c>
      <c r="F54" s="23" t="s">
        <v>23</v>
      </c>
      <c r="G54" s="24" t="s">
        <v>227</v>
      </c>
      <c r="H54" s="26" t="s">
        <v>293</v>
      </c>
      <c r="I54" s="24" t="s">
        <v>17</v>
      </c>
      <c r="J54" s="13"/>
      <c r="K54" s="23" t="s">
        <v>18</v>
      </c>
      <c r="L54" s="24" t="s">
        <v>230</v>
      </c>
      <c r="M54" s="21" t="str">
        <f ca="1">IFERROR(__xludf.DUMMYFUNCTION("IF(COUNTA(A54:L54)=0,"""",IFS(AND(H54&lt;&gt;"""",COUNTIF($H$6:$H$504,H54)&gt;1),""Ошибка: повтор URL"",OR(A54="""",B54="""",C54="""",D54="""",E54="""",F54="""",G54="""",H54="""",K54=""""),""Ошибка: обязательные поля"",NOT(REGEXMATCH(H54,""^https?://[^ /]+"")),""О"&amp;"шибка: некорректная ссылка"",COUNTIF('Справочники'!$A$4:$A$24,C54)=0,""Ошибка: территория вне справочника"",K54=""Недоступен"",""Ошибка: ссылка недоступна"",E54=""Неофициальный источник"",IF(K54=""Активен"",""Готово"",""Проверить: активность""),I54&lt;&gt;""Под"&amp;"тверждено"",""Проверить: официальность / комментарий"",K54&lt;&gt;""Активен"",""Проверить: активность"",AND(ISNUMBER(J54),J54&lt;TODAY()-30),""Проверить: публикации старше 30 дней"",TRUE,""Готово""))"),"Готово")</f>
        <v>Готово</v>
      </c>
    </row>
    <row r="55" spans="1:13" ht="25.5" customHeight="1">
      <c r="A55" s="23" t="s">
        <v>78</v>
      </c>
      <c r="B55" s="13">
        <v>46267</v>
      </c>
      <c r="C55" s="23" t="s">
        <v>84</v>
      </c>
      <c r="D55" s="24" t="s">
        <v>294</v>
      </c>
      <c r="E55" s="23" t="s">
        <v>69</v>
      </c>
      <c r="F55" s="23" t="s">
        <v>23</v>
      </c>
      <c r="G55" s="24" t="s">
        <v>295</v>
      </c>
      <c r="H55" s="26" t="s">
        <v>296</v>
      </c>
      <c r="I55" s="24" t="s">
        <v>17</v>
      </c>
      <c r="J55" s="13"/>
      <c r="K55" s="23" t="s">
        <v>18</v>
      </c>
      <c r="L55" s="24" t="s">
        <v>192</v>
      </c>
      <c r="M55" s="21" t="str">
        <f ca="1">IFERROR(__xludf.DUMMYFUNCTION("IF(COUNTA(A55:L55)=0,"""",IFS(AND(H55&lt;&gt;"""",COUNTIF($H$6:$H$504,H55)&gt;1),""Ошибка: повтор URL"",OR(A55="""",B55="""",C55="""",D55="""",E55="""",F55="""",G55="""",H55="""",K55=""""),""Ошибка: обязательные поля"",NOT(REGEXMATCH(H55,""^https?://[^ /]+"")),""О"&amp;"шибка: некорректная ссылка"",COUNTIF('Справочники'!$A$4:$A$24,C55)=0,""Ошибка: территория вне справочника"",K55=""Недоступен"",""Ошибка: ссылка недоступна"",E55=""Неофициальный источник"",IF(K55=""Активен"",""Готово"",""Проверить: активность""),I55&lt;&gt;""Под"&amp;"тверждено"",""Проверить: официальность / комментарий"",K55&lt;&gt;""Активен"",""Проверить: активность"",AND(ISNUMBER(J55),J55&lt;TODAY()-30),""Проверить: публикации старше 30 дней"",TRUE,""Готово""))"),"Готово")</f>
        <v>Готово</v>
      </c>
    </row>
    <row r="56" spans="1:13" ht="25.5" customHeight="1">
      <c r="A56" s="23" t="s">
        <v>78</v>
      </c>
      <c r="B56" s="13">
        <v>46267</v>
      </c>
      <c r="C56" s="23" t="s">
        <v>105</v>
      </c>
      <c r="D56" s="24" t="s">
        <v>249</v>
      </c>
      <c r="E56" s="23" t="s">
        <v>75</v>
      </c>
      <c r="F56" s="23" t="s">
        <v>23</v>
      </c>
      <c r="G56" s="24" t="s">
        <v>297</v>
      </c>
      <c r="H56" s="26" t="s">
        <v>298</v>
      </c>
      <c r="I56" s="24" t="s">
        <v>27</v>
      </c>
      <c r="J56" s="13"/>
      <c r="K56" s="23" t="s">
        <v>18</v>
      </c>
      <c r="L56" s="24" t="s">
        <v>186</v>
      </c>
      <c r="M56" s="21" t="str">
        <f ca="1">IFERROR(__xludf.DUMMYFUNCTION("IF(COUNTA(A56:L56)=0,"""",IFS(AND(H56&lt;&gt;"""",COUNTIF($H$6:$H$504,H56)&gt;1),""Ошибка: повтор URL"",OR(A56="""",B56="""",C56="""",D56="""",E56="""",F56="""",G56="""",H56="""",K56=""""),""Ошибка: обязательные поля"",NOT(REGEXMATCH(H56,""^https?://[^ /]+"")),""О"&amp;"шибка: некорректная ссылка"",COUNTIF('Справочники'!$A$4:$A$24,C56)=0,""Ошибка: территория вне справочника"",K56=""Недоступен"",""Ошибка: ссылка недоступна"",E56=""Неофициальный источник"",IF(K56=""Активен"",""Готово"",""Проверить: активность""),I56&lt;&gt;""Под"&amp;"тверждено"",""Проверить: официальность / комментарий"",K56&lt;&gt;""Активен"",""Проверить: активность"",AND(ISNUMBER(J56),J56&lt;TODAY()-30),""Проверить: публикации старше 30 дней"",TRUE,""Готово""))"),"Готово")</f>
        <v>Готово</v>
      </c>
    </row>
    <row r="57" spans="1:13" ht="25.5" customHeight="1">
      <c r="A57" s="23" t="s">
        <v>78</v>
      </c>
      <c r="B57" s="13">
        <v>46267</v>
      </c>
      <c r="C57" s="23" t="s">
        <v>12</v>
      </c>
      <c r="D57" s="24" t="s">
        <v>299</v>
      </c>
      <c r="E57" s="23" t="s">
        <v>45</v>
      </c>
      <c r="F57" s="23" t="s">
        <v>23</v>
      </c>
      <c r="G57" s="24" t="s">
        <v>300</v>
      </c>
      <c r="H57" s="26" t="s">
        <v>301</v>
      </c>
      <c r="I57" s="24" t="s">
        <v>17</v>
      </c>
      <c r="J57" s="13"/>
      <c r="K57" s="23" t="s">
        <v>18</v>
      </c>
      <c r="L57" s="24" t="s">
        <v>230</v>
      </c>
      <c r="M57" s="21" t="str">
        <f ca="1">IFERROR(__xludf.DUMMYFUNCTION("IF(COUNTA(A57:L57)=0,"""",IFS(AND(H57&lt;&gt;"""",COUNTIF($H$6:$H$504,H57)&gt;1),""Ошибка: повтор URL"",OR(A57="""",B57="""",C57="""",D57="""",E57="""",F57="""",G57="""",H57="""",K57=""""),""Ошибка: обязательные поля"",NOT(REGEXMATCH(H57,""^https?://[^ /]+"")),""О"&amp;"шибка: некорректная ссылка"",COUNTIF('Справочники'!$A$4:$A$24,C57)=0,""Ошибка: территория вне справочника"",K57=""Недоступен"",""Ошибка: ссылка недоступна"",E57=""Неофициальный источник"",IF(K57=""Активен"",""Готово"",""Проверить: активность""),I57&lt;&gt;""Под"&amp;"тверждено"",""Проверить: официальность / комментарий"",K57&lt;&gt;""Активен"",""Проверить: активность"",AND(ISNUMBER(J57),J57&lt;TODAY()-30),""Проверить: публикации старше 30 дней"",TRUE,""Готово""))"),"Готово")</f>
        <v>Готово</v>
      </c>
    </row>
    <row r="58" spans="1:13" ht="25.5" customHeight="1">
      <c r="A58" s="23" t="s">
        <v>78</v>
      </c>
      <c r="B58" s="13">
        <v>46267</v>
      </c>
      <c r="C58" s="23" t="s">
        <v>84</v>
      </c>
      <c r="D58" s="24" t="s">
        <v>302</v>
      </c>
      <c r="E58" s="23" t="s">
        <v>51</v>
      </c>
      <c r="F58" s="23" t="s">
        <v>23</v>
      </c>
      <c r="G58" s="24" t="s">
        <v>303</v>
      </c>
      <c r="H58" s="26" t="s">
        <v>304</v>
      </c>
      <c r="I58" s="24" t="s">
        <v>17</v>
      </c>
      <c r="J58" s="13"/>
      <c r="K58" s="23" t="s">
        <v>18</v>
      </c>
      <c r="L58" s="24" t="s">
        <v>230</v>
      </c>
      <c r="M58" s="21" t="str">
        <f ca="1">IFERROR(__xludf.DUMMYFUNCTION("IF(COUNTA(A58:L58)=0,"""",IFS(AND(H58&lt;&gt;"""",COUNTIF($H$6:$H$504,H58)&gt;1),""Ошибка: повтор URL"",OR(A58="""",B58="""",C58="""",D58="""",E58="""",F58="""",G58="""",H58="""",K58=""""),""Ошибка: обязательные поля"",NOT(REGEXMATCH(H58,""^https?://[^ /]+"")),""О"&amp;"шибка: некорректная ссылка"",COUNTIF('Справочники'!$A$4:$A$24,C58)=0,""Ошибка: территория вне справочника"",K58=""Недоступен"",""Ошибка: ссылка недоступна"",E58=""Неофициальный источник"",IF(K58=""Активен"",""Готово"",""Проверить: активность""),I58&lt;&gt;""Под"&amp;"тверждено"",""Проверить: официальность / комментарий"",K58&lt;&gt;""Активен"",""Проверить: активность"",AND(ISNUMBER(J58),J58&lt;TODAY()-30),""Проверить: публикации старше 30 дней"",TRUE,""Готово""))"),"Готово")</f>
        <v>Готово</v>
      </c>
    </row>
    <row r="59" spans="1:13" ht="25.5" customHeight="1">
      <c r="A59" s="23" t="s">
        <v>78</v>
      </c>
      <c r="B59" s="13">
        <v>46267</v>
      </c>
      <c r="C59" s="23" t="s">
        <v>84</v>
      </c>
      <c r="D59" s="24" t="s">
        <v>305</v>
      </c>
      <c r="E59" s="23" t="s">
        <v>51</v>
      </c>
      <c r="F59" s="23" t="s">
        <v>23</v>
      </c>
      <c r="G59" s="24" t="s">
        <v>306</v>
      </c>
      <c r="H59" s="26" t="s">
        <v>307</v>
      </c>
      <c r="I59" s="24" t="s">
        <v>17</v>
      </c>
      <c r="J59" s="13"/>
      <c r="K59" s="23" t="s">
        <v>18</v>
      </c>
      <c r="L59" s="24" t="s">
        <v>230</v>
      </c>
      <c r="M59" s="21" t="str">
        <f ca="1">IFERROR(__xludf.DUMMYFUNCTION("IF(COUNTA(A59:L59)=0,"""",IFS(AND(H59&lt;&gt;"""",COUNTIF($H$6:$H$504,H59)&gt;1),""Ошибка: повтор URL"",OR(A59="""",B59="""",C59="""",D59="""",E59="""",F59="""",G59="""",H59="""",K59=""""),""Ошибка: обязательные поля"",NOT(REGEXMATCH(H59,""^https?://[^ /]+"")),""О"&amp;"шибка: некорректная ссылка"",COUNTIF('Справочники'!$A$4:$A$24,C59)=0,""Ошибка: территория вне справочника"",K59=""Недоступен"",""Ошибка: ссылка недоступна"",E59=""Неофициальный источник"",IF(K59=""Активен"",""Готово"",""Проверить: активность""),I59&lt;&gt;""Под"&amp;"тверждено"",""Проверить: официальность / комментарий"",K59&lt;&gt;""Активен"",""Проверить: активность"",AND(ISNUMBER(J59),J59&lt;TODAY()-30),""Проверить: публикации старше 30 дней"",TRUE,""Готово""))"),"Готово")</f>
        <v>Готово</v>
      </c>
    </row>
    <row r="60" spans="1:13" ht="25.5" customHeight="1">
      <c r="A60" s="23" t="s">
        <v>78</v>
      </c>
      <c r="B60" s="13">
        <v>46267</v>
      </c>
      <c r="C60" s="23" t="s">
        <v>84</v>
      </c>
      <c r="D60" s="24" t="s">
        <v>136</v>
      </c>
      <c r="E60" s="23" t="s">
        <v>51</v>
      </c>
      <c r="F60" s="23" t="s">
        <v>23</v>
      </c>
      <c r="G60" s="24" t="s">
        <v>308</v>
      </c>
      <c r="H60" s="26" t="s">
        <v>309</v>
      </c>
      <c r="I60" s="24" t="s">
        <v>17</v>
      </c>
      <c r="J60" s="13"/>
      <c r="K60" s="23" t="s">
        <v>18</v>
      </c>
      <c r="L60" s="24" t="s">
        <v>230</v>
      </c>
      <c r="M60" s="21" t="str">
        <f ca="1">IFERROR(__xludf.DUMMYFUNCTION("IF(COUNTA(A60:L60)=0,"""",IFS(AND(H60&lt;&gt;"""",COUNTIF($H$6:$H$504,H60)&gt;1),""Ошибка: повтор URL"",OR(A60="""",B60="""",C60="""",D60="""",E60="""",F60="""",G60="""",H60="""",K60=""""),""Ошибка: обязательные поля"",NOT(REGEXMATCH(H60,""^https?://[^ /]+"")),""О"&amp;"шибка: некорректная ссылка"",COUNTIF('Справочники'!$A$4:$A$24,C60)=0,""Ошибка: территория вне справочника"",K60=""Недоступен"",""Ошибка: ссылка недоступна"",E60=""Неофициальный источник"",IF(K60=""Активен"",""Готово"",""Проверить: активность""),I60&lt;&gt;""Под"&amp;"тверждено"",""Проверить: официальность / комментарий"",K60&lt;&gt;""Активен"",""Проверить: активность"",AND(ISNUMBER(J60),J60&lt;TODAY()-30),""Проверить: публикации старше 30 дней"",TRUE,""Готово""))"),"Готово")</f>
        <v>Готово</v>
      </c>
    </row>
    <row r="61" spans="1:13" ht="25.5" customHeight="1">
      <c r="A61" s="23" t="s">
        <v>78</v>
      </c>
      <c r="B61" s="13">
        <v>46267</v>
      </c>
      <c r="C61" s="23" t="s">
        <v>84</v>
      </c>
      <c r="D61" s="24" t="s">
        <v>310</v>
      </c>
      <c r="E61" s="23" t="s">
        <v>51</v>
      </c>
      <c r="F61" s="23" t="s">
        <v>23</v>
      </c>
      <c r="G61" s="24" t="s">
        <v>311</v>
      </c>
      <c r="H61" s="26" t="s">
        <v>312</v>
      </c>
      <c r="I61" s="24" t="s">
        <v>17</v>
      </c>
      <c r="J61" s="13"/>
      <c r="K61" s="23" t="s">
        <v>18</v>
      </c>
      <c r="L61" s="24" t="s">
        <v>230</v>
      </c>
      <c r="M61" s="21" t="str">
        <f ca="1">IFERROR(__xludf.DUMMYFUNCTION("IF(COUNTA(A61:L61)=0,"""",IFS(AND(H61&lt;&gt;"""",COUNTIF($H$6:$H$504,H61)&gt;1),""Ошибка: повтор URL"",OR(A61="""",B61="""",C61="""",D61="""",E61="""",F61="""",G61="""",H61="""",K61=""""),""Ошибка: обязательные поля"",NOT(REGEXMATCH(H61,""^https?://[^ /]+"")),""О"&amp;"шибка: некорректная ссылка"",COUNTIF('Справочники'!$A$4:$A$24,C61)=0,""Ошибка: территория вне справочника"",K61=""Недоступен"",""Ошибка: ссылка недоступна"",E61=""Неофициальный источник"",IF(K61=""Активен"",""Готово"",""Проверить: активность""),I61&lt;&gt;""Под"&amp;"тверждено"",""Проверить: официальность / комментарий"",K61&lt;&gt;""Активен"",""Проверить: активность"",AND(ISNUMBER(J61),J61&lt;TODAY()-30),""Проверить: публикации старше 30 дней"",TRUE,""Готово""))"),"Готово")</f>
        <v>Готово</v>
      </c>
    </row>
    <row r="62" spans="1:13" ht="25.5" customHeight="1">
      <c r="A62" s="23" t="s">
        <v>78</v>
      </c>
      <c r="B62" s="13">
        <v>46267</v>
      </c>
      <c r="C62" s="23" t="s">
        <v>84</v>
      </c>
      <c r="D62" s="24" t="s">
        <v>271</v>
      </c>
      <c r="E62" s="23" t="s">
        <v>51</v>
      </c>
      <c r="F62" s="23" t="s">
        <v>23</v>
      </c>
      <c r="G62" s="24" t="s">
        <v>313</v>
      </c>
      <c r="H62" s="26" t="s">
        <v>314</v>
      </c>
      <c r="I62" s="24" t="s">
        <v>17</v>
      </c>
      <c r="J62" s="13"/>
      <c r="K62" s="23" t="s">
        <v>18</v>
      </c>
      <c r="L62" s="24" t="s">
        <v>230</v>
      </c>
      <c r="M62" s="21" t="str">
        <f ca="1">IFERROR(__xludf.DUMMYFUNCTION("IF(COUNTA(A62:L62)=0,"""",IFS(AND(H62&lt;&gt;"""",COUNTIF($H$6:$H$504,H62)&gt;1),""Ошибка: повтор URL"",OR(A62="""",B62="""",C62="""",D62="""",E62="""",F62="""",G62="""",H62="""",K62=""""),""Ошибка: обязательные поля"",NOT(REGEXMATCH(H62,""^https?://[^ /]+"")),""О"&amp;"шибка: некорректная ссылка"",COUNTIF('Справочники'!$A$4:$A$24,C62)=0,""Ошибка: территория вне справочника"",K62=""Недоступен"",""Ошибка: ссылка недоступна"",E62=""Неофициальный источник"",IF(K62=""Активен"",""Готово"",""Проверить: активность""),I62&lt;&gt;""Под"&amp;"тверждено"",""Проверить: официальность / комментарий"",K62&lt;&gt;""Активен"",""Проверить: активность"",AND(ISNUMBER(J62),J62&lt;TODAY()-30),""Проверить: публикации старше 30 дней"",TRUE,""Готово""))"),"Готово")</f>
        <v>Готово</v>
      </c>
    </row>
    <row r="63" spans="1:13" ht="25.5" customHeight="1">
      <c r="A63" s="23" t="s">
        <v>78</v>
      </c>
      <c r="B63" s="13">
        <v>46267</v>
      </c>
      <c r="C63" s="23" t="s">
        <v>84</v>
      </c>
      <c r="D63" s="24" t="s">
        <v>194</v>
      </c>
      <c r="E63" s="23" t="s">
        <v>51</v>
      </c>
      <c r="F63" s="23" t="s">
        <v>23</v>
      </c>
      <c r="G63" s="24" t="s">
        <v>195</v>
      </c>
      <c r="H63" s="26" t="s">
        <v>315</v>
      </c>
      <c r="I63" s="24" t="s">
        <v>17</v>
      </c>
      <c r="J63" s="13"/>
      <c r="K63" s="23" t="s">
        <v>18</v>
      </c>
      <c r="L63" s="24" t="s">
        <v>230</v>
      </c>
      <c r="M63" s="21" t="str">
        <f ca="1">IFERROR(__xludf.DUMMYFUNCTION("IF(COUNTA(A63:L63)=0,"""",IFS(AND(H63&lt;&gt;"""",COUNTIF($H$6:$H$504,H63)&gt;1),""Ошибка: повтор URL"",OR(A63="""",B63="""",C63="""",D63="""",E63="""",F63="""",G63="""",H63="""",K63=""""),""Ошибка: обязательные поля"",NOT(REGEXMATCH(H63,""^https?://[^ /]+"")),""О"&amp;"шибка: некорректная ссылка"",COUNTIF('Справочники'!$A$4:$A$24,C63)=0,""Ошибка: территория вне справочника"",K63=""Недоступен"",""Ошибка: ссылка недоступна"",E63=""Неофициальный источник"",IF(K63=""Активен"",""Готово"",""Проверить: активность""),I63&lt;&gt;""Под"&amp;"тверждено"",""Проверить: официальность / комментарий"",K63&lt;&gt;""Активен"",""Проверить: активность"",AND(ISNUMBER(J63),J63&lt;TODAY()-30),""Проверить: публикации старше 30 дней"",TRUE,""Готово""))"),"Готово")</f>
        <v>Готово</v>
      </c>
    </row>
    <row r="64" spans="1:13" ht="25.5" customHeight="1">
      <c r="A64" s="23" t="s">
        <v>78</v>
      </c>
      <c r="B64" s="13">
        <v>46267</v>
      </c>
      <c r="C64" s="23" t="s">
        <v>89</v>
      </c>
      <c r="D64" s="24" t="s">
        <v>280</v>
      </c>
      <c r="E64" s="23" t="s">
        <v>16</v>
      </c>
      <c r="F64" s="23" t="s">
        <v>23</v>
      </c>
      <c r="G64" s="24" t="s">
        <v>280</v>
      </c>
      <c r="H64" s="26" t="s">
        <v>316</v>
      </c>
      <c r="I64" s="24" t="s">
        <v>17</v>
      </c>
      <c r="J64" s="13"/>
      <c r="K64" s="23" t="s">
        <v>18</v>
      </c>
      <c r="L64" s="24" t="s">
        <v>230</v>
      </c>
      <c r="M64" s="21" t="str">
        <f ca="1">IFERROR(__xludf.DUMMYFUNCTION("IF(COUNTA(A64:L64)=0,"""",IFS(AND(H64&lt;&gt;"""",COUNTIF($H$6:$H$504,H64)&gt;1),""Ошибка: повтор URL"",OR(A64="""",B64="""",C64="""",D64="""",E64="""",F64="""",G64="""",H64="""",K64=""""),""Ошибка: обязательные поля"",NOT(REGEXMATCH(H64,""^https?://[^ /]+"")),""О"&amp;"шибка: некорректная ссылка"",COUNTIF('Справочники'!$A$4:$A$24,C64)=0,""Ошибка: территория вне справочника"",K64=""Недоступен"",""Ошибка: ссылка недоступна"",E64=""Неофициальный источник"",IF(K64=""Активен"",""Готово"",""Проверить: активность""),I64&lt;&gt;""Под"&amp;"тверждено"",""Проверить: официальность / комментарий"",K64&lt;&gt;""Активен"",""Проверить: активность"",AND(ISNUMBER(J64),J64&lt;TODAY()-30),""Проверить: публикации старше 30 дней"",TRUE,""Готово""))"),"Готово")</f>
        <v>Готово</v>
      </c>
    </row>
    <row r="65" spans="1:13" ht="25.5" customHeight="1">
      <c r="A65" s="23" t="s">
        <v>78</v>
      </c>
      <c r="B65" s="13">
        <v>46267</v>
      </c>
      <c r="C65" s="23" t="s">
        <v>89</v>
      </c>
      <c r="D65" s="24" t="s">
        <v>317</v>
      </c>
      <c r="E65" s="23" t="s">
        <v>16</v>
      </c>
      <c r="F65" s="23" t="s">
        <v>23</v>
      </c>
      <c r="G65" s="24" t="s">
        <v>318</v>
      </c>
      <c r="H65" s="26" t="s">
        <v>319</v>
      </c>
      <c r="I65" s="24" t="s">
        <v>17</v>
      </c>
      <c r="J65" s="13"/>
      <c r="K65" s="23" t="s">
        <v>18</v>
      </c>
      <c r="L65" s="24" t="s">
        <v>230</v>
      </c>
      <c r="M65" s="21" t="str">
        <f ca="1">IFERROR(__xludf.DUMMYFUNCTION("IF(COUNTA(A65:L65)=0,"""",IFS(AND(H65&lt;&gt;"""",COUNTIF($H$6:$H$504,H65)&gt;1),""Ошибка: повтор URL"",OR(A65="""",B65="""",C65="""",D65="""",E65="""",F65="""",G65="""",H65="""",K65=""""),""Ошибка: обязательные поля"",NOT(REGEXMATCH(H65,""^https?://[^ /]+"")),""О"&amp;"шибка: некорректная ссылка"",COUNTIF('Справочники'!$A$4:$A$24,C65)=0,""Ошибка: территория вне справочника"",K65=""Недоступен"",""Ошибка: ссылка недоступна"",E65=""Неофициальный источник"",IF(K65=""Активен"",""Готово"",""Проверить: активность""),I65&lt;&gt;""Под"&amp;"тверждено"",""Проверить: официальность / комментарий"",K65&lt;&gt;""Активен"",""Проверить: активность"",AND(ISNUMBER(J65),J65&lt;TODAY()-30),""Проверить: публикации старше 30 дней"",TRUE,""Готово""))"),"Готово")</f>
        <v>Готово</v>
      </c>
    </row>
    <row r="66" spans="1:13" ht="25.5" customHeight="1">
      <c r="A66" s="23" t="s">
        <v>78</v>
      </c>
      <c r="B66" s="13">
        <v>46267</v>
      </c>
      <c r="C66" s="23" t="s">
        <v>89</v>
      </c>
      <c r="D66" s="24" t="s">
        <v>132</v>
      </c>
      <c r="E66" s="23" t="s">
        <v>25</v>
      </c>
      <c r="F66" s="23" t="s">
        <v>23</v>
      </c>
      <c r="G66" s="24" t="s">
        <v>132</v>
      </c>
      <c r="H66" s="26" t="s">
        <v>320</v>
      </c>
      <c r="I66" s="24" t="s">
        <v>17</v>
      </c>
      <c r="J66" s="13"/>
      <c r="K66" s="23" t="s">
        <v>18</v>
      </c>
      <c r="L66" s="24" t="s">
        <v>230</v>
      </c>
      <c r="M66" s="21" t="str">
        <f ca="1">IFERROR(__xludf.DUMMYFUNCTION("IF(COUNTA(A66:L66)=0,"""",IFS(AND(H66&lt;&gt;"""",COUNTIF($H$6:$H$504,H66)&gt;1),""Ошибка: повтор URL"",OR(A66="""",B66="""",C66="""",D66="""",E66="""",F66="""",G66="""",H66="""",K66=""""),""Ошибка: обязательные поля"",NOT(REGEXMATCH(H66,""^https?://[^ /]+"")),""О"&amp;"шибка: некорректная ссылка"",COUNTIF('Справочники'!$A$4:$A$24,C66)=0,""Ошибка: территория вне справочника"",K66=""Недоступен"",""Ошибка: ссылка недоступна"",E66=""Неофициальный источник"",IF(K66=""Активен"",""Готово"",""Проверить: активность""),I66&lt;&gt;""Под"&amp;"тверждено"",""Проверить: официальность / комментарий"",K66&lt;&gt;""Активен"",""Проверить: активность"",AND(ISNUMBER(J66),J66&lt;TODAY()-30),""Проверить: публикации старше 30 дней"",TRUE,""Готово""))"),"Готово")</f>
        <v>Готово</v>
      </c>
    </row>
    <row r="67" spans="1:13" ht="25.5" customHeight="1">
      <c r="A67" s="23" t="s">
        <v>78</v>
      </c>
      <c r="B67" s="13">
        <v>46267</v>
      </c>
      <c r="C67" s="23" t="s">
        <v>89</v>
      </c>
      <c r="D67" s="24" t="s">
        <v>259</v>
      </c>
      <c r="E67" s="23" t="s">
        <v>75</v>
      </c>
      <c r="F67" s="23" t="s">
        <v>23</v>
      </c>
      <c r="G67" s="24" t="s">
        <v>259</v>
      </c>
      <c r="H67" s="26" t="s">
        <v>321</v>
      </c>
      <c r="I67" s="24" t="s">
        <v>17</v>
      </c>
      <c r="J67" s="13"/>
      <c r="K67" s="23" t="s">
        <v>18</v>
      </c>
      <c r="L67" s="24" t="s">
        <v>322</v>
      </c>
      <c r="M67" s="21" t="str">
        <f ca="1">IFERROR(__xludf.DUMMYFUNCTION("IF(COUNTA(A67:L67)=0,"""",IFS(AND(H67&lt;&gt;"""",COUNTIF($H$6:$H$504,H67)&gt;1),""Ошибка: повтор URL"",OR(A67="""",B67="""",C67="""",D67="""",E67="""",F67="""",G67="""",H67="""",K67=""""),""Ошибка: обязательные поля"",NOT(REGEXMATCH(H67,""^https?://[^ /]+"")),""О"&amp;"шибка: некорректная ссылка"",COUNTIF('Справочники'!$A$4:$A$24,C67)=0,""Ошибка: территория вне справочника"",K67=""Недоступен"",""Ошибка: ссылка недоступна"",E67=""Неофициальный источник"",IF(K67=""Активен"",""Готово"",""Проверить: активность""),I67&lt;&gt;""Под"&amp;"тверждено"",""Проверить: официальность / комментарий"",K67&lt;&gt;""Активен"",""Проверить: активность"",AND(ISNUMBER(J67),J67&lt;TODAY()-30),""Проверить: публикации старше 30 дней"",TRUE,""Готово""))"),"Готово")</f>
        <v>Готово</v>
      </c>
    </row>
    <row r="68" spans="1:13" ht="25.5" customHeight="1">
      <c r="A68" s="23" t="s">
        <v>78</v>
      </c>
      <c r="B68" s="13">
        <v>46267</v>
      </c>
      <c r="C68" s="23" t="s">
        <v>105</v>
      </c>
      <c r="D68" s="24" t="s">
        <v>177</v>
      </c>
      <c r="E68" s="23" t="s">
        <v>45</v>
      </c>
      <c r="F68" s="23" t="s">
        <v>23</v>
      </c>
      <c r="G68" s="24" t="s">
        <v>323</v>
      </c>
      <c r="H68" s="26" t="s">
        <v>324</v>
      </c>
      <c r="I68" s="24" t="s">
        <v>17</v>
      </c>
      <c r="J68" s="13"/>
      <c r="K68" s="23" t="s">
        <v>18</v>
      </c>
      <c r="L68" s="24" t="s">
        <v>230</v>
      </c>
      <c r="M68" s="21" t="str">
        <f ca="1">IFERROR(__xludf.DUMMYFUNCTION("IF(COUNTA(A68:L68)=0,"""",IFS(AND(H68&lt;&gt;"""",COUNTIF($H$6:$H$504,H68)&gt;1),""Ошибка: повтор URL"",OR(A68="""",B68="""",C68="""",D68="""",E68="""",F68="""",G68="""",H68="""",K68=""""),""Ошибка: обязательные поля"",NOT(REGEXMATCH(H68,""^https?://[^ /]+"")),""О"&amp;"шибка: некорректная ссылка"",COUNTIF('Справочники'!$A$4:$A$24,C68)=0,""Ошибка: территория вне справочника"",K68=""Недоступен"",""Ошибка: ссылка недоступна"",E68=""Неофициальный источник"",IF(K68=""Активен"",""Готово"",""Проверить: активность""),I68&lt;&gt;""Под"&amp;"тверждено"",""Проверить: официальность / комментарий"",K68&lt;&gt;""Активен"",""Проверить: активность"",AND(ISNUMBER(J68),J68&lt;TODAY()-30),""Проверить: публикации старше 30 дней"",TRUE,""Готово""))"),"Готово")</f>
        <v>Готово</v>
      </c>
    </row>
    <row r="69" spans="1:13" ht="25.5" customHeight="1">
      <c r="A69" s="23" t="s">
        <v>78</v>
      </c>
      <c r="B69" s="13">
        <v>46267</v>
      </c>
      <c r="C69" s="23" t="s">
        <v>84</v>
      </c>
      <c r="D69" s="24" t="s">
        <v>84</v>
      </c>
      <c r="E69" s="23" t="s">
        <v>60</v>
      </c>
      <c r="F69" s="23" t="s">
        <v>23</v>
      </c>
      <c r="G69" s="24" t="s">
        <v>121</v>
      </c>
      <c r="H69" s="26" t="s">
        <v>325</v>
      </c>
      <c r="I69" s="24" t="s">
        <v>17</v>
      </c>
      <c r="J69" s="13"/>
      <c r="K69" s="23" t="s">
        <v>18</v>
      </c>
      <c r="L69" s="24" t="s">
        <v>326</v>
      </c>
      <c r="M69" s="21" t="str">
        <f ca="1">IFERROR(__xludf.DUMMYFUNCTION("IF(COUNTA(A69:L69)=0,"""",IFS(AND(H69&lt;&gt;"""",COUNTIF($H$6:$H$504,H69)&gt;1),""Ошибка: повтор URL"",OR(A69="""",B69="""",C69="""",D69="""",E69="""",F69="""",G69="""",H69="""",K69=""""),""Ошибка: обязательные поля"",NOT(REGEXMATCH(H69,""^https?://[^ /]+"")),""О"&amp;"шибка: некорректная ссылка"",COUNTIF('Справочники'!$A$4:$A$24,C69)=0,""Ошибка: территория вне справочника"",K69=""Недоступен"",""Ошибка: ссылка недоступна"",E69=""Неофициальный источник"",IF(K69=""Активен"",""Готово"",""Проверить: активность""),I69&lt;&gt;""Под"&amp;"тверждено"",""Проверить: официальность / комментарий"",K69&lt;&gt;""Активен"",""Проверить: активность"",AND(ISNUMBER(J69),J69&lt;TODAY()-30),""Проверить: публикации старше 30 дней"",TRUE,""Готово""))"),"Готово")</f>
        <v>Готово</v>
      </c>
    </row>
    <row r="70" spans="1:13" ht="25.5" customHeight="1">
      <c r="A70" s="23" t="s">
        <v>78</v>
      </c>
      <c r="B70" s="13">
        <v>46267</v>
      </c>
      <c r="C70" s="23" t="s">
        <v>84</v>
      </c>
      <c r="D70" s="24" t="s">
        <v>327</v>
      </c>
      <c r="E70" s="23" t="s">
        <v>60</v>
      </c>
      <c r="F70" s="23" t="s">
        <v>23</v>
      </c>
      <c r="G70" s="24" t="s">
        <v>327</v>
      </c>
      <c r="H70" s="26" t="s">
        <v>328</v>
      </c>
      <c r="I70" s="24" t="s">
        <v>17</v>
      </c>
      <c r="J70" s="13"/>
      <c r="K70" s="23" t="s">
        <v>18</v>
      </c>
      <c r="L70" s="24" t="s">
        <v>326</v>
      </c>
      <c r="M70" s="21" t="str">
        <f ca="1">IFERROR(__xludf.DUMMYFUNCTION("IF(COUNTA(A70:L70)=0,"""",IFS(AND(H70&lt;&gt;"""",COUNTIF($H$6:$H$504,H70)&gt;1),""Ошибка: повтор URL"",OR(A70="""",B70="""",C70="""",D70="""",E70="""",F70="""",G70="""",H70="""",K70=""""),""Ошибка: обязательные поля"",NOT(REGEXMATCH(H70,""^https?://[^ /]+"")),""О"&amp;"шибка: некорректная ссылка"",COUNTIF('Справочники'!$A$4:$A$24,C70)=0,""Ошибка: территория вне справочника"",K70=""Недоступен"",""Ошибка: ссылка недоступна"",E70=""Неофициальный источник"",IF(K70=""Активен"",""Готово"",""Проверить: активность""),I70&lt;&gt;""Под"&amp;"тверждено"",""Проверить: официальность / комментарий"",K70&lt;&gt;""Активен"",""Проверить: активность"",AND(ISNUMBER(J70),J70&lt;TODAY()-30),""Проверить: публикации старше 30 дней"",TRUE,""Готово""))"),"Готово")</f>
        <v>Готово</v>
      </c>
    </row>
    <row r="71" spans="1:13" ht="25.5" customHeight="1">
      <c r="A71" s="23" t="s">
        <v>78</v>
      </c>
      <c r="B71" s="13">
        <v>46267</v>
      </c>
      <c r="C71" s="23" t="s">
        <v>12</v>
      </c>
      <c r="D71" s="24" t="s">
        <v>113</v>
      </c>
      <c r="E71" s="23" t="s">
        <v>16</v>
      </c>
      <c r="F71" s="23" t="s">
        <v>14</v>
      </c>
      <c r="G71" s="24" t="s">
        <v>113</v>
      </c>
      <c r="H71" s="26" t="s">
        <v>329</v>
      </c>
      <c r="I71" s="24" t="s">
        <v>17</v>
      </c>
      <c r="J71" s="13">
        <v>46266</v>
      </c>
      <c r="K71" s="23" t="s">
        <v>18</v>
      </c>
      <c r="L71" s="24" t="s">
        <v>330</v>
      </c>
      <c r="M71" s="21" t="str">
        <f ca="1">IFERROR(__xludf.DUMMYFUNCTION("IF(COUNTA(A71:L71)=0,"""",IFS(AND(H71&lt;&gt;"""",COUNTIF($H$6:$H$504,H71)&gt;1),""Ошибка: повтор URL"",OR(A71="""",B71="""",C71="""",D71="""",E71="""",F71="""",G71="""",H71="""",K71=""""),""Ошибка: обязательные поля"",NOT(REGEXMATCH(H71,""^https?://[^ /]+"")),""О"&amp;"шибка: некорректная ссылка"",COUNTIF('Справочники'!$A$4:$A$24,C71)=0,""Ошибка: территория вне справочника"",K71=""Недоступен"",""Ошибка: ссылка недоступна"",E71=""Неофициальный источник"",IF(K71=""Активен"",""Готово"",""Проверить: активность""),I71&lt;&gt;""Под"&amp;"тверждено"",""Проверить: официальность / комментарий"",K71&lt;&gt;""Активен"",""Проверить: активность"",AND(ISNUMBER(J71),J71&lt;TODAY()-30),""Проверить: публикации старше 30 дней"",TRUE,""Готово""))"),"Готово")</f>
        <v>Готово</v>
      </c>
    </row>
    <row r="72" spans="1:13" ht="25.5" customHeight="1">
      <c r="A72" s="23" t="s">
        <v>78</v>
      </c>
      <c r="B72" s="13">
        <v>46267</v>
      </c>
      <c r="C72" s="23" t="s">
        <v>105</v>
      </c>
      <c r="D72" s="24" t="s">
        <v>331</v>
      </c>
      <c r="E72" s="23" t="s">
        <v>16</v>
      </c>
      <c r="F72" s="23" t="s">
        <v>14</v>
      </c>
      <c r="G72" s="24" t="s">
        <v>331</v>
      </c>
      <c r="H72" s="26" t="s">
        <v>332</v>
      </c>
      <c r="I72" s="24" t="s">
        <v>17</v>
      </c>
      <c r="J72" s="13"/>
      <c r="K72" s="23" t="s">
        <v>18</v>
      </c>
      <c r="L72" s="24" t="s">
        <v>103</v>
      </c>
      <c r="M72" s="21" t="str">
        <f ca="1">IFERROR(__xludf.DUMMYFUNCTION("IF(COUNTA(A72:L72)=0,"""",IFS(AND(H72&lt;&gt;"""",COUNTIF($H$6:$H$504,H72)&gt;1),""Ошибка: повтор URL"",OR(A72="""",B72="""",C72="""",D72="""",E72="""",F72="""",G72="""",H72="""",K72=""""),""Ошибка: обязательные поля"",NOT(REGEXMATCH(H72,""^https?://[^ /]+"")),""О"&amp;"шибка: некорректная ссылка"",COUNTIF('Справочники'!$A$4:$A$24,C72)=0,""Ошибка: территория вне справочника"",K72=""Недоступен"",""Ошибка: ссылка недоступна"",E72=""Неофициальный источник"",IF(K72=""Активен"",""Готово"",""Проверить: активность""),I72&lt;&gt;""Под"&amp;"тверждено"",""Проверить: официальность / комментарий"",K72&lt;&gt;""Активен"",""Проверить: активность"",AND(ISNUMBER(J72),J72&lt;TODAY()-30),""Проверить: публикации старше 30 дней"",TRUE,""Готово""))"),"Готово")</f>
        <v>Готово</v>
      </c>
    </row>
    <row r="73" spans="1:13" ht="25.5" customHeight="1">
      <c r="A73" s="23" t="s">
        <v>78</v>
      </c>
      <c r="B73" s="13">
        <v>46267</v>
      </c>
      <c r="C73" s="23" t="s">
        <v>12</v>
      </c>
      <c r="D73" s="24" t="s">
        <v>333</v>
      </c>
      <c r="E73" s="23" t="s">
        <v>69</v>
      </c>
      <c r="F73" s="23" t="s">
        <v>14</v>
      </c>
      <c r="G73" s="24" t="s">
        <v>334</v>
      </c>
      <c r="H73" s="26" t="s">
        <v>335</v>
      </c>
      <c r="I73" s="24" t="s">
        <v>17</v>
      </c>
      <c r="J73" s="13"/>
      <c r="K73" s="23" t="s">
        <v>18</v>
      </c>
      <c r="L73" s="24" t="s">
        <v>103</v>
      </c>
      <c r="M73" s="21" t="str">
        <f ca="1">IFERROR(__xludf.DUMMYFUNCTION("IF(COUNTA(A73:L73)=0,"""",IFS(AND(H73&lt;&gt;"""",COUNTIF($H$6:$H$504,H73)&gt;1),""Ошибка: повтор URL"",OR(A73="""",B73="""",C73="""",D73="""",E73="""",F73="""",G73="""",H73="""",K73=""""),""Ошибка: обязательные поля"",NOT(REGEXMATCH(H73,""^https?://[^ /]+"")),""О"&amp;"шибка: некорректная ссылка"",COUNTIF('Справочники'!$A$4:$A$24,C73)=0,""Ошибка: территория вне справочника"",K73=""Недоступен"",""Ошибка: ссылка недоступна"",E73=""Неофициальный источник"",IF(K73=""Активен"",""Готово"",""Проверить: активность""),I73&lt;&gt;""Под"&amp;"тверждено"",""Проверить: официальность / комментарий"",K73&lt;&gt;""Активен"",""Проверить: активность"",AND(ISNUMBER(J73),J73&lt;TODAY()-30),""Проверить: публикации старше 30 дней"",TRUE,""Готово""))"),"Готово")</f>
        <v>Готово</v>
      </c>
    </row>
    <row r="74" spans="1:13" ht="25.5" customHeight="1">
      <c r="A74" s="23" t="s">
        <v>78</v>
      </c>
      <c r="B74" s="13">
        <v>46267</v>
      </c>
      <c r="C74" s="23" t="s">
        <v>12</v>
      </c>
      <c r="D74" s="24" t="s">
        <v>336</v>
      </c>
      <c r="E74" s="23" t="s">
        <v>69</v>
      </c>
      <c r="F74" s="23" t="s">
        <v>14</v>
      </c>
      <c r="G74" s="24" t="s">
        <v>337</v>
      </c>
      <c r="H74" s="26" t="s">
        <v>338</v>
      </c>
      <c r="I74" s="24" t="s">
        <v>17</v>
      </c>
      <c r="J74" s="13"/>
      <c r="K74" s="23" t="s">
        <v>18</v>
      </c>
      <c r="L74" s="24" t="s">
        <v>103</v>
      </c>
      <c r="M74" s="21" t="str">
        <f ca="1">IFERROR(__xludf.DUMMYFUNCTION("IF(COUNTA(A74:L74)=0,"""",IFS(AND(H74&lt;&gt;"""",COUNTIF($H$6:$H$504,H74)&gt;1),""Ошибка: повтор URL"",OR(A74="""",B74="""",C74="""",D74="""",E74="""",F74="""",G74="""",H74="""",K74=""""),""Ошибка: обязательные поля"",NOT(REGEXMATCH(H74,""^https?://[^ /]+"")),""О"&amp;"шибка: некорректная ссылка"",COUNTIF('Справочники'!$A$4:$A$24,C74)=0,""Ошибка: территория вне справочника"",K74=""Недоступен"",""Ошибка: ссылка недоступна"",E74=""Неофициальный источник"",IF(K74=""Активен"",""Готово"",""Проверить: активность""),I74&lt;&gt;""Под"&amp;"тверждено"",""Проверить: официальность / комментарий"",K74&lt;&gt;""Активен"",""Проверить: активность"",AND(ISNUMBER(J74),J74&lt;TODAY()-30),""Проверить: публикации старше 30 дней"",TRUE,""Готово""))"),"Готово")</f>
        <v>Готово</v>
      </c>
    </row>
    <row r="75" spans="1:13" ht="25.5" customHeight="1">
      <c r="A75" s="23" t="s">
        <v>78</v>
      </c>
      <c r="B75" s="13">
        <v>46267</v>
      </c>
      <c r="C75" s="23" t="s">
        <v>84</v>
      </c>
      <c r="D75" s="24" t="s">
        <v>339</v>
      </c>
      <c r="E75" s="23" t="s">
        <v>36</v>
      </c>
      <c r="F75" s="23" t="s">
        <v>14</v>
      </c>
      <c r="G75" s="24" t="s">
        <v>339</v>
      </c>
      <c r="H75" s="26" t="s">
        <v>340</v>
      </c>
      <c r="I75" s="24" t="s">
        <v>17</v>
      </c>
      <c r="J75" s="13"/>
      <c r="K75" s="23" t="s">
        <v>18</v>
      </c>
      <c r="L75" s="24" t="s">
        <v>103</v>
      </c>
      <c r="M75" s="21" t="str">
        <f ca="1">IFERROR(__xludf.DUMMYFUNCTION("IF(COUNTA(A75:L75)=0,"""",IFS(AND(H75&lt;&gt;"""",COUNTIF($H$6:$H$504,H75)&gt;1),""Ошибка: повтор URL"",OR(A75="""",B75="""",C75="""",D75="""",E75="""",F75="""",G75="""",H75="""",K75=""""),""Ошибка: обязательные поля"",NOT(REGEXMATCH(H75,""^https?://[^ /]+"")),""О"&amp;"шибка: некорректная ссылка"",COUNTIF('Справочники'!$A$4:$A$24,C75)=0,""Ошибка: территория вне справочника"",K75=""Недоступен"",""Ошибка: ссылка недоступна"",E75=""Неофициальный источник"",IF(K75=""Активен"",""Готово"",""Проверить: активность""),I75&lt;&gt;""Под"&amp;"тверждено"",""Проверить: официальность / комментарий"",K75&lt;&gt;""Активен"",""Проверить: активность"",AND(ISNUMBER(J75),J75&lt;TODAY()-30),""Проверить: публикации старше 30 дней"",TRUE,""Готово""))"),"Готово")</f>
        <v>Готово</v>
      </c>
    </row>
    <row r="76" spans="1:13" ht="25.5" customHeight="1">
      <c r="A76" s="23" t="s">
        <v>78</v>
      </c>
      <c r="B76" s="13">
        <v>46267</v>
      </c>
      <c r="C76" s="23" t="s">
        <v>105</v>
      </c>
      <c r="D76" s="24" t="s">
        <v>341</v>
      </c>
      <c r="E76" s="23" t="s">
        <v>69</v>
      </c>
      <c r="F76" s="23" t="s">
        <v>14</v>
      </c>
      <c r="G76" s="24" t="s">
        <v>342</v>
      </c>
      <c r="H76" s="42" t="s">
        <v>343</v>
      </c>
      <c r="I76" s="24" t="s">
        <v>17</v>
      </c>
      <c r="J76" s="13"/>
      <c r="K76" s="23" t="s">
        <v>18</v>
      </c>
      <c r="L76" s="24" t="s">
        <v>103</v>
      </c>
      <c r="M76" s="21" t="str">
        <f ca="1">IFERROR(__xludf.DUMMYFUNCTION("IF(COUNTA(A76:L76)=0,"""",IFS(AND(H76&lt;&gt;"""",COUNTIF($H$6:$H$504,H76)&gt;1),""Ошибка: повтор URL"",OR(A76="""",B76="""",C76="""",D76="""",E76="""",F76="""",G76="""",H76="""",K76=""""),""Ошибка: обязательные поля"",NOT(REGEXMATCH(H76,""^https?://[^ /]+"")),""О"&amp;"шибка: некорректная ссылка"",COUNTIF('Справочники'!$A$4:$A$24,C76)=0,""Ошибка: территория вне справочника"",K76=""Недоступен"",""Ошибка: ссылка недоступна"",E76=""Неофициальный источник"",IF(K76=""Активен"",""Готово"",""Проверить: активность""),I76&lt;&gt;""Под"&amp;"тверждено"",""Проверить: официальность / комментарий"",K76&lt;&gt;""Активен"",""Проверить: активность"",AND(ISNUMBER(J76),J76&lt;TODAY()-30),""Проверить: публикации старше 30 дней"",TRUE,""Готово""))"),"Готово")</f>
        <v>Готово</v>
      </c>
    </row>
    <row r="77" spans="1:13" ht="25.5" customHeight="1">
      <c r="A77" s="23" t="s">
        <v>78</v>
      </c>
      <c r="B77" s="13">
        <v>46267</v>
      </c>
      <c r="C77" s="23" t="s">
        <v>84</v>
      </c>
      <c r="D77" s="24" t="s">
        <v>303</v>
      </c>
      <c r="E77" s="23" t="s">
        <v>51</v>
      </c>
      <c r="F77" s="23" t="s">
        <v>14</v>
      </c>
      <c r="G77" s="24" t="s">
        <v>303</v>
      </c>
      <c r="H77" s="26" t="s">
        <v>344</v>
      </c>
      <c r="I77" s="24" t="s">
        <v>17</v>
      </c>
      <c r="J77" s="13"/>
      <c r="K77" s="23" t="s">
        <v>18</v>
      </c>
      <c r="L77" s="24" t="s">
        <v>103</v>
      </c>
      <c r="M77" s="21" t="str">
        <f ca="1">IFERROR(__xludf.DUMMYFUNCTION("IF(COUNTA(A77:L77)=0,"""",IFS(AND(H77&lt;&gt;"""",COUNTIF($H$6:$H$504,H77)&gt;1),""Ошибка: повтор URL"",OR(A77="""",B77="""",C77="""",D77="""",E77="""",F77="""",G77="""",H77="""",K77=""""),""Ошибка: обязательные поля"",NOT(REGEXMATCH(H77,""^https?://[^ /]+"")),""О"&amp;"шибка: некорректная ссылка"",COUNTIF('Справочники'!$A$4:$A$24,C77)=0,""Ошибка: территория вне справочника"",K77=""Недоступен"",""Ошибка: ссылка недоступна"",E77=""Неофициальный источник"",IF(K77=""Активен"",""Готово"",""Проверить: активность""),I77&lt;&gt;""Под"&amp;"тверждено"",""Проверить: официальность / комментарий"",K77&lt;&gt;""Активен"",""Проверить: активность"",AND(ISNUMBER(J77),J77&lt;TODAY()-30),""Проверить: публикации старше 30 дней"",TRUE,""Готово""))"),"Готово")</f>
        <v>Готово</v>
      </c>
    </row>
    <row r="78" spans="1:13" ht="25.5" customHeight="1">
      <c r="A78" s="23" t="s">
        <v>78</v>
      </c>
      <c r="B78" s="13">
        <v>46267</v>
      </c>
      <c r="C78" s="23" t="s">
        <v>84</v>
      </c>
      <c r="D78" s="24" t="s">
        <v>136</v>
      </c>
      <c r="E78" s="23" t="s">
        <v>51</v>
      </c>
      <c r="F78" s="23" t="s">
        <v>14</v>
      </c>
      <c r="G78" s="24" t="s">
        <v>136</v>
      </c>
      <c r="H78" s="26" t="s">
        <v>345</v>
      </c>
      <c r="I78" s="24" t="s">
        <v>17</v>
      </c>
      <c r="J78" s="13"/>
      <c r="K78" s="23" t="s">
        <v>18</v>
      </c>
      <c r="L78" s="24" t="s">
        <v>103</v>
      </c>
      <c r="M78" s="21" t="str">
        <f ca="1">IFERROR(__xludf.DUMMYFUNCTION("IF(COUNTA(A78:L78)=0,"""",IFS(AND(H78&lt;&gt;"""",COUNTIF($H$6:$H$504,H78)&gt;1),""Ошибка: повтор URL"",OR(A78="""",B78="""",C78="""",D78="""",E78="""",F78="""",G78="""",H78="""",K78=""""),""Ошибка: обязательные поля"",NOT(REGEXMATCH(H78,""^https?://[^ /]+"")),""О"&amp;"шибка: некорректная ссылка"",COUNTIF('Справочники'!$A$4:$A$24,C78)=0,""Ошибка: территория вне справочника"",K78=""Недоступен"",""Ошибка: ссылка недоступна"",E78=""Неофициальный источник"",IF(K78=""Активен"",""Готово"",""Проверить: активность""),I78&lt;&gt;""Под"&amp;"тверждено"",""Проверить: официальность / комментарий"",K78&lt;&gt;""Активен"",""Проверить: активность"",AND(ISNUMBER(J78),J78&lt;TODAY()-30),""Проверить: публикации старше 30 дней"",TRUE,""Готово""))"),"Готово")</f>
        <v>Готово</v>
      </c>
    </row>
    <row r="79" spans="1:13" ht="25.5" customHeight="1">
      <c r="A79" s="23" t="s">
        <v>78</v>
      </c>
      <c r="B79" s="13">
        <v>46267</v>
      </c>
      <c r="C79" s="23" t="s">
        <v>84</v>
      </c>
      <c r="D79" s="24" t="s">
        <v>346</v>
      </c>
      <c r="E79" s="23" t="s">
        <v>51</v>
      </c>
      <c r="F79" s="23" t="s">
        <v>14</v>
      </c>
      <c r="G79" s="24" t="s">
        <v>346</v>
      </c>
      <c r="H79" s="26" t="s">
        <v>347</v>
      </c>
      <c r="I79" s="24" t="s">
        <v>17</v>
      </c>
      <c r="J79" s="13"/>
      <c r="K79" s="23" t="s">
        <v>18</v>
      </c>
      <c r="L79" s="24" t="s">
        <v>103</v>
      </c>
      <c r="M79" s="21" t="str">
        <f ca="1">IFERROR(__xludf.DUMMYFUNCTION("IF(COUNTA(A79:L79)=0,"""",IFS(AND(H79&lt;&gt;"""",COUNTIF($H$6:$H$504,H79)&gt;1),""Ошибка: повтор URL"",OR(A79="""",B79="""",C79="""",D79="""",E79="""",F79="""",G79="""",H79="""",K79=""""),""Ошибка: обязательные поля"",NOT(REGEXMATCH(H79,""^https?://[^ /]+"")),""О"&amp;"шибка: некорректная ссылка"",COUNTIF('Справочники'!$A$4:$A$24,C79)=0,""Ошибка: территория вне справочника"",K79=""Недоступен"",""Ошибка: ссылка недоступна"",E79=""Неофициальный источник"",IF(K79=""Активен"",""Готово"",""Проверить: активность""),I79&lt;&gt;""Под"&amp;"тверждено"",""Проверить: официальность / комментарий"",K79&lt;&gt;""Активен"",""Проверить: активность"",AND(ISNUMBER(J79),J79&lt;TODAY()-30),""Проверить: публикации старше 30 дней"",TRUE,""Готово""))"),"Готово")</f>
        <v>Готово</v>
      </c>
    </row>
    <row r="80" spans="1:13" ht="25.5" customHeight="1">
      <c r="A80" s="23" t="s">
        <v>78</v>
      </c>
      <c r="B80" s="13">
        <v>46267</v>
      </c>
      <c r="C80" s="23" t="s">
        <v>84</v>
      </c>
      <c r="D80" s="24" t="s">
        <v>348</v>
      </c>
      <c r="E80" s="23" t="s">
        <v>51</v>
      </c>
      <c r="F80" s="23" t="s">
        <v>14</v>
      </c>
      <c r="G80" s="24" t="s">
        <v>348</v>
      </c>
      <c r="H80" s="26" t="s">
        <v>349</v>
      </c>
      <c r="I80" s="24" t="s">
        <v>17</v>
      </c>
      <c r="J80" s="13"/>
      <c r="K80" s="23" t="s">
        <v>18</v>
      </c>
      <c r="L80" s="24" t="s">
        <v>103</v>
      </c>
      <c r="M80" s="21" t="str">
        <f ca="1">IFERROR(__xludf.DUMMYFUNCTION("IF(COUNTA(A80:L80)=0,"""",IFS(AND(H80&lt;&gt;"""",COUNTIF($H$6:$H$504,H80)&gt;1),""Ошибка: повтор URL"",OR(A80="""",B80="""",C80="""",D80="""",E80="""",F80="""",G80="""",H80="""",K80=""""),""Ошибка: обязательные поля"",NOT(REGEXMATCH(H80,""^https?://[^ /]+"")),""О"&amp;"шибка: некорректная ссылка"",COUNTIF('Справочники'!$A$4:$A$24,C80)=0,""Ошибка: территория вне справочника"",K80=""Недоступен"",""Ошибка: ссылка недоступна"",E80=""Неофициальный источник"",IF(K80=""Активен"",""Готово"",""Проверить: активность""),I80&lt;&gt;""Под"&amp;"тверждено"",""Проверить: официальность / комментарий"",K80&lt;&gt;""Активен"",""Проверить: активность"",AND(ISNUMBER(J80),J80&lt;TODAY()-30),""Проверить: публикации старше 30 дней"",TRUE,""Готово""))"),"Готово")</f>
        <v>Готово</v>
      </c>
    </row>
    <row r="81" spans="1:13" ht="25.5" customHeight="1">
      <c r="A81" s="23" t="s">
        <v>78</v>
      </c>
      <c r="B81" s="13">
        <v>46267</v>
      </c>
      <c r="C81" s="23" t="s">
        <v>84</v>
      </c>
      <c r="D81" s="24" t="s">
        <v>288</v>
      </c>
      <c r="E81" s="23" t="s">
        <v>51</v>
      </c>
      <c r="F81" s="23" t="s">
        <v>14</v>
      </c>
      <c r="G81" s="24" t="s">
        <v>288</v>
      </c>
      <c r="H81" s="26" t="s">
        <v>350</v>
      </c>
      <c r="I81" s="24" t="s">
        <v>17</v>
      </c>
      <c r="J81" s="13"/>
      <c r="K81" s="23" t="s">
        <v>18</v>
      </c>
      <c r="L81" s="24" t="s">
        <v>103</v>
      </c>
      <c r="M81" s="21" t="str">
        <f ca="1">IFERROR(__xludf.DUMMYFUNCTION("IF(COUNTA(A81:L81)=0,"""",IFS(AND(H81&lt;&gt;"""",COUNTIF($H$6:$H$504,H81)&gt;1),""Ошибка: повтор URL"",OR(A81="""",B81="""",C81="""",D81="""",E81="""",F81="""",G81="""",H81="""",K81=""""),""Ошибка: обязательные поля"",NOT(REGEXMATCH(H81,""^https?://[^ /]+"")),""О"&amp;"шибка: некорректная ссылка"",COUNTIF('Справочники'!$A$4:$A$24,C81)=0,""Ошибка: территория вне справочника"",K81=""Недоступен"",""Ошибка: ссылка недоступна"",E81=""Неофициальный источник"",IF(K81=""Активен"",""Готово"",""Проверить: активность""),I81&lt;&gt;""Под"&amp;"тверждено"",""Проверить: официальность / комментарий"",K81&lt;&gt;""Активен"",""Проверить: активность"",AND(ISNUMBER(J81),J81&lt;TODAY()-30),""Проверить: публикации старше 30 дней"",TRUE,""Готово""))"),"Готово")</f>
        <v>Готово</v>
      </c>
    </row>
    <row r="82" spans="1:13" ht="25.5" customHeight="1">
      <c r="A82" s="23" t="s">
        <v>78</v>
      </c>
      <c r="B82" s="13">
        <v>46267</v>
      </c>
      <c r="C82" s="23" t="s">
        <v>84</v>
      </c>
      <c r="D82" s="24" t="s">
        <v>351</v>
      </c>
      <c r="E82" s="23" t="s">
        <v>51</v>
      </c>
      <c r="F82" s="23" t="s">
        <v>14</v>
      </c>
      <c r="G82" s="24" t="s">
        <v>351</v>
      </c>
      <c r="H82" s="26" t="s">
        <v>352</v>
      </c>
      <c r="I82" s="24" t="s">
        <v>17</v>
      </c>
      <c r="J82" s="13"/>
      <c r="K82" s="23" t="s">
        <v>18</v>
      </c>
      <c r="L82" s="24" t="s">
        <v>103</v>
      </c>
      <c r="M82" s="21" t="str">
        <f ca="1">IFERROR(__xludf.DUMMYFUNCTION("IF(COUNTA(A82:L82)=0,"""",IFS(AND(H82&lt;&gt;"""",COUNTIF($H$6:$H$504,H82)&gt;1),""Ошибка: повтор URL"",OR(A82="""",B82="""",C82="""",D82="""",E82="""",F82="""",G82="""",H82="""",K82=""""),""Ошибка: обязательные поля"",NOT(REGEXMATCH(H82,""^https?://[^ /]+"")),""О"&amp;"шибка: некорректная ссылка"",COUNTIF('Справочники'!$A$4:$A$24,C82)=0,""Ошибка: территория вне справочника"",K82=""Недоступен"",""Ошибка: ссылка недоступна"",E82=""Неофициальный источник"",IF(K82=""Активен"",""Готово"",""Проверить: активность""),I82&lt;&gt;""Под"&amp;"тверждено"",""Проверить: официальность / комментарий"",K82&lt;&gt;""Активен"",""Проверить: активность"",AND(ISNUMBER(J82),J82&lt;TODAY()-30),""Проверить: публикации старше 30 дней"",TRUE,""Готово""))"),"Готово")</f>
        <v>Готово</v>
      </c>
    </row>
    <row r="83" spans="1:13" ht="25.5" customHeight="1">
      <c r="A83" s="23" t="s">
        <v>78</v>
      </c>
      <c r="B83" s="13">
        <v>46267</v>
      </c>
      <c r="C83" s="23" t="s">
        <v>84</v>
      </c>
      <c r="D83" s="24" t="s">
        <v>141</v>
      </c>
      <c r="E83" s="23" t="s">
        <v>51</v>
      </c>
      <c r="F83" s="23" t="s">
        <v>14</v>
      </c>
      <c r="G83" s="24" t="s">
        <v>141</v>
      </c>
      <c r="H83" s="26" t="s">
        <v>353</v>
      </c>
      <c r="I83" s="24" t="s">
        <v>17</v>
      </c>
      <c r="J83" s="13"/>
      <c r="K83" s="23" t="s">
        <v>18</v>
      </c>
      <c r="L83" s="24" t="s">
        <v>103</v>
      </c>
      <c r="M83" s="21" t="str">
        <f ca="1">IFERROR(__xludf.DUMMYFUNCTION("IF(COUNTA(A83:L83)=0,"""",IFS(AND(H83&lt;&gt;"""",COUNTIF($H$6:$H$504,H83)&gt;1),""Ошибка: повтор URL"",OR(A83="""",B83="""",C83="""",D83="""",E83="""",F83="""",G83="""",H83="""",K83=""""),""Ошибка: обязательные поля"",NOT(REGEXMATCH(H83,""^https?://[^ /]+"")),""О"&amp;"шибка: некорректная ссылка"",COUNTIF('Справочники'!$A$4:$A$24,C83)=0,""Ошибка: территория вне справочника"",K83=""Недоступен"",""Ошибка: ссылка недоступна"",E83=""Неофициальный источник"",IF(K83=""Активен"",""Готово"",""Проверить: активность""),I83&lt;&gt;""Под"&amp;"тверждено"",""Проверить: официальность / комментарий"",K83&lt;&gt;""Активен"",""Проверить: активность"",AND(ISNUMBER(J83),J83&lt;TODAY()-30),""Проверить: публикации старше 30 дней"",TRUE,""Готово""))"),"Готово")</f>
        <v>Готово</v>
      </c>
    </row>
    <row r="84" spans="1:13" ht="25.5" customHeight="1">
      <c r="A84" s="23" t="s">
        <v>78</v>
      </c>
      <c r="B84" s="13">
        <v>46267</v>
      </c>
      <c r="C84" s="23" t="s">
        <v>84</v>
      </c>
      <c r="D84" s="24" t="s">
        <v>354</v>
      </c>
      <c r="E84" s="23" t="s">
        <v>51</v>
      </c>
      <c r="F84" s="23" t="s">
        <v>14</v>
      </c>
      <c r="G84" s="24" t="s">
        <v>354</v>
      </c>
      <c r="H84" s="26" t="s">
        <v>355</v>
      </c>
      <c r="I84" s="24" t="s">
        <v>17</v>
      </c>
      <c r="J84" s="13"/>
      <c r="K84" s="23" t="s">
        <v>18</v>
      </c>
      <c r="L84" s="24" t="s">
        <v>103</v>
      </c>
      <c r="M84" s="21" t="str">
        <f ca="1">IFERROR(__xludf.DUMMYFUNCTION("IF(COUNTA(A84:L84)=0,"""",IFS(AND(H84&lt;&gt;"""",COUNTIF($H$6:$H$504,H84)&gt;1),""Ошибка: повтор URL"",OR(A84="""",B84="""",C84="""",D84="""",E84="""",F84="""",G84="""",H84="""",K84=""""),""Ошибка: обязательные поля"",NOT(REGEXMATCH(H84,""^https?://[^ /]+"")),""О"&amp;"шибка: некорректная ссылка"",COUNTIF('Справочники'!$A$4:$A$24,C84)=0,""Ошибка: территория вне справочника"",K84=""Недоступен"",""Ошибка: ссылка недоступна"",E84=""Неофициальный источник"",IF(K84=""Активен"",""Готово"",""Проверить: активность""),I84&lt;&gt;""Под"&amp;"тверждено"",""Проверить: официальность / комментарий"",K84&lt;&gt;""Активен"",""Проверить: активность"",AND(ISNUMBER(J84),J84&lt;TODAY()-30),""Проверить: публикации старше 30 дней"",TRUE,""Готово""))"),"Готово")</f>
        <v>Готово</v>
      </c>
    </row>
    <row r="85" spans="1:13" ht="25.5" customHeight="1">
      <c r="A85" s="23" t="s">
        <v>78</v>
      </c>
      <c r="B85" s="13">
        <v>46267</v>
      </c>
      <c r="C85" s="23" t="s">
        <v>84</v>
      </c>
      <c r="D85" s="24" t="s">
        <v>356</v>
      </c>
      <c r="E85" s="23" t="s">
        <v>51</v>
      </c>
      <c r="F85" s="23" t="s">
        <v>14</v>
      </c>
      <c r="G85" s="24" t="s">
        <v>356</v>
      </c>
      <c r="H85" s="26" t="s">
        <v>357</v>
      </c>
      <c r="I85" s="24" t="s">
        <v>17</v>
      </c>
      <c r="J85" s="13"/>
      <c r="K85" s="23" t="s">
        <v>18</v>
      </c>
      <c r="L85" s="24" t="s">
        <v>103</v>
      </c>
      <c r="M85" s="21" t="str">
        <f ca="1">IFERROR(__xludf.DUMMYFUNCTION("IF(COUNTA(A85:L85)=0,"""",IFS(AND(H85&lt;&gt;"""",COUNTIF($H$6:$H$504,H85)&gt;1),""Ошибка: повтор URL"",OR(A85="""",B85="""",C85="""",D85="""",E85="""",F85="""",G85="""",H85="""",K85=""""),""Ошибка: обязательные поля"",NOT(REGEXMATCH(H85,""^https?://[^ /]+"")),""О"&amp;"шибка: некорректная ссылка"",COUNTIF('Справочники'!$A$4:$A$24,C85)=0,""Ошибка: территория вне справочника"",K85=""Недоступен"",""Ошибка: ссылка недоступна"",E85=""Неофициальный источник"",IF(K85=""Активен"",""Готово"",""Проверить: активность""),I85&lt;&gt;""Под"&amp;"тверждено"",""Проверить: официальность / комментарий"",K85&lt;&gt;""Активен"",""Проверить: активность"",AND(ISNUMBER(J85),J85&lt;TODAY()-30),""Проверить: публикации старше 30 дней"",TRUE,""Готово""))"),"Готово")</f>
        <v>Готово</v>
      </c>
    </row>
    <row r="86" spans="1:13" ht="25.5" customHeight="1">
      <c r="A86" s="23" t="s">
        <v>78</v>
      </c>
      <c r="B86" s="13">
        <v>46267</v>
      </c>
      <c r="C86" s="23" t="s">
        <v>84</v>
      </c>
      <c r="D86" s="24" t="s">
        <v>310</v>
      </c>
      <c r="E86" s="23" t="s">
        <v>51</v>
      </c>
      <c r="F86" s="23" t="s">
        <v>14</v>
      </c>
      <c r="G86" s="24" t="s">
        <v>310</v>
      </c>
      <c r="H86" s="26" t="s">
        <v>358</v>
      </c>
      <c r="I86" s="24" t="s">
        <v>17</v>
      </c>
      <c r="J86" s="13"/>
      <c r="K86" s="23" t="s">
        <v>18</v>
      </c>
      <c r="L86" s="24" t="s">
        <v>103</v>
      </c>
      <c r="M86" s="21" t="str">
        <f ca="1">IFERROR(__xludf.DUMMYFUNCTION("IF(COUNTA(A86:L86)=0,"""",IFS(AND(H86&lt;&gt;"""",COUNTIF($H$6:$H$504,H86)&gt;1),""Ошибка: повтор URL"",OR(A86="""",B86="""",C86="""",D86="""",E86="""",F86="""",G86="""",H86="""",K86=""""),""Ошибка: обязательные поля"",NOT(REGEXMATCH(H86,""^https?://[^ /]+"")),""О"&amp;"шибка: некорректная ссылка"",COUNTIF('Справочники'!$A$4:$A$24,C86)=0,""Ошибка: территория вне справочника"",K86=""Недоступен"",""Ошибка: ссылка недоступна"",E86=""Неофициальный источник"",IF(K86=""Активен"",""Готово"",""Проверить: активность""),I86&lt;&gt;""Под"&amp;"тверждено"",""Проверить: официальность / комментарий"",K86&lt;&gt;""Активен"",""Проверить: активность"",AND(ISNUMBER(J86),J86&lt;TODAY()-30),""Проверить: публикации старше 30 дней"",TRUE,""Готово""))"),"Готово")</f>
        <v>Готово</v>
      </c>
    </row>
    <row r="87" spans="1:13" ht="25.5" customHeight="1">
      <c r="A87" s="23" t="s">
        <v>78</v>
      </c>
      <c r="B87" s="13">
        <v>46267</v>
      </c>
      <c r="C87" s="23" t="s">
        <v>84</v>
      </c>
      <c r="D87" s="24" t="s">
        <v>306</v>
      </c>
      <c r="E87" s="23" t="s">
        <v>51</v>
      </c>
      <c r="F87" s="23" t="s">
        <v>14</v>
      </c>
      <c r="G87" s="24" t="s">
        <v>306</v>
      </c>
      <c r="H87" s="26" t="s">
        <v>359</v>
      </c>
      <c r="I87" s="24" t="s">
        <v>17</v>
      </c>
      <c r="J87" s="13"/>
      <c r="K87" s="23" t="s">
        <v>18</v>
      </c>
      <c r="L87" s="24" t="s">
        <v>103</v>
      </c>
      <c r="M87" s="21" t="str">
        <f ca="1">IFERROR(__xludf.DUMMYFUNCTION("IF(COUNTA(A87:L87)=0,"""",IFS(AND(H87&lt;&gt;"""",COUNTIF($H$6:$H$504,H87)&gt;1),""Ошибка: повтор URL"",OR(A87="""",B87="""",C87="""",D87="""",E87="""",F87="""",G87="""",H87="""",K87=""""),""Ошибка: обязательные поля"",NOT(REGEXMATCH(H87,""^https?://[^ /]+"")),""О"&amp;"шибка: некорректная ссылка"",COUNTIF('Справочники'!$A$4:$A$24,C87)=0,""Ошибка: территория вне справочника"",K87=""Недоступен"",""Ошибка: ссылка недоступна"",E87=""Неофициальный источник"",IF(K87=""Активен"",""Готово"",""Проверить: активность""),I87&lt;&gt;""Под"&amp;"тверждено"",""Проверить: официальность / комментарий"",K87&lt;&gt;""Активен"",""Проверить: активность"",AND(ISNUMBER(J87),J87&lt;TODAY()-30),""Проверить: публикации старше 30 дней"",TRUE,""Готово""))"),"Готово")</f>
        <v>Готово</v>
      </c>
    </row>
    <row r="88" spans="1:13" ht="25.5" customHeight="1">
      <c r="A88" s="23" t="s">
        <v>78</v>
      </c>
      <c r="B88" s="13">
        <v>46267</v>
      </c>
      <c r="C88" s="23" t="s">
        <v>84</v>
      </c>
      <c r="D88" s="24" t="s">
        <v>271</v>
      </c>
      <c r="E88" s="23" t="s">
        <v>51</v>
      </c>
      <c r="F88" s="23" t="s">
        <v>14</v>
      </c>
      <c r="G88" s="24" t="s">
        <v>271</v>
      </c>
      <c r="H88" s="26" t="s">
        <v>360</v>
      </c>
      <c r="I88" s="24" t="s">
        <v>17</v>
      </c>
      <c r="J88" s="13"/>
      <c r="K88" s="23" t="s">
        <v>18</v>
      </c>
      <c r="L88" s="24" t="s">
        <v>103</v>
      </c>
      <c r="M88" s="21" t="str">
        <f ca="1">IFERROR(__xludf.DUMMYFUNCTION("IF(COUNTA(A88:L88)=0,"""",IFS(AND(H88&lt;&gt;"""",COUNTIF($H$6:$H$504,H88)&gt;1),""Ошибка: повтор URL"",OR(A88="""",B88="""",C88="""",D88="""",E88="""",F88="""",G88="""",H88="""",K88=""""),""Ошибка: обязательные поля"",NOT(REGEXMATCH(H88,""^https?://[^ /]+"")),""О"&amp;"шибка: некорректная ссылка"",COUNTIF('Справочники'!$A$4:$A$24,C88)=0,""Ошибка: территория вне справочника"",K88=""Недоступен"",""Ошибка: ссылка недоступна"",E88=""Неофициальный источник"",IF(K88=""Активен"",""Готово"",""Проверить: активность""),I88&lt;&gt;""Под"&amp;"тверждено"",""Проверить: официальность / комментарий"",K88&lt;&gt;""Активен"",""Проверить: активность"",AND(ISNUMBER(J88),J88&lt;TODAY()-30),""Проверить: публикации старше 30 дней"",TRUE,""Готово""))"),"Готово")</f>
        <v>Готово</v>
      </c>
    </row>
    <row r="89" spans="1:13" ht="25.5" customHeight="1">
      <c r="A89" s="23" t="s">
        <v>78</v>
      </c>
      <c r="B89" s="13">
        <v>46267</v>
      </c>
      <c r="C89" s="23" t="s">
        <v>84</v>
      </c>
      <c r="D89" s="24" t="s">
        <v>361</v>
      </c>
      <c r="E89" s="23" t="s">
        <v>51</v>
      </c>
      <c r="F89" s="23" t="s">
        <v>14</v>
      </c>
      <c r="G89" s="24" t="s">
        <v>361</v>
      </c>
      <c r="H89" s="26" t="s">
        <v>362</v>
      </c>
      <c r="I89" s="24" t="s">
        <v>17</v>
      </c>
      <c r="J89" s="13"/>
      <c r="K89" s="23" t="s">
        <v>18</v>
      </c>
      <c r="L89" s="24" t="s">
        <v>103</v>
      </c>
      <c r="M89" s="21" t="str">
        <f ca="1">IFERROR(__xludf.DUMMYFUNCTION("IF(COUNTA(A89:L89)=0,"""",IFS(AND(H89&lt;&gt;"""",COUNTIF($H$6:$H$504,H89)&gt;1),""Ошибка: повтор URL"",OR(A89="""",B89="""",C89="""",D89="""",E89="""",F89="""",G89="""",H89="""",K89=""""),""Ошибка: обязательные поля"",NOT(REGEXMATCH(H89,""^https?://[^ /]+"")),""О"&amp;"шибка: некорректная ссылка"",COUNTIF('Справочники'!$A$4:$A$24,C89)=0,""Ошибка: территория вне справочника"",K89=""Недоступен"",""Ошибка: ссылка недоступна"",E89=""Неофициальный источник"",IF(K89=""Активен"",""Готово"",""Проверить: активность""),I89&lt;&gt;""Под"&amp;"тверждено"",""Проверить: официальность / комментарий"",K89&lt;&gt;""Активен"",""Проверить: активность"",AND(ISNUMBER(J89),J89&lt;TODAY()-30),""Проверить: публикации старше 30 дней"",TRUE,""Готово""))"),"Готово")</f>
        <v>Готово</v>
      </c>
    </row>
    <row r="90" spans="1:13" ht="25.5" customHeight="1">
      <c r="A90" s="23" t="s">
        <v>78</v>
      </c>
      <c r="B90" s="13">
        <v>46267</v>
      </c>
      <c r="C90" s="23" t="s">
        <v>84</v>
      </c>
      <c r="D90" s="24" t="s">
        <v>363</v>
      </c>
      <c r="E90" s="23" t="s">
        <v>51</v>
      </c>
      <c r="F90" s="23" t="s">
        <v>14</v>
      </c>
      <c r="G90" s="24" t="s">
        <v>363</v>
      </c>
      <c r="H90" s="26" t="s">
        <v>364</v>
      </c>
      <c r="I90" s="24" t="s">
        <v>17</v>
      </c>
      <c r="J90" s="13"/>
      <c r="K90" s="23" t="s">
        <v>18</v>
      </c>
      <c r="L90" s="24" t="s">
        <v>103</v>
      </c>
      <c r="M90" s="21" t="str">
        <f ca="1">IFERROR(__xludf.DUMMYFUNCTION("IF(COUNTA(A90:L90)=0,"""",IFS(AND(H90&lt;&gt;"""",COUNTIF($H$6:$H$504,H90)&gt;1),""Ошибка: повтор URL"",OR(A90="""",B90="""",C90="""",D90="""",E90="""",F90="""",G90="""",H90="""",K90=""""),""Ошибка: обязательные поля"",NOT(REGEXMATCH(H90,""^https?://[^ /]+"")),""О"&amp;"шибка: некорректная ссылка"",COUNTIF('Справочники'!$A$4:$A$24,C90)=0,""Ошибка: территория вне справочника"",K90=""Недоступен"",""Ошибка: ссылка недоступна"",E90=""Неофициальный источник"",IF(K90=""Активен"",""Готово"",""Проверить: активность""),I90&lt;&gt;""Под"&amp;"тверждено"",""Проверить: официальность / комментарий"",K90&lt;&gt;""Активен"",""Проверить: активность"",AND(ISNUMBER(J90),J90&lt;TODAY()-30),""Проверить: публикации старше 30 дней"",TRUE,""Готово""))"),"Готово")</f>
        <v>Готово</v>
      </c>
    </row>
    <row r="91" spans="1:13" ht="25.5" customHeight="1">
      <c r="A91" s="23" t="s">
        <v>78</v>
      </c>
      <c r="B91" s="13">
        <v>46267</v>
      </c>
      <c r="C91" s="23" t="s">
        <v>84</v>
      </c>
      <c r="D91" s="24" t="s">
        <v>274</v>
      </c>
      <c r="E91" s="23" t="s">
        <v>51</v>
      </c>
      <c r="F91" s="23" t="s">
        <v>14</v>
      </c>
      <c r="G91" s="24" t="s">
        <v>274</v>
      </c>
      <c r="H91" s="26" t="s">
        <v>365</v>
      </c>
      <c r="I91" s="24" t="s">
        <v>17</v>
      </c>
      <c r="J91" s="13"/>
      <c r="K91" s="23" t="s">
        <v>18</v>
      </c>
      <c r="L91" s="24" t="s">
        <v>103</v>
      </c>
      <c r="M91" s="21" t="str">
        <f ca="1">IFERROR(__xludf.DUMMYFUNCTION("IF(COUNTA(A91:L91)=0,"""",IFS(AND(H91&lt;&gt;"""",COUNTIF($H$6:$H$504,H91)&gt;1),""Ошибка: повтор URL"",OR(A91="""",B91="""",C91="""",D91="""",E91="""",F91="""",G91="""",H91="""",K91=""""),""Ошибка: обязательные поля"",NOT(REGEXMATCH(H91,""^https?://[^ /]+"")),""О"&amp;"шибка: некорректная ссылка"",COUNTIF('Справочники'!$A$4:$A$24,C91)=0,""Ошибка: территория вне справочника"",K91=""Недоступен"",""Ошибка: ссылка недоступна"",E91=""Неофициальный источник"",IF(K91=""Активен"",""Готово"",""Проверить: активность""),I91&lt;&gt;""Под"&amp;"тверждено"",""Проверить: официальность / комментарий"",K91&lt;&gt;""Активен"",""Проверить: активность"",AND(ISNUMBER(J91),J91&lt;TODAY()-30),""Проверить: публикации старше 30 дней"",TRUE,""Готово""))"),"Готово")</f>
        <v>Готово</v>
      </c>
    </row>
    <row r="92" spans="1:13" ht="25.5" customHeight="1">
      <c r="A92" s="23" t="s">
        <v>78</v>
      </c>
      <c r="B92" s="13">
        <v>46267</v>
      </c>
      <c r="C92" s="23" t="s">
        <v>84</v>
      </c>
      <c r="D92" s="24" t="s">
        <v>277</v>
      </c>
      <c r="E92" s="23" t="s">
        <v>51</v>
      </c>
      <c r="F92" s="23" t="s">
        <v>14</v>
      </c>
      <c r="G92" s="24" t="s">
        <v>277</v>
      </c>
      <c r="H92" s="26" t="s">
        <v>366</v>
      </c>
      <c r="I92" s="24" t="s">
        <v>17</v>
      </c>
      <c r="J92" s="13"/>
      <c r="K92" s="23" t="s">
        <v>18</v>
      </c>
      <c r="L92" s="24" t="s">
        <v>103</v>
      </c>
      <c r="M92" s="21" t="str">
        <f ca="1">IFERROR(__xludf.DUMMYFUNCTION("IF(COUNTA(A92:L92)=0,"""",IFS(AND(H92&lt;&gt;"""",COUNTIF($H$6:$H$504,H92)&gt;1),""Ошибка: повтор URL"",OR(A92="""",B92="""",C92="""",D92="""",E92="""",F92="""",G92="""",H92="""",K92=""""),""Ошибка: обязательные поля"",NOT(REGEXMATCH(H92,""^https?://[^ /]+"")),""О"&amp;"шибка: некорректная ссылка"",COUNTIF('Справочники'!$A$4:$A$24,C92)=0,""Ошибка: территория вне справочника"",K92=""Недоступен"",""Ошибка: ссылка недоступна"",E92=""Неофициальный источник"",IF(K92=""Активен"",""Готово"",""Проверить: активность""),I92&lt;&gt;""Под"&amp;"тверждено"",""Проверить: официальность / комментарий"",K92&lt;&gt;""Активен"",""Проверить: активность"",AND(ISNUMBER(J92),J92&lt;TODAY()-30),""Проверить: публикации старше 30 дней"",TRUE,""Готово""))"),"Готово")</f>
        <v>Готово</v>
      </c>
    </row>
    <row r="93" spans="1:13" ht="25.5" customHeight="1">
      <c r="A93" s="23" t="s">
        <v>78</v>
      </c>
      <c r="B93" s="13">
        <v>46267</v>
      </c>
      <c r="C93" s="23" t="s">
        <v>84</v>
      </c>
      <c r="D93" s="24" t="s">
        <v>367</v>
      </c>
      <c r="E93" s="23" t="s">
        <v>51</v>
      </c>
      <c r="F93" s="23" t="s">
        <v>14</v>
      </c>
      <c r="G93" s="24" t="s">
        <v>367</v>
      </c>
      <c r="H93" s="26" t="s">
        <v>368</v>
      </c>
      <c r="I93" s="24" t="s">
        <v>17</v>
      </c>
      <c r="J93" s="13"/>
      <c r="K93" s="23" t="s">
        <v>18</v>
      </c>
      <c r="L93" s="24" t="s">
        <v>103</v>
      </c>
      <c r="M93" s="21" t="str">
        <f ca="1">IFERROR(__xludf.DUMMYFUNCTION("IF(COUNTA(A93:L93)=0,"""",IFS(AND(H93&lt;&gt;"""",COUNTIF($H$6:$H$504,H93)&gt;1),""Ошибка: повтор URL"",OR(A93="""",B93="""",C93="""",D93="""",E93="""",F93="""",G93="""",H93="""",K93=""""),""Ошибка: обязательные поля"",NOT(REGEXMATCH(H93,""^https?://[^ /]+"")),""О"&amp;"шибка: некорректная ссылка"",COUNTIF('Справочники'!$A$4:$A$24,C93)=0,""Ошибка: территория вне справочника"",K93=""Недоступен"",""Ошибка: ссылка недоступна"",E93=""Неофициальный источник"",IF(K93=""Активен"",""Готово"",""Проверить: активность""),I93&lt;&gt;""Под"&amp;"тверждено"",""Проверить: официальность / комментарий"",K93&lt;&gt;""Активен"",""Проверить: активность"",AND(ISNUMBER(J93),J93&lt;TODAY()-30),""Проверить: публикации старше 30 дней"",TRUE,""Готово""))"),"Готово")</f>
        <v>Готово</v>
      </c>
    </row>
    <row r="94" spans="1:13" ht="25.5" customHeight="1">
      <c r="A94" s="23" t="s">
        <v>78</v>
      </c>
      <c r="B94" s="13">
        <v>46267</v>
      </c>
      <c r="C94" s="23" t="s">
        <v>12</v>
      </c>
      <c r="D94" s="24" t="s">
        <v>369</v>
      </c>
      <c r="E94" s="23" t="s">
        <v>45</v>
      </c>
      <c r="F94" s="23" t="s">
        <v>14</v>
      </c>
      <c r="G94" s="24" t="s">
        <v>370</v>
      </c>
      <c r="H94" s="26" t="s">
        <v>371</v>
      </c>
      <c r="I94" s="24" t="s">
        <v>17</v>
      </c>
      <c r="J94" s="13"/>
      <c r="K94" s="23" t="s">
        <v>18</v>
      </c>
      <c r="L94" s="24" t="s">
        <v>103</v>
      </c>
      <c r="M94" s="21" t="str">
        <f ca="1">IFERROR(__xludf.DUMMYFUNCTION("IF(COUNTA(A94:L94)=0,"""",IFS(AND(H94&lt;&gt;"""",COUNTIF($H$6:$H$504,H94)&gt;1),""Ошибка: повтор URL"",OR(A94="""",B94="""",C94="""",D94="""",E94="""",F94="""",G94="""",H94="""",K94=""""),""Ошибка: обязательные поля"",NOT(REGEXMATCH(H94,""^https?://[^ /]+"")),""О"&amp;"шибка: некорректная ссылка"",COUNTIF('Справочники'!$A$4:$A$24,C94)=0,""Ошибка: территория вне справочника"",K94=""Недоступен"",""Ошибка: ссылка недоступна"",E94=""Неофициальный источник"",IF(K94=""Активен"",""Готово"",""Проверить: активность""),I94&lt;&gt;""Под"&amp;"тверждено"",""Проверить: официальность / комментарий"",K94&lt;&gt;""Активен"",""Проверить: активность"",AND(ISNUMBER(J94),J94&lt;TODAY()-30),""Проверить: публикации старше 30 дней"",TRUE,""Готово""))"),"Готово")</f>
        <v>Готово</v>
      </c>
    </row>
    <row r="95" spans="1:13" ht="25.5" customHeight="1">
      <c r="A95" s="23" t="s">
        <v>78</v>
      </c>
      <c r="B95" s="13">
        <v>46267</v>
      </c>
      <c r="C95" s="23" t="s">
        <v>105</v>
      </c>
      <c r="D95" s="24" t="s">
        <v>372</v>
      </c>
      <c r="E95" s="23" t="s">
        <v>69</v>
      </c>
      <c r="F95" s="23" t="s">
        <v>14</v>
      </c>
      <c r="G95" s="24" t="s">
        <v>373</v>
      </c>
      <c r="H95" s="26" t="s">
        <v>374</v>
      </c>
      <c r="I95" s="24" t="s">
        <v>17</v>
      </c>
      <c r="J95" s="13"/>
      <c r="K95" s="23" t="s">
        <v>18</v>
      </c>
      <c r="L95" s="24" t="s">
        <v>103</v>
      </c>
      <c r="M95" s="21" t="str">
        <f ca="1">IFERROR(__xludf.DUMMYFUNCTION("IF(COUNTA(A95:L95)=0,"""",IFS(AND(H95&lt;&gt;"""",COUNTIF($H$6:$H$504,H95)&gt;1),""Ошибка: повтор URL"",OR(A95="""",B95="""",C95="""",D95="""",E95="""",F95="""",G95="""",H95="""",K95=""""),""Ошибка: обязательные поля"",NOT(REGEXMATCH(H95,""^https?://[^ /]+"")),""О"&amp;"шибка: некорректная ссылка"",COUNTIF('Справочники'!$A$4:$A$24,C95)=0,""Ошибка: территория вне справочника"",K95=""Недоступен"",""Ошибка: ссылка недоступна"",E95=""Неофициальный источник"",IF(K95=""Активен"",""Готово"",""Проверить: активность""),I95&lt;&gt;""Под"&amp;"тверждено"",""Проверить: официальность / комментарий"",K95&lt;&gt;""Активен"",""Проверить: активность"",AND(ISNUMBER(J95),J95&lt;TODAY()-30),""Проверить: публикации старше 30 дней"",TRUE,""Готово""))"),"Готово")</f>
        <v>Готово</v>
      </c>
    </row>
    <row r="96" spans="1:13" ht="25.5" customHeight="1">
      <c r="A96" s="23" t="s">
        <v>78</v>
      </c>
      <c r="B96" s="13">
        <v>46267</v>
      </c>
      <c r="C96" s="23" t="s">
        <v>89</v>
      </c>
      <c r="D96" s="24" t="s">
        <v>375</v>
      </c>
      <c r="E96" s="23" t="s">
        <v>36</v>
      </c>
      <c r="F96" s="23" t="s">
        <v>14</v>
      </c>
      <c r="G96" s="24" t="s">
        <v>376</v>
      </c>
      <c r="H96" s="26" t="s">
        <v>377</v>
      </c>
      <c r="I96" s="24" t="s">
        <v>17</v>
      </c>
      <c r="J96" s="13"/>
      <c r="K96" s="23" t="s">
        <v>18</v>
      </c>
      <c r="L96" s="24" t="s">
        <v>103</v>
      </c>
      <c r="M96" s="21" t="str">
        <f ca="1">IFERROR(__xludf.DUMMYFUNCTION("IF(COUNTA(A96:L96)=0,"""",IFS(AND(H96&lt;&gt;"""",COUNTIF($H$6:$H$504,H96)&gt;1),""Ошибка: повтор URL"",OR(A96="""",B96="""",C96="""",D96="""",E96="""",F96="""",G96="""",H96="""",K96=""""),""Ошибка: обязательные поля"",NOT(REGEXMATCH(H96,""^https?://[^ /]+"")),""О"&amp;"шибка: некорректная ссылка"",COUNTIF('Справочники'!$A$4:$A$24,C96)=0,""Ошибка: территория вне справочника"",K96=""Недоступен"",""Ошибка: ссылка недоступна"",E96=""Неофициальный источник"",IF(K96=""Активен"",""Готово"",""Проверить: активность""),I96&lt;&gt;""Под"&amp;"тверждено"",""Проверить: официальность / комментарий"",K96&lt;&gt;""Активен"",""Проверить: активность"",AND(ISNUMBER(J96),J96&lt;TODAY()-30),""Проверить: публикации старше 30 дней"",TRUE,""Готово""))"),"Готово")</f>
        <v>Готово</v>
      </c>
    </row>
    <row r="97" spans="1:13" ht="25.5" customHeight="1">
      <c r="A97" s="23" t="s">
        <v>78</v>
      </c>
      <c r="B97" s="13">
        <v>46267</v>
      </c>
      <c r="C97" s="23" t="s">
        <v>84</v>
      </c>
      <c r="D97" s="24" t="s">
        <v>120</v>
      </c>
      <c r="E97" s="23" t="s">
        <v>51</v>
      </c>
      <c r="F97" s="23" t="s">
        <v>14</v>
      </c>
      <c r="G97" s="24" t="s">
        <v>120</v>
      </c>
      <c r="H97" s="26" t="s">
        <v>378</v>
      </c>
      <c r="I97" s="24" t="s">
        <v>17</v>
      </c>
      <c r="J97" s="13"/>
      <c r="K97" s="23" t="s">
        <v>18</v>
      </c>
      <c r="L97" s="24" t="s">
        <v>103</v>
      </c>
      <c r="M97" s="21" t="str">
        <f ca="1">IFERROR(__xludf.DUMMYFUNCTION("IF(COUNTA(A97:L97)=0,"""",IFS(AND(H97&lt;&gt;"""",COUNTIF($H$6:$H$504,H97)&gt;1),""Ошибка: повтор URL"",OR(A97="""",B97="""",C97="""",D97="""",E97="""",F97="""",G97="""",H97="""",K97=""""),""Ошибка: обязательные поля"",NOT(REGEXMATCH(H97,""^https?://[^ /]+"")),""О"&amp;"шибка: некорректная ссылка"",COUNTIF('Справочники'!$A$4:$A$24,C97)=0,""Ошибка: территория вне справочника"",K97=""Недоступен"",""Ошибка: ссылка недоступна"",E97=""Неофициальный источник"",IF(K97=""Активен"",""Готово"",""Проверить: активность""),I97&lt;&gt;""Под"&amp;"тверждено"",""Проверить: официальность / комментарий"",K97&lt;&gt;""Активен"",""Проверить: активность"",AND(ISNUMBER(J97),J97&lt;TODAY()-30),""Проверить: публикации старше 30 дней"",TRUE,""Готово""))"),"Готово")</f>
        <v>Готово</v>
      </c>
    </row>
    <row r="98" spans="1:13" ht="25.5" customHeight="1">
      <c r="A98" s="23" t="s">
        <v>78</v>
      </c>
      <c r="B98" s="13">
        <v>46267</v>
      </c>
      <c r="C98" s="23" t="s">
        <v>84</v>
      </c>
      <c r="D98" s="24" t="s">
        <v>169</v>
      </c>
      <c r="E98" s="23" t="s">
        <v>51</v>
      </c>
      <c r="F98" s="23" t="s">
        <v>14</v>
      </c>
      <c r="G98" s="24" t="s">
        <v>84</v>
      </c>
      <c r="H98" s="26" t="s">
        <v>379</v>
      </c>
      <c r="I98" s="24" t="s">
        <v>17</v>
      </c>
      <c r="J98" s="13"/>
      <c r="K98" s="23" t="s">
        <v>18</v>
      </c>
      <c r="L98" s="24" t="s">
        <v>103</v>
      </c>
      <c r="M98" s="21" t="str">
        <f ca="1">IFERROR(__xludf.DUMMYFUNCTION("IF(COUNTA(A98:L98)=0,"""",IFS(AND(H98&lt;&gt;"""",COUNTIF($H$6:$H$504,H98)&gt;1),""Ошибка: повтор URL"",OR(A98="""",B98="""",C98="""",D98="""",E98="""",F98="""",G98="""",H98="""",K98=""""),""Ошибка: обязательные поля"",NOT(REGEXMATCH(H98,""^https?://[^ /]+"")),""О"&amp;"шибка: некорректная ссылка"",COUNTIF('Справочники'!$A$4:$A$24,C98)=0,""Ошибка: территория вне справочника"",K98=""Недоступен"",""Ошибка: ссылка недоступна"",E98=""Неофициальный источник"",IF(K98=""Активен"",""Готово"",""Проверить: активность""),I98&lt;&gt;""Под"&amp;"тверждено"",""Проверить: официальность / комментарий"",K98&lt;&gt;""Активен"",""Проверить: активность"",AND(ISNUMBER(J98),J98&lt;TODAY()-30),""Проверить: публикации старше 30 дней"",TRUE,""Готово""))"),"Готово")</f>
        <v>Готово</v>
      </c>
    </row>
    <row r="99" spans="1:13" ht="25.5" customHeight="1">
      <c r="A99" s="23" t="s">
        <v>78</v>
      </c>
      <c r="B99" s="13">
        <v>46267</v>
      </c>
      <c r="C99" s="23" t="s">
        <v>89</v>
      </c>
      <c r="D99" s="24" t="s">
        <v>280</v>
      </c>
      <c r="E99" s="23" t="s">
        <v>16</v>
      </c>
      <c r="F99" s="23" t="s">
        <v>14</v>
      </c>
      <c r="G99" s="24" t="s">
        <v>89</v>
      </c>
      <c r="H99" s="42" t="s">
        <v>380</v>
      </c>
      <c r="I99" s="24" t="s">
        <v>17</v>
      </c>
      <c r="J99" s="13"/>
      <c r="K99" s="23" t="s">
        <v>18</v>
      </c>
      <c r="L99" s="24" t="s">
        <v>103</v>
      </c>
      <c r="M99" s="21" t="str">
        <f ca="1">IFERROR(__xludf.DUMMYFUNCTION("IF(COUNTA(A99:L99)=0,"""",IFS(AND(H99&lt;&gt;"""",COUNTIF($H$6:$H$504,H99)&gt;1),""Ошибка: повтор URL"",OR(A99="""",B99="""",C99="""",D99="""",E99="""",F99="""",G99="""",H99="""",K99=""""),""Ошибка: обязательные поля"",NOT(REGEXMATCH(H99,""^https?://[^ /]+"")),""О"&amp;"шибка: некорректная ссылка"",COUNTIF('Справочники'!$A$4:$A$24,C99)=0,""Ошибка: территория вне справочника"",K99=""Недоступен"",""Ошибка: ссылка недоступна"",E99=""Неофициальный источник"",IF(K99=""Активен"",""Готово"",""Проверить: активность""),I99&lt;&gt;""Под"&amp;"тверждено"",""Проверить: официальность / комментарий"",K99&lt;&gt;""Активен"",""Проверить: активность"",AND(ISNUMBER(J99),J99&lt;TODAY()-30),""Проверить: публикации старше 30 дней"",TRUE,""Готово""))"),"Готово")</f>
        <v>Готово</v>
      </c>
    </row>
    <row r="100" spans="1:13" ht="25.5" customHeight="1">
      <c r="A100" s="23" t="s">
        <v>78</v>
      </c>
      <c r="B100" s="13">
        <v>46267</v>
      </c>
      <c r="C100" s="23" t="s">
        <v>89</v>
      </c>
      <c r="D100" s="24" t="s">
        <v>381</v>
      </c>
      <c r="E100" s="23" t="s">
        <v>69</v>
      </c>
      <c r="F100" s="23" t="s">
        <v>14</v>
      </c>
      <c r="G100" s="24" t="s">
        <v>381</v>
      </c>
      <c r="H100" s="26" t="s">
        <v>382</v>
      </c>
      <c r="I100" s="24" t="s">
        <v>17</v>
      </c>
      <c r="J100" s="13"/>
      <c r="K100" s="23" t="s">
        <v>18</v>
      </c>
      <c r="L100" s="24" t="s">
        <v>103</v>
      </c>
      <c r="M100" s="21" t="str">
        <f ca="1">IFERROR(__xludf.DUMMYFUNCTION("IF(COUNTA(A100:L100)=0,"""",IFS(AND(H100&lt;&gt;"""",COUNTIF($H$6:$H$504,H100)&gt;1),""Ошибка: повтор URL"",OR(A100="""",B100="""",C100="""",D100="""",E100="""",F100="""",G100="""",H100="""",K100=""""),""Ошибка: обязательные поля"",NOT(REGEXMATCH(H100,""^https?://"&amp;"[^ /]+"")),""Ошибка: некорректная ссылка"",COUNTIF('Справочники'!$A$4:$A$24,C100)=0,""Ошибка: территория вне справочника"",K100=""Недоступен"",""Ошибка: ссылка недоступна"",E100=""Неофициальный источник"",IF(K100=""Активен"",""Готово"",""Проверить: активн"&amp;"ость""),I100&lt;&gt;""Подтверждено"",""Проверить: официальность / комментарий"",K100&lt;&gt;""Активен"",""Проверить: активность"",AND(ISNUMBER(J100),J100&lt;TODAY()-30),""Проверить: публикации старше 30 дней"",TRUE,""Готово""))"),"Готово")</f>
        <v>Готово</v>
      </c>
    </row>
    <row r="101" spans="1:13" ht="25.5" customHeight="1">
      <c r="A101" s="23" t="s">
        <v>78</v>
      </c>
      <c r="B101" s="13">
        <v>46267</v>
      </c>
      <c r="C101" s="23" t="s">
        <v>12</v>
      </c>
      <c r="D101" s="24" t="s">
        <v>299</v>
      </c>
      <c r="E101" s="23" t="s">
        <v>45</v>
      </c>
      <c r="F101" s="23" t="s">
        <v>14</v>
      </c>
      <c r="G101" s="24" t="s">
        <v>383</v>
      </c>
      <c r="H101" s="26" t="s">
        <v>384</v>
      </c>
      <c r="I101" s="24" t="s">
        <v>17</v>
      </c>
      <c r="J101" s="13"/>
      <c r="K101" s="23" t="s">
        <v>18</v>
      </c>
      <c r="L101" s="24" t="s">
        <v>103</v>
      </c>
      <c r="M101" s="21" t="str">
        <f ca="1">IFERROR(__xludf.DUMMYFUNCTION("IF(COUNTA(A101:L101)=0,"""",IFS(AND(H101&lt;&gt;"""",COUNTIF($H$6:$H$504,H101)&gt;1),""Ошибка: повтор URL"",OR(A101="""",B101="""",C101="""",D101="""",E101="""",F101="""",G101="""",H101="""",K101=""""),""Ошибка: обязательные поля"",NOT(REGEXMATCH(H101,""^https?://"&amp;"[^ /]+"")),""Ошибка: некорректная ссылка"",COUNTIF('Справочники'!$A$4:$A$24,C101)=0,""Ошибка: территория вне справочника"",K101=""Недоступен"",""Ошибка: ссылка недоступна"",E101=""Неофициальный источник"",IF(K101=""Активен"",""Готово"",""Проверить: активн"&amp;"ость""),I101&lt;&gt;""Подтверждено"",""Проверить: официальность / комментарий"",K101&lt;&gt;""Активен"",""Проверить: активность"",AND(ISNUMBER(J101),J101&lt;TODAY()-30),""Проверить: публикации старше 30 дней"",TRUE,""Готово""))"),"Готово")</f>
        <v>Готово</v>
      </c>
    </row>
    <row r="102" spans="1:13" ht="25.5" customHeight="1">
      <c r="A102" s="23" t="s">
        <v>78</v>
      </c>
      <c r="B102" s="13">
        <v>46267</v>
      </c>
      <c r="C102" s="23" t="s">
        <v>12</v>
      </c>
      <c r="D102" s="24" t="s">
        <v>385</v>
      </c>
      <c r="E102" s="23" t="s">
        <v>45</v>
      </c>
      <c r="F102" s="23" t="s">
        <v>14</v>
      </c>
      <c r="G102" s="24" t="s">
        <v>386</v>
      </c>
      <c r="H102" s="26" t="s">
        <v>387</v>
      </c>
      <c r="I102" s="24" t="s">
        <v>17</v>
      </c>
      <c r="J102" s="13"/>
      <c r="K102" s="23" t="s">
        <v>18</v>
      </c>
      <c r="L102" s="24" t="s">
        <v>103</v>
      </c>
      <c r="M102" s="21" t="str">
        <f ca="1">IFERROR(__xludf.DUMMYFUNCTION("IF(COUNTA(A102:L102)=0,"""",IFS(AND(H102&lt;&gt;"""",COUNTIF($H$6:$H$504,H102)&gt;1),""Ошибка: повтор URL"",OR(A102="""",B102="""",C102="""",D102="""",E102="""",F102="""",G102="""",H102="""",K102=""""),""Ошибка: обязательные поля"",NOT(REGEXMATCH(H102,""^https?://"&amp;"[^ /]+"")),""Ошибка: некорректная ссылка"",COUNTIF('Справочники'!$A$4:$A$24,C102)=0,""Ошибка: территория вне справочника"",K102=""Недоступен"",""Ошибка: ссылка недоступна"",E102=""Неофициальный источник"",IF(K102=""Активен"",""Готово"",""Проверить: активн"&amp;"ость""),I102&lt;&gt;""Подтверждено"",""Проверить: официальность / комментарий"",K102&lt;&gt;""Активен"",""Проверить: активность"",AND(ISNUMBER(J102),J102&lt;TODAY()-30),""Проверить: публикации старше 30 дней"",TRUE,""Готово""))"),"Готово")</f>
        <v>Готово</v>
      </c>
    </row>
    <row r="103" spans="1:13" ht="25.5" customHeight="1">
      <c r="A103" s="23" t="s">
        <v>78</v>
      </c>
      <c r="B103" s="13">
        <v>46267</v>
      </c>
      <c r="C103" s="23" t="s">
        <v>105</v>
      </c>
      <c r="D103" s="24" t="s">
        <v>177</v>
      </c>
      <c r="E103" s="23" t="s">
        <v>69</v>
      </c>
      <c r="F103" s="23" t="s">
        <v>14</v>
      </c>
      <c r="G103" s="24" t="s">
        <v>177</v>
      </c>
      <c r="H103" s="42" t="s">
        <v>388</v>
      </c>
      <c r="I103" s="24" t="s">
        <v>17</v>
      </c>
      <c r="J103" s="13"/>
      <c r="K103" s="23" t="s">
        <v>18</v>
      </c>
      <c r="L103" s="24" t="s">
        <v>103</v>
      </c>
      <c r="M103" s="21" t="str">
        <f ca="1">IFERROR(__xludf.DUMMYFUNCTION("IF(COUNTA(A103:L103)=0,"""",IFS(AND(H103&lt;&gt;"""",COUNTIF($H$6:$H$504,H103)&gt;1),""Ошибка: повтор URL"",OR(A103="""",B103="""",C103="""",D103="""",E103="""",F103="""",G103="""",H103="""",K103=""""),""Ошибка: обязательные поля"",NOT(REGEXMATCH(H103,""^https?://"&amp;"[^ /]+"")),""Ошибка: некорректная ссылка"",COUNTIF('Справочники'!$A$4:$A$24,C103)=0,""Ошибка: территория вне справочника"",K103=""Недоступен"",""Ошибка: ссылка недоступна"",E103=""Неофициальный источник"",IF(K103=""Активен"",""Готово"",""Проверить: активн"&amp;"ость""),I103&lt;&gt;""Подтверждено"",""Проверить: официальность / комментарий"",K103&lt;&gt;""Активен"",""Проверить: активность"",AND(ISNUMBER(J103),J103&lt;TODAY()-30),""Проверить: публикации старше 30 дней"",TRUE,""Готово""))"),"Готово")</f>
        <v>Готово</v>
      </c>
    </row>
    <row r="104" spans="1:13" ht="25.5" customHeight="1">
      <c r="A104" s="23" t="s">
        <v>78</v>
      </c>
      <c r="B104" s="13">
        <v>46267</v>
      </c>
      <c r="C104" s="23" t="s">
        <v>84</v>
      </c>
      <c r="D104" s="24" t="s">
        <v>389</v>
      </c>
      <c r="E104" s="23" t="s">
        <v>51</v>
      </c>
      <c r="F104" s="23" t="s">
        <v>14</v>
      </c>
      <c r="G104" s="24" t="s">
        <v>389</v>
      </c>
      <c r="H104" s="26" t="s">
        <v>390</v>
      </c>
      <c r="I104" s="24" t="s">
        <v>17</v>
      </c>
      <c r="J104" s="13"/>
      <c r="K104" s="23" t="s">
        <v>18</v>
      </c>
      <c r="L104" s="24"/>
      <c r="M104" s="21" t="str">
        <f ca="1">IFERROR(__xludf.DUMMYFUNCTION("IF(COUNTA(A104:L104)=0,"""",IFS(AND(H104&lt;&gt;"""",COUNTIF($H$6:$H$504,H104)&gt;1),""Ошибка: повтор URL"",OR(A104="""",B104="""",C104="""",D104="""",E104="""",F104="""",G104="""",H104="""",K104=""""),""Ошибка: обязательные поля"",NOT(REGEXMATCH(H104,""^https?://"&amp;"[^ /]+"")),""Ошибка: некорректная ссылка"",COUNTIF('Справочники'!$A$4:$A$24,C104)=0,""Ошибка: территория вне справочника"",K104=""Недоступен"",""Ошибка: ссылка недоступна"",E104=""Неофициальный источник"",IF(K104=""Активен"",""Готово"",""Проверить: активн"&amp;"ость""),I104&lt;&gt;""Подтверждено"",""Проверить: официальность / комментарий"",K104&lt;&gt;""Активен"",""Проверить: активность"",AND(ISNUMBER(J104),J104&lt;TODAY()-30),""Проверить: публикации старше 30 дней"",TRUE,""Готово""))"),"Готово")</f>
        <v>Готово</v>
      </c>
    </row>
    <row r="105" spans="1:13" ht="25.5" customHeight="1">
      <c r="A105" s="23" t="s">
        <v>78</v>
      </c>
      <c r="B105" s="13">
        <v>46267</v>
      </c>
      <c r="C105" s="23" t="s">
        <v>84</v>
      </c>
      <c r="D105" s="24" t="s">
        <v>391</v>
      </c>
      <c r="E105" s="23" t="s">
        <v>75</v>
      </c>
      <c r="F105" s="23" t="s">
        <v>14</v>
      </c>
      <c r="G105" s="24" t="s">
        <v>392</v>
      </c>
      <c r="H105" s="26" t="s">
        <v>393</v>
      </c>
      <c r="I105" s="24" t="s">
        <v>17</v>
      </c>
      <c r="J105" s="13"/>
      <c r="K105" s="23" t="s">
        <v>18</v>
      </c>
      <c r="L105" s="24" t="s">
        <v>394</v>
      </c>
      <c r="M105" s="21" t="str">
        <f ca="1">IFERROR(__xludf.DUMMYFUNCTION("IF(COUNTA(A105:L105)=0,"""",IFS(AND(H105&lt;&gt;"""",COUNTIF($H$6:$H$504,H105)&gt;1),""Ошибка: повтор URL"",OR(A105="""",B105="""",C105="""",D105="""",E105="""",F105="""",G105="""",H105="""",K105=""""),""Ошибка: обязательные поля"",NOT(REGEXMATCH(H105,""^https?://"&amp;"[^ /]+"")),""Ошибка: некорректная ссылка"",COUNTIF('Справочники'!$A$4:$A$24,C105)=0,""Ошибка: территория вне справочника"",K105=""Недоступен"",""Ошибка: ссылка недоступна"",E105=""Неофициальный источник"",IF(K105=""Активен"",""Готово"",""Проверить: активн"&amp;"ость""),I105&lt;&gt;""Подтверждено"",""Проверить: официальность / комментарий"",K105&lt;&gt;""Активен"",""Проверить: активность"",AND(ISNUMBER(J105),J105&lt;TODAY()-30),""Проверить: публикации старше 30 дней"",TRUE,""Готово""))"),"Готово")</f>
        <v>Готово</v>
      </c>
    </row>
    <row r="106" spans="1:13" ht="25.5" customHeight="1">
      <c r="A106" s="23" t="s">
        <v>78</v>
      </c>
      <c r="B106" s="13">
        <v>46267</v>
      </c>
      <c r="C106" s="23" t="s">
        <v>12</v>
      </c>
      <c r="D106" s="24" t="s">
        <v>395</v>
      </c>
      <c r="E106" s="23" t="s">
        <v>75</v>
      </c>
      <c r="F106" s="23" t="s">
        <v>14</v>
      </c>
      <c r="G106" s="24" t="s">
        <v>396</v>
      </c>
      <c r="H106" s="26" t="s">
        <v>397</v>
      </c>
      <c r="I106" s="24" t="s">
        <v>27</v>
      </c>
      <c r="J106" s="13"/>
      <c r="K106" s="23" t="s">
        <v>18</v>
      </c>
      <c r="L106" s="24" t="s">
        <v>186</v>
      </c>
      <c r="M106" s="21" t="str">
        <f ca="1">IFERROR(__xludf.DUMMYFUNCTION("IF(COUNTA(A106:L106)=0,"""",IFS(AND(H106&lt;&gt;"""",COUNTIF($H$6:$H$504,H106)&gt;1),""Ошибка: повтор URL"",OR(A106="""",B106="""",C106="""",D106="""",E106="""",F106="""",G106="""",H106="""",K106=""""),""Ошибка: обязательные поля"",NOT(REGEXMATCH(H106,""^https?://"&amp;"[^ /]+"")),""Ошибка: некорректная ссылка"",COUNTIF('Справочники'!$A$4:$A$24,C106)=0,""Ошибка: территория вне справочника"",K106=""Недоступен"",""Ошибка: ссылка недоступна"",E106=""Неофициальный источник"",IF(K106=""Активен"",""Готово"",""Проверить: активн"&amp;"ость""),I106&lt;&gt;""Подтверждено"",""Проверить: официальность / комментарий"",K106&lt;&gt;""Активен"",""Проверить: активность"",AND(ISNUMBER(J106),J106&lt;TODAY()-30),""Проверить: публикации старше 30 дней"",TRUE,""Готово""))"),"Готово")</f>
        <v>Готово</v>
      </c>
    </row>
    <row r="107" spans="1:13" ht="25.5" customHeight="1">
      <c r="A107" s="23" t="s">
        <v>78</v>
      </c>
      <c r="B107" s="13">
        <v>46267</v>
      </c>
      <c r="C107" s="23" t="s">
        <v>89</v>
      </c>
      <c r="D107" s="24" t="s">
        <v>232</v>
      </c>
      <c r="E107" s="23" t="s">
        <v>75</v>
      </c>
      <c r="F107" s="23" t="s">
        <v>14</v>
      </c>
      <c r="G107" s="24" t="s">
        <v>398</v>
      </c>
      <c r="H107" s="26" t="s">
        <v>399</v>
      </c>
      <c r="I107" s="24" t="s">
        <v>27</v>
      </c>
      <c r="J107" s="13"/>
      <c r="K107" s="23" t="s">
        <v>18</v>
      </c>
      <c r="L107" s="24" t="s">
        <v>186</v>
      </c>
      <c r="M107" s="21" t="str">
        <f ca="1">IFERROR(__xludf.DUMMYFUNCTION("IF(COUNTA(A107:L107)=0,"""",IFS(AND(H107&lt;&gt;"""",COUNTIF($H$6:$H$504,H107)&gt;1),""Ошибка: повтор URL"",OR(A107="""",B107="""",C107="""",D107="""",E107="""",F107="""",G107="""",H107="""",K107=""""),""Ошибка: обязательные поля"",NOT(REGEXMATCH(H107,""^https?://"&amp;"[^ /]+"")),""Ошибка: некорректная ссылка"",COUNTIF('Справочники'!$A$4:$A$24,C107)=0,""Ошибка: территория вне справочника"",K107=""Недоступен"",""Ошибка: ссылка недоступна"",E107=""Неофициальный источник"",IF(K107=""Активен"",""Готово"",""Проверить: активн"&amp;"ость""),I107&lt;&gt;""Подтверждено"",""Проверить: официальность / комментарий"",K107&lt;&gt;""Активен"",""Проверить: активность"",AND(ISNUMBER(J107),J107&lt;TODAY()-30),""Проверить: публикации старше 30 дней"",TRUE,""Готово""))"),"Готово")</f>
        <v>Готово</v>
      </c>
    </row>
    <row r="108" spans="1:13" ht="25.5" customHeight="1">
      <c r="A108" s="23" t="s">
        <v>78</v>
      </c>
      <c r="B108" s="13">
        <v>46267</v>
      </c>
      <c r="C108" s="23" t="s">
        <v>12</v>
      </c>
      <c r="D108" s="24" t="s">
        <v>108</v>
      </c>
      <c r="E108" s="23" t="s">
        <v>60</v>
      </c>
      <c r="F108" s="23" t="s">
        <v>14</v>
      </c>
      <c r="G108" s="24" t="s">
        <v>400</v>
      </c>
      <c r="H108" s="26" t="s">
        <v>401</v>
      </c>
      <c r="I108" s="24" t="s">
        <v>17</v>
      </c>
      <c r="J108" s="13"/>
      <c r="K108" s="23" t="s">
        <v>18</v>
      </c>
      <c r="L108" s="24" t="s">
        <v>186</v>
      </c>
      <c r="M108" s="21" t="str">
        <f ca="1">IFERROR(__xludf.DUMMYFUNCTION("IF(COUNTA(A108:L108)=0,"""",IFS(AND(H108&lt;&gt;"""",COUNTIF($H$6:$H$504,H108)&gt;1),""Ошибка: повтор URL"",OR(A108="""",B108="""",C108="""",D108="""",E108="""",F108="""",G108="""",H108="""",K108=""""),""Ошибка: обязательные поля"",NOT(REGEXMATCH(H108,""^https?://"&amp;"[^ /]+"")),""Ошибка: некорректная ссылка"",COUNTIF('Справочники'!$A$4:$A$24,C108)=0,""Ошибка: территория вне справочника"",K108=""Недоступен"",""Ошибка: ссылка недоступна"",E108=""Неофициальный источник"",IF(K108=""Активен"",""Готово"",""Проверить: активн"&amp;"ость""),I108&lt;&gt;""Подтверждено"",""Проверить: официальность / комментарий"",K108&lt;&gt;""Активен"",""Проверить: активность"",AND(ISNUMBER(J108),J108&lt;TODAY()-30),""Проверить: публикации старше 30 дней"",TRUE,""Готово""))"),"Готово")</f>
        <v>Готово</v>
      </c>
    </row>
    <row r="109" spans="1:13" ht="25.5" customHeight="1">
      <c r="A109" s="23" t="s">
        <v>78</v>
      </c>
      <c r="B109" s="13">
        <v>46267</v>
      </c>
      <c r="C109" s="23" t="s">
        <v>84</v>
      </c>
      <c r="D109" s="24" t="s">
        <v>72</v>
      </c>
      <c r="E109" s="23" t="s">
        <v>60</v>
      </c>
      <c r="F109" s="23" t="s">
        <v>14</v>
      </c>
      <c r="G109" s="24" t="s">
        <v>402</v>
      </c>
      <c r="H109" s="26" t="s">
        <v>403</v>
      </c>
      <c r="I109" s="24" t="s">
        <v>17</v>
      </c>
      <c r="J109" s="13"/>
      <c r="K109" s="23" t="s">
        <v>18</v>
      </c>
      <c r="L109" s="24" t="s">
        <v>404</v>
      </c>
      <c r="M109" s="21" t="str">
        <f ca="1">IFERROR(__xludf.DUMMYFUNCTION("IF(COUNTA(A109:L109)=0,"""",IFS(AND(H109&lt;&gt;"""",COUNTIF($H$6:$H$504,H109)&gt;1),""Ошибка: повтор URL"",OR(A109="""",B109="""",C109="""",D109="""",E109="""",F109="""",G109="""",H109="""",K109=""""),""Ошибка: обязательные поля"",NOT(REGEXMATCH(H109,""^https?://"&amp;"[^ /]+"")),""Ошибка: некорректная ссылка"",COUNTIF('Справочники'!$A$4:$A$24,C109)=0,""Ошибка: территория вне справочника"",K109=""Недоступен"",""Ошибка: ссылка недоступна"",E109=""Неофициальный источник"",IF(K109=""Активен"",""Готово"",""Проверить: активн"&amp;"ость""),I109&lt;&gt;""Подтверждено"",""Проверить: официальность / комментарий"",K109&lt;&gt;""Активен"",""Проверить: активность"",AND(ISNUMBER(J109),J109&lt;TODAY()-30),""Проверить: публикации старше 30 дней"",TRUE,""Готово""))"),"Готово")</f>
        <v>Готово</v>
      </c>
    </row>
    <row r="110" spans="1:13" ht="25.5" customHeight="1">
      <c r="A110" s="23" t="s">
        <v>78</v>
      </c>
      <c r="B110" s="13">
        <v>46267</v>
      </c>
      <c r="C110" s="23" t="s">
        <v>105</v>
      </c>
      <c r="D110" s="24" t="s">
        <v>405</v>
      </c>
      <c r="E110" s="23" t="s">
        <v>36</v>
      </c>
      <c r="F110" s="23" t="s">
        <v>14</v>
      </c>
      <c r="G110" s="24" t="s">
        <v>406</v>
      </c>
      <c r="H110" s="26" t="s">
        <v>407</v>
      </c>
      <c r="I110" s="24" t="s">
        <v>17</v>
      </c>
      <c r="J110" s="13"/>
      <c r="K110" s="23" t="s">
        <v>18</v>
      </c>
      <c r="L110" s="24" t="s">
        <v>408</v>
      </c>
      <c r="M110" s="21" t="str">
        <f ca="1">IFERROR(__xludf.DUMMYFUNCTION("IF(COUNTA(A110:L110)=0,"""",IFS(AND(H110&lt;&gt;"""",COUNTIF($H$6:$H$504,H110)&gt;1),""Ошибка: повтор URL"",OR(A110="""",B110="""",C110="""",D110="""",E110="""",F110="""",G110="""",H110="""",K110=""""),""Ошибка: обязательные поля"",NOT(REGEXMATCH(H110,""^https?://"&amp;"[^ /]+"")),""Ошибка: некорректная ссылка"",COUNTIF('Справочники'!$A$4:$A$24,C110)=0,""Ошибка: территория вне справочника"",K110=""Недоступен"",""Ошибка: ссылка недоступна"",E110=""Неофициальный источник"",IF(K110=""Активен"",""Готово"",""Проверить: активн"&amp;"ость""),I110&lt;&gt;""Подтверждено"",""Проверить: официальность / комментарий"",K110&lt;&gt;""Активен"",""Проверить: активность"",AND(ISNUMBER(J110),J110&lt;TODAY()-30),""Проверить: публикации старше 30 дней"",TRUE,""Готово""))"),"Готово")</f>
        <v>Готово</v>
      </c>
    </row>
    <row r="111" spans="1:13" ht="25.5" customHeight="1">
      <c r="A111" s="23" t="s">
        <v>78</v>
      </c>
      <c r="B111" s="13">
        <v>46267</v>
      </c>
      <c r="C111" s="23" t="s">
        <v>89</v>
      </c>
      <c r="D111" s="24" t="s">
        <v>108</v>
      </c>
      <c r="E111" s="23" t="s">
        <v>60</v>
      </c>
      <c r="F111" s="23" t="s">
        <v>14</v>
      </c>
      <c r="G111" s="24" t="s">
        <v>409</v>
      </c>
      <c r="H111" s="26" t="s">
        <v>410</v>
      </c>
      <c r="I111" s="24" t="s">
        <v>17</v>
      </c>
      <c r="J111" s="13"/>
      <c r="K111" s="23" t="s">
        <v>18</v>
      </c>
      <c r="L111" s="24" t="s">
        <v>186</v>
      </c>
      <c r="M111" s="21" t="str">
        <f ca="1">IFERROR(__xludf.DUMMYFUNCTION("IF(COUNTA(A111:L111)=0,"""",IFS(AND(H111&lt;&gt;"""",COUNTIF($H$6:$H$504,H111)&gt;1),""Ошибка: повтор URL"",OR(A111="""",B111="""",C111="""",D111="""",E111="""",F111="""",G111="""",H111="""",K111=""""),""Ошибка: обязательные поля"",NOT(REGEXMATCH(H111,""^https?://"&amp;"[^ /]+"")),""Ошибка: некорректная ссылка"",COUNTIF('Справочники'!$A$4:$A$24,C111)=0,""Ошибка: территория вне справочника"",K111=""Недоступен"",""Ошибка: ссылка недоступна"",E111=""Неофициальный источник"",IF(K111=""Активен"",""Готово"",""Проверить: активн"&amp;"ость""),I111&lt;&gt;""Подтверждено"",""Проверить: официальность / комментарий"",K111&lt;&gt;""Активен"",""Проверить: активность"",AND(ISNUMBER(J111),J111&lt;TODAY()-30),""Проверить: публикации старше 30 дней"",TRUE,""Готово""))"),"Готово")</f>
        <v>Готово</v>
      </c>
    </row>
    <row r="112" spans="1:13" ht="25.5" customHeight="1">
      <c r="A112" s="23" t="s">
        <v>78</v>
      </c>
      <c r="B112" s="13">
        <v>46267</v>
      </c>
      <c r="C112" s="23" t="s">
        <v>105</v>
      </c>
      <c r="D112" s="24" t="s">
        <v>249</v>
      </c>
      <c r="E112" s="23" t="s">
        <v>75</v>
      </c>
      <c r="F112" s="23" t="s">
        <v>14</v>
      </c>
      <c r="G112" s="24" t="s">
        <v>411</v>
      </c>
      <c r="H112" s="26" t="s">
        <v>412</v>
      </c>
      <c r="I112" s="24" t="s">
        <v>27</v>
      </c>
      <c r="J112" s="13"/>
      <c r="K112" s="23" t="s">
        <v>18</v>
      </c>
      <c r="L112" s="24" t="s">
        <v>186</v>
      </c>
      <c r="M112" s="21" t="str">
        <f ca="1">IFERROR(__xludf.DUMMYFUNCTION("IF(COUNTA(A112:L112)=0,"""",IFS(AND(H112&lt;&gt;"""",COUNTIF($H$6:$H$504,H112)&gt;1),""Ошибка: повтор URL"",OR(A112="""",B112="""",C112="""",D112="""",E112="""",F112="""",G112="""",H112="""",K112=""""),""Ошибка: обязательные поля"",NOT(REGEXMATCH(H112,""^https?://"&amp;"[^ /]+"")),""Ошибка: некорректная ссылка"",COUNTIF('Справочники'!$A$4:$A$24,C112)=0,""Ошибка: территория вне справочника"",K112=""Недоступен"",""Ошибка: ссылка недоступна"",E112=""Неофициальный источник"",IF(K112=""Активен"",""Готово"",""Проверить: активн"&amp;"ость""),I112&lt;&gt;""Подтверждено"",""Проверить: официальность / комментарий"",K112&lt;&gt;""Активен"",""Проверить: активность"",AND(ISNUMBER(J112),J112&lt;TODAY()-30),""Проверить: публикации старше 30 дней"",TRUE,""Готово""))"),"Готово")</f>
        <v>Готово</v>
      </c>
    </row>
    <row r="113" spans="1:13" ht="25.5" customHeight="1">
      <c r="A113" s="23" t="s">
        <v>78</v>
      </c>
      <c r="B113" s="13">
        <v>46267</v>
      </c>
      <c r="C113" s="23" t="s">
        <v>105</v>
      </c>
      <c r="D113" s="24" t="s">
        <v>108</v>
      </c>
      <c r="E113" s="23" t="s">
        <v>60</v>
      </c>
      <c r="F113" s="23" t="s">
        <v>14</v>
      </c>
      <c r="G113" s="24" t="s">
        <v>413</v>
      </c>
      <c r="H113" s="26" t="s">
        <v>414</v>
      </c>
      <c r="I113" s="24" t="s">
        <v>17</v>
      </c>
      <c r="J113" s="13"/>
      <c r="K113" s="23" t="s">
        <v>18</v>
      </c>
      <c r="L113" s="24" t="s">
        <v>186</v>
      </c>
      <c r="M113" s="21" t="str">
        <f ca="1">IFERROR(__xludf.DUMMYFUNCTION("IF(COUNTA(A113:L113)=0,"""",IFS(AND(H113&lt;&gt;"""",COUNTIF($H$6:$H$504,H113)&gt;1),""Ошибка: повтор URL"",OR(A113="""",B113="""",C113="""",D113="""",E113="""",F113="""",G113="""",H113="""",K113=""""),""Ошибка: обязательные поля"",NOT(REGEXMATCH(H113,""^https?://"&amp;"[^ /]+"")),""Ошибка: некорректная ссылка"",COUNTIF('Справочники'!$A$4:$A$24,C113)=0,""Ошибка: территория вне справочника"",K113=""Недоступен"",""Ошибка: ссылка недоступна"",E113=""Неофициальный источник"",IF(K113=""Активен"",""Готово"",""Проверить: активн"&amp;"ость""),I113&lt;&gt;""Подтверждено"",""Проверить: официальность / комментарий"",K113&lt;&gt;""Активен"",""Проверить: активность"",AND(ISNUMBER(J113),J113&lt;TODAY()-30),""Проверить: публикации старше 30 дней"",TRUE,""Готово""))"),"Готово")</f>
        <v>Готово</v>
      </c>
    </row>
    <row r="114" spans="1:13" ht="25.5" customHeight="1">
      <c r="A114" s="23" t="s">
        <v>78</v>
      </c>
      <c r="B114" s="13">
        <v>46267</v>
      </c>
      <c r="C114" s="23" t="s">
        <v>84</v>
      </c>
      <c r="D114" s="24" t="s">
        <v>327</v>
      </c>
      <c r="E114" s="23" t="s">
        <v>60</v>
      </c>
      <c r="F114" s="23" t="s">
        <v>14</v>
      </c>
      <c r="G114" s="24" t="s">
        <v>415</v>
      </c>
      <c r="H114" s="42" t="s">
        <v>416</v>
      </c>
      <c r="I114" s="24" t="s">
        <v>17</v>
      </c>
      <c r="J114" s="13"/>
      <c r="K114" s="23" t="s">
        <v>18</v>
      </c>
      <c r="L114" s="24" t="s">
        <v>198</v>
      </c>
      <c r="M114" s="21" t="str">
        <f ca="1">IFERROR(__xludf.DUMMYFUNCTION("IF(COUNTA(A114:L114)=0,"""",IFS(AND(H114&lt;&gt;"""",COUNTIF($H$6:$H$504,H114)&gt;1),""Ошибка: повтор URL"",OR(A114="""",B114="""",C114="""",D114="""",E114="""",F114="""",G114="""",H114="""",K114=""""),""Ошибка: обязательные поля"",NOT(REGEXMATCH(H114,""^https?://"&amp;"[^ /]+"")),""Ошибка: некорректная ссылка"",COUNTIF('Справочники'!$A$4:$A$24,C114)=0,""Ошибка: территория вне справочника"",K114=""Недоступен"",""Ошибка: ссылка недоступна"",E114=""Неофициальный источник"",IF(K114=""Активен"",""Готово"",""Проверить: активн"&amp;"ость""),I114&lt;&gt;""Подтверждено"",""Проверить: официальность / комментарий"",K114&lt;&gt;""Активен"",""Проверить: активность"",AND(ISNUMBER(J114),J114&lt;TODAY()-30),""Проверить: публикации старше 30 дней"",TRUE,""Готово""))"),"Готово")</f>
        <v>Готово</v>
      </c>
    </row>
    <row r="115" spans="1:13" ht="25.5" customHeight="1">
      <c r="A115" s="23" t="s">
        <v>78</v>
      </c>
      <c r="B115" s="13">
        <v>46267</v>
      </c>
      <c r="C115" s="23" t="s">
        <v>89</v>
      </c>
      <c r="D115" s="24" t="s">
        <v>280</v>
      </c>
      <c r="E115" s="23" t="s">
        <v>16</v>
      </c>
      <c r="F115" s="23" t="s">
        <v>34</v>
      </c>
      <c r="G115" s="24" t="s">
        <v>417</v>
      </c>
      <c r="H115" s="26" t="s">
        <v>418</v>
      </c>
      <c r="I115" s="24" t="s">
        <v>17</v>
      </c>
      <c r="J115" s="13"/>
      <c r="K115" s="23" t="s">
        <v>18</v>
      </c>
      <c r="L115" s="24" t="s">
        <v>103</v>
      </c>
      <c r="M115" s="21" t="str">
        <f ca="1">IFERROR(__xludf.DUMMYFUNCTION("IF(COUNTA(A115:L115)=0,"""",IFS(AND(H115&lt;&gt;"""",COUNTIF($H$6:$H$504,H115)&gt;1),""Ошибка: повтор URL"",OR(A115="""",B115="""",C115="""",D115="""",E115="""",F115="""",G115="""",H115="""",K115=""""),""Ошибка: обязательные поля"",NOT(REGEXMATCH(H115,""^https?://"&amp;"[^ /]+"")),""Ошибка: некорректная ссылка"",COUNTIF('Справочники'!$A$4:$A$24,C115)=0,""Ошибка: территория вне справочника"",K115=""Недоступен"",""Ошибка: ссылка недоступна"",E115=""Неофициальный источник"",IF(K115=""Активен"",""Готово"",""Проверить: активн"&amp;"ость""),I115&lt;&gt;""Подтверждено"",""Проверить: официальность / комментарий"",K115&lt;&gt;""Активен"",""Проверить: активность"",AND(ISNUMBER(J115),J115&lt;TODAY()-30),""Проверить: публикации старше 30 дней"",TRUE,""Готово""))"),"Готово")</f>
        <v>Готово</v>
      </c>
    </row>
    <row r="116" spans="1:13" ht="25.5" customHeight="1">
      <c r="A116" s="23" t="s">
        <v>78</v>
      </c>
      <c r="B116" s="13">
        <v>46267</v>
      </c>
      <c r="C116" s="23" t="s">
        <v>89</v>
      </c>
      <c r="D116" s="24" t="s">
        <v>419</v>
      </c>
      <c r="E116" s="23" t="s">
        <v>16</v>
      </c>
      <c r="F116" s="23" t="s">
        <v>34</v>
      </c>
      <c r="G116" s="24" t="s">
        <v>419</v>
      </c>
      <c r="H116" s="26" t="s">
        <v>420</v>
      </c>
      <c r="I116" s="24" t="s">
        <v>17</v>
      </c>
      <c r="J116" s="13"/>
      <c r="K116" s="23" t="s">
        <v>18</v>
      </c>
      <c r="L116" s="24" t="s">
        <v>103</v>
      </c>
      <c r="M116" s="21" t="str">
        <f ca="1">IFERROR(__xludf.DUMMYFUNCTION("IF(COUNTA(A116:L116)=0,"""",IFS(AND(H116&lt;&gt;"""",COUNTIF($H$6:$H$504,H116)&gt;1),""Ошибка: повтор URL"",OR(A116="""",B116="""",C116="""",D116="""",E116="""",F116="""",G116="""",H116="""",K116=""""),""Ошибка: обязательные поля"",NOT(REGEXMATCH(H116,""^https?://"&amp;"[^ /]+"")),""Ошибка: некорректная ссылка"",COUNTIF('Справочники'!$A$4:$A$24,C116)=0,""Ошибка: территория вне справочника"",K116=""Недоступен"",""Ошибка: ссылка недоступна"",E116=""Неофициальный источник"",IF(K116=""Активен"",""Готово"",""Проверить: активн"&amp;"ость""),I116&lt;&gt;""Подтверждено"",""Проверить: официальность / комментарий"",K116&lt;&gt;""Активен"",""Проверить: активность"",AND(ISNUMBER(J116),J116&lt;TODAY()-30),""Проверить: публикации старше 30 дней"",TRUE,""Готово""))"),"Готово")</f>
        <v>Готово</v>
      </c>
    </row>
    <row r="117" spans="1:13" ht="25.5" customHeight="1">
      <c r="A117" s="23" t="s">
        <v>78</v>
      </c>
      <c r="B117" s="13">
        <v>46267</v>
      </c>
      <c r="C117" s="23" t="s">
        <v>89</v>
      </c>
      <c r="D117" s="24" t="s">
        <v>421</v>
      </c>
      <c r="E117" s="23" t="s">
        <v>16</v>
      </c>
      <c r="F117" s="23" t="s">
        <v>34</v>
      </c>
      <c r="G117" s="24" t="s">
        <v>421</v>
      </c>
      <c r="H117" s="26" t="s">
        <v>422</v>
      </c>
      <c r="I117" s="24" t="s">
        <v>17</v>
      </c>
      <c r="J117" s="13"/>
      <c r="K117" s="23" t="s">
        <v>18</v>
      </c>
      <c r="L117" s="24" t="s">
        <v>103</v>
      </c>
      <c r="M117" s="21" t="str">
        <f ca="1">IFERROR(__xludf.DUMMYFUNCTION("IF(COUNTA(A117:L117)=0,"""",IFS(AND(H117&lt;&gt;"""",COUNTIF($H$6:$H$504,H117)&gt;1),""Ошибка: повтор URL"",OR(A117="""",B117="""",C117="""",D117="""",E117="""",F117="""",G117="""",H117="""",K117=""""),""Ошибка: обязательные поля"",NOT(REGEXMATCH(H117,""^https?://"&amp;"[^ /]+"")),""Ошибка: некорректная ссылка"",COUNTIF('Справочники'!$A$4:$A$24,C117)=0,""Ошибка: территория вне справочника"",K117=""Недоступен"",""Ошибка: ссылка недоступна"",E117=""Неофициальный источник"",IF(K117=""Активен"",""Готово"",""Проверить: активн"&amp;"ость""),I117&lt;&gt;""Подтверждено"",""Проверить: официальность / комментарий"",K117&lt;&gt;""Активен"",""Проверить: активность"",AND(ISNUMBER(J117),J117&lt;TODAY()-30),""Проверить: публикации старше 30 дней"",TRUE,""Готово""))"),"Готово")</f>
        <v>Готово</v>
      </c>
    </row>
    <row r="118" spans="1:13" ht="25.5" customHeight="1">
      <c r="A118" s="23" t="s">
        <v>78</v>
      </c>
      <c r="B118" s="13">
        <v>46267</v>
      </c>
      <c r="C118" s="23" t="s">
        <v>84</v>
      </c>
      <c r="D118" s="24" t="s">
        <v>423</v>
      </c>
      <c r="E118" s="23" t="s">
        <v>51</v>
      </c>
      <c r="F118" s="23" t="s">
        <v>34</v>
      </c>
      <c r="G118" s="24" t="s">
        <v>423</v>
      </c>
      <c r="H118" s="26" t="s">
        <v>424</v>
      </c>
      <c r="I118" s="24" t="s">
        <v>17</v>
      </c>
      <c r="J118" s="13"/>
      <c r="K118" s="23" t="s">
        <v>18</v>
      </c>
      <c r="L118" s="24" t="s">
        <v>103</v>
      </c>
      <c r="M118" s="21" t="str">
        <f ca="1">IFERROR(__xludf.DUMMYFUNCTION("IF(COUNTA(A118:L118)=0,"""",IFS(AND(H118&lt;&gt;"""",COUNTIF($H$6:$H$504,H118)&gt;1),""Ошибка: повтор URL"",OR(A118="""",B118="""",C118="""",D118="""",E118="""",F118="""",G118="""",H118="""",K118=""""),""Ошибка: обязательные поля"",NOT(REGEXMATCH(H118,""^https?://"&amp;"[^ /]+"")),""Ошибка: некорректная ссылка"",COUNTIF('Справочники'!$A$4:$A$24,C118)=0,""Ошибка: территория вне справочника"",K118=""Недоступен"",""Ошибка: ссылка недоступна"",E118=""Неофициальный источник"",IF(K118=""Активен"",""Готово"",""Проверить: активн"&amp;"ость""),I118&lt;&gt;""Подтверждено"",""Проверить: официальность / комментарий"",K118&lt;&gt;""Активен"",""Проверить: активность"",AND(ISNUMBER(J118),J118&lt;TODAY()-30),""Проверить: публикации старше 30 дней"",TRUE,""Готово""))"),"Готово")</f>
        <v>Готово</v>
      </c>
    </row>
    <row r="119" spans="1:13" ht="25.5" customHeight="1">
      <c r="A119" s="23" t="s">
        <v>78</v>
      </c>
      <c r="B119" s="13">
        <v>46267</v>
      </c>
      <c r="C119" s="23" t="s">
        <v>84</v>
      </c>
      <c r="D119" s="24" t="s">
        <v>339</v>
      </c>
      <c r="E119" s="23" t="s">
        <v>36</v>
      </c>
      <c r="F119" s="23" t="s">
        <v>34</v>
      </c>
      <c r="G119" s="24" t="s">
        <v>339</v>
      </c>
      <c r="H119" s="26" t="s">
        <v>425</v>
      </c>
      <c r="I119" s="24" t="s">
        <v>17</v>
      </c>
      <c r="J119" s="13"/>
      <c r="K119" s="23" t="s">
        <v>18</v>
      </c>
      <c r="L119" s="24" t="s">
        <v>103</v>
      </c>
      <c r="M119" s="21" t="str">
        <f ca="1">IFERROR(__xludf.DUMMYFUNCTION("IF(COUNTA(A119:L119)=0,"""",IFS(AND(H119&lt;&gt;"""",COUNTIF($H$6:$H$504,H119)&gt;1),""Ошибка: повтор URL"",OR(A119="""",B119="""",C119="""",D119="""",E119="""",F119="""",G119="""",H119="""",K119=""""),""Ошибка: обязательные поля"",NOT(REGEXMATCH(H119,""^https?://"&amp;"[^ /]+"")),""Ошибка: некорректная ссылка"",COUNTIF('Справочники'!$A$4:$A$24,C119)=0,""Ошибка: территория вне справочника"",K119=""Недоступен"",""Ошибка: ссылка недоступна"",E119=""Неофициальный источник"",IF(K119=""Активен"",""Готово"",""Проверить: активн"&amp;"ость""),I119&lt;&gt;""Подтверждено"",""Проверить: официальность / комментарий"",K119&lt;&gt;""Активен"",""Проверить: активность"",AND(ISNUMBER(J119),J119&lt;TODAY()-30),""Проверить: публикации старше 30 дней"",TRUE,""Готово""))"),"Готово")</f>
        <v>Готово</v>
      </c>
    </row>
    <row r="120" spans="1:13" ht="25.5" customHeight="1">
      <c r="A120" s="23" t="s">
        <v>78</v>
      </c>
      <c r="B120" s="13">
        <v>46267</v>
      </c>
      <c r="C120" s="23" t="s">
        <v>89</v>
      </c>
      <c r="D120" s="24" t="s">
        <v>426</v>
      </c>
      <c r="E120" s="23" t="s">
        <v>45</v>
      </c>
      <c r="F120" s="23" t="s">
        <v>34</v>
      </c>
      <c r="G120" s="24" t="s">
        <v>426</v>
      </c>
      <c r="H120" s="26" t="s">
        <v>427</v>
      </c>
      <c r="I120" s="24" t="s">
        <v>17</v>
      </c>
      <c r="J120" s="13"/>
      <c r="K120" s="23" t="s">
        <v>18</v>
      </c>
      <c r="L120" s="24" t="s">
        <v>103</v>
      </c>
      <c r="M120" s="21" t="str">
        <f ca="1">IFERROR(__xludf.DUMMYFUNCTION("IF(COUNTA(A120:L120)=0,"""",IFS(AND(H120&lt;&gt;"""",COUNTIF($H$6:$H$504,H120)&gt;1),""Ошибка: повтор URL"",OR(A120="""",B120="""",C120="""",D120="""",E120="""",F120="""",G120="""",H120="""",K120=""""),""Ошибка: обязательные поля"",NOT(REGEXMATCH(H120,""^https?://"&amp;"[^ /]+"")),""Ошибка: некорректная ссылка"",COUNTIF('Справочники'!$A$4:$A$24,C120)=0,""Ошибка: территория вне справочника"",K120=""Недоступен"",""Ошибка: ссылка недоступна"",E120=""Неофициальный источник"",IF(K120=""Активен"",""Готово"",""Проверить: активн"&amp;"ость""),I120&lt;&gt;""Подтверждено"",""Проверить: официальность / комментарий"",K120&lt;&gt;""Активен"",""Проверить: активность"",AND(ISNUMBER(J120),J120&lt;TODAY()-30),""Проверить: публикации старше 30 дней"",TRUE,""Готово""))"),"Готово")</f>
        <v>Готово</v>
      </c>
    </row>
    <row r="121" spans="1:13" ht="25.5" customHeight="1">
      <c r="A121" s="23" t="s">
        <v>78</v>
      </c>
      <c r="B121" s="13">
        <v>46267</v>
      </c>
      <c r="C121" s="23" t="s">
        <v>89</v>
      </c>
      <c r="D121" s="24" t="s">
        <v>428</v>
      </c>
      <c r="E121" s="23" t="s">
        <v>45</v>
      </c>
      <c r="F121" s="23" t="s">
        <v>34</v>
      </c>
      <c r="G121" s="24" t="s">
        <v>428</v>
      </c>
      <c r="H121" s="26" t="s">
        <v>429</v>
      </c>
      <c r="I121" s="24" t="s">
        <v>17</v>
      </c>
      <c r="J121" s="13"/>
      <c r="K121" s="23" t="s">
        <v>18</v>
      </c>
      <c r="L121" s="24" t="s">
        <v>103</v>
      </c>
      <c r="M121" s="21" t="str">
        <f ca="1">IFERROR(__xludf.DUMMYFUNCTION("IF(COUNTA(A121:L121)=0,"""",IFS(AND(H121&lt;&gt;"""",COUNTIF($H$6:$H$504,H121)&gt;1),""Ошибка: повтор URL"",OR(A121="""",B121="""",C121="""",D121="""",E121="""",F121="""",G121="""",H121="""",K121=""""),""Ошибка: обязательные поля"",NOT(REGEXMATCH(H121,""^https?://"&amp;"[^ /]+"")),""Ошибка: некорректная ссылка"",COUNTIF('Справочники'!$A$4:$A$24,C121)=0,""Ошибка: территория вне справочника"",K121=""Недоступен"",""Ошибка: ссылка недоступна"",E121=""Неофициальный источник"",IF(K121=""Активен"",""Готово"",""Проверить: активн"&amp;"ость""),I121&lt;&gt;""Подтверждено"",""Проверить: официальность / комментарий"",K121&lt;&gt;""Активен"",""Проверить: активность"",AND(ISNUMBER(J121),J121&lt;TODAY()-30),""Проверить: публикации старше 30 дней"",TRUE,""Готово""))"),"Готово")</f>
        <v>Готово</v>
      </c>
    </row>
    <row r="122" spans="1:13" ht="25.5" customHeight="1">
      <c r="A122" s="23" t="s">
        <v>78</v>
      </c>
      <c r="B122" s="13">
        <v>46267</v>
      </c>
      <c r="C122" s="23" t="s">
        <v>84</v>
      </c>
      <c r="D122" s="24" t="s">
        <v>430</v>
      </c>
      <c r="E122" s="23" t="s">
        <v>51</v>
      </c>
      <c r="F122" s="23" t="s">
        <v>34</v>
      </c>
      <c r="G122" s="24" t="s">
        <v>430</v>
      </c>
      <c r="H122" s="26" t="s">
        <v>431</v>
      </c>
      <c r="I122" s="24" t="s">
        <v>17</v>
      </c>
      <c r="J122" s="13"/>
      <c r="K122" s="23" t="s">
        <v>18</v>
      </c>
      <c r="L122" s="24" t="s">
        <v>103</v>
      </c>
      <c r="M122" s="21" t="str">
        <f ca="1">IFERROR(__xludf.DUMMYFUNCTION("IF(COUNTA(A122:L122)=0,"""",IFS(AND(H122&lt;&gt;"""",COUNTIF($H$6:$H$504,H122)&gt;1),""Ошибка: повтор URL"",OR(A122="""",B122="""",C122="""",D122="""",E122="""",F122="""",G122="""",H122="""",K122=""""),""Ошибка: обязательные поля"",NOT(REGEXMATCH(H122,""^https?://"&amp;"[^ /]+"")),""Ошибка: некорректная ссылка"",COUNTIF('Справочники'!$A$4:$A$24,C122)=0,""Ошибка: территория вне справочника"",K122=""Недоступен"",""Ошибка: ссылка недоступна"",E122=""Неофициальный источник"",IF(K122=""Активен"",""Готово"",""Проверить: активн"&amp;"ость""),I122&lt;&gt;""Подтверждено"",""Проверить: официальность / комментарий"",K122&lt;&gt;""Активен"",""Проверить: активность"",AND(ISNUMBER(J122),J122&lt;TODAY()-30),""Проверить: публикации старше 30 дней"",TRUE,""Готово""))"),"Готово")</f>
        <v>Готово</v>
      </c>
    </row>
    <row r="123" spans="1:13" ht="25.5" customHeight="1">
      <c r="A123" s="23" t="s">
        <v>78</v>
      </c>
      <c r="B123" s="13">
        <v>46267</v>
      </c>
      <c r="C123" s="23" t="s">
        <v>84</v>
      </c>
      <c r="D123" s="24" t="s">
        <v>305</v>
      </c>
      <c r="E123" s="23" t="s">
        <v>51</v>
      </c>
      <c r="F123" s="23" t="s">
        <v>34</v>
      </c>
      <c r="G123" s="24" t="s">
        <v>305</v>
      </c>
      <c r="H123" s="26" t="s">
        <v>432</v>
      </c>
      <c r="I123" s="24" t="s">
        <v>17</v>
      </c>
      <c r="J123" s="13"/>
      <c r="K123" s="23" t="s">
        <v>18</v>
      </c>
      <c r="L123" s="24" t="s">
        <v>103</v>
      </c>
      <c r="M123" s="21" t="str">
        <f ca="1">IFERROR(__xludf.DUMMYFUNCTION("IF(COUNTA(A123:L123)=0,"""",IFS(AND(H123&lt;&gt;"""",COUNTIF($H$6:$H$504,H123)&gt;1),""Ошибка: повтор URL"",OR(A123="""",B123="""",C123="""",D123="""",E123="""",F123="""",G123="""",H123="""",K123=""""),""Ошибка: обязательные поля"",NOT(REGEXMATCH(H123,""^https?://"&amp;"[^ /]+"")),""Ошибка: некорректная ссылка"",COUNTIF('Справочники'!$A$4:$A$24,C123)=0,""Ошибка: территория вне справочника"",K123=""Недоступен"",""Ошибка: ссылка недоступна"",E123=""Неофициальный источник"",IF(K123=""Активен"",""Готово"",""Проверить: активн"&amp;"ость""),I123&lt;&gt;""Подтверждено"",""Проверить: официальность / комментарий"",K123&lt;&gt;""Активен"",""Проверить: активность"",AND(ISNUMBER(J123),J123&lt;TODAY()-30),""Проверить: публикации старше 30 дней"",TRUE,""Готово""))"),"Готово")</f>
        <v>Готово</v>
      </c>
    </row>
    <row r="124" spans="1:13" ht="25.5" customHeight="1">
      <c r="A124" s="23" t="s">
        <v>78</v>
      </c>
      <c r="B124" s="13">
        <v>46267</v>
      </c>
      <c r="C124" s="23" t="s">
        <v>89</v>
      </c>
      <c r="D124" s="24" t="s">
        <v>132</v>
      </c>
      <c r="E124" s="23" t="s">
        <v>25</v>
      </c>
      <c r="F124" s="23" t="s">
        <v>34</v>
      </c>
      <c r="G124" s="24" t="s">
        <v>132</v>
      </c>
      <c r="H124" s="26" t="s">
        <v>433</v>
      </c>
      <c r="I124" s="24" t="s">
        <v>17</v>
      </c>
      <c r="J124" s="13"/>
      <c r="K124" s="23" t="s">
        <v>18</v>
      </c>
      <c r="L124" s="24" t="s">
        <v>103</v>
      </c>
      <c r="M124" s="21" t="str">
        <f ca="1">IFERROR(__xludf.DUMMYFUNCTION("IF(COUNTA(A124:L124)=0,"""",IFS(AND(H124&lt;&gt;"""",COUNTIF($H$6:$H$504,H124)&gt;1),""Ошибка: повтор URL"",OR(A124="""",B124="""",C124="""",D124="""",E124="""",F124="""",G124="""",H124="""",K124=""""),""Ошибка: обязательные поля"",NOT(REGEXMATCH(H124,""^https?://"&amp;"[^ /]+"")),""Ошибка: некорректная ссылка"",COUNTIF('Справочники'!$A$4:$A$24,C124)=0,""Ошибка: территория вне справочника"",K124=""Недоступен"",""Ошибка: ссылка недоступна"",E124=""Неофициальный источник"",IF(K124=""Активен"",""Готово"",""Проверить: активн"&amp;"ость""),I124&lt;&gt;""Подтверждено"",""Проверить: официальность / комментарий"",K124&lt;&gt;""Активен"",""Проверить: активность"",AND(ISNUMBER(J124),J124&lt;TODAY()-30),""Проверить: публикации старше 30 дней"",TRUE,""Готово""))"),"Готово")</f>
        <v>Готово</v>
      </c>
    </row>
    <row r="125" spans="1:13" ht="25.5" customHeight="1">
      <c r="A125" s="23" t="s">
        <v>78</v>
      </c>
      <c r="B125" s="13">
        <v>46267</v>
      </c>
      <c r="C125" s="23" t="s">
        <v>89</v>
      </c>
      <c r="D125" s="24" t="s">
        <v>434</v>
      </c>
      <c r="E125" s="23" t="s">
        <v>45</v>
      </c>
      <c r="F125" s="23" t="s">
        <v>34</v>
      </c>
      <c r="G125" s="24" t="s">
        <v>434</v>
      </c>
      <c r="H125" s="26" t="s">
        <v>435</v>
      </c>
      <c r="I125" s="24" t="s">
        <v>17</v>
      </c>
      <c r="J125" s="13"/>
      <c r="K125" s="23" t="s">
        <v>18</v>
      </c>
      <c r="L125" s="24" t="s">
        <v>103</v>
      </c>
      <c r="M125" s="21" t="str">
        <f ca="1">IFERROR(__xludf.DUMMYFUNCTION("IF(COUNTA(A125:L125)=0,"""",IFS(AND(H125&lt;&gt;"""",COUNTIF($H$6:$H$504,H125)&gt;1),""Ошибка: повтор URL"",OR(A125="""",B125="""",C125="""",D125="""",E125="""",F125="""",G125="""",H125="""",K125=""""),""Ошибка: обязательные поля"",NOT(REGEXMATCH(H125,""^https?://"&amp;"[^ /]+"")),""Ошибка: некорректная ссылка"",COUNTIF('Справочники'!$A$4:$A$24,C125)=0,""Ошибка: территория вне справочника"",K125=""Недоступен"",""Ошибка: ссылка недоступна"",E125=""Неофициальный источник"",IF(K125=""Активен"",""Готово"",""Проверить: активн"&amp;"ость""),I125&lt;&gt;""Подтверждено"",""Проверить: официальность / комментарий"",K125&lt;&gt;""Активен"",""Проверить: активность"",AND(ISNUMBER(J125),J125&lt;TODAY()-30),""Проверить: публикации старше 30 дней"",TRUE,""Готово""))"),"Готово")</f>
        <v>Готово</v>
      </c>
    </row>
    <row r="126" spans="1:13" ht="25.5" customHeight="1">
      <c r="A126" s="23" t="s">
        <v>78</v>
      </c>
      <c r="B126" s="13">
        <v>46267</v>
      </c>
      <c r="C126" s="23" t="s">
        <v>89</v>
      </c>
      <c r="D126" s="24" t="s">
        <v>436</v>
      </c>
      <c r="E126" s="23" t="s">
        <v>45</v>
      </c>
      <c r="F126" s="23" t="s">
        <v>34</v>
      </c>
      <c r="G126" s="24" t="s">
        <v>436</v>
      </c>
      <c r="H126" s="26" t="s">
        <v>437</v>
      </c>
      <c r="I126" s="24" t="s">
        <v>17</v>
      </c>
      <c r="J126" s="13"/>
      <c r="K126" s="23" t="s">
        <v>18</v>
      </c>
      <c r="L126" s="24" t="s">
        <v>103</v>
      </c>
      <c r="M126" s="21" t="str">
        <f ca="1">IFERROR(__xludf.DUMMYFUNCTION("IF(COUNTA(A126:L126)=0,"""",IFS(AND(H126&lt;&gt;"""",COUNTIF($H$6:$H$504,H126)&gt;1),""Ошибка: повтор URL"",OR(A126="""",B126="""",C126="""",D126="""",E126="""",F126="""",G126="""",H126="""",K126=""""),""Ошибка: обязательные поля"",NOT(REGEXMATCH(H126,""^https?://"&amp;"[^ /]+"")),""Ошибка: некорректная ссылка"",COUNTIF('Справочники'!$A$4:$A$24,C126)=0,""Ошибка: территория вне справочника"",K126=""Недоступен"",""Ошибка: ссылка недоступна"",E126=""Неофициальный источник"",IF(K126=""Активен"",""Готово"",""Проверить: активн"&amp;"ость""),I126&lt;&gt;""Подтверждено"",""Проверить: официальность / комментарий"",K126&lt;&gt;""Активен"",""Проверить: активность"",AND(ISNUMBER(J126),J126&lt;TODAY()-30),""Проверить: публикации старше 30 дней"",TRUE,""Готово""))"),"Готово")</f>
        <v>Готово</v>
      </c>
    </row>
    <row r="127" spans="1:13" ht="25.5" customHeight="1">
      <c r="A127" s="23" t="s">
        <v>78</v>
      </c>
      <c r="B127" s="13">
        <v>46267</v>
      </c>
      <c r="C127" s="23" t="s">
        <v>84</v>
      </c>
      <c r="D127" s="24" t="s">
        <v>438</v>
      </c>
      <c r="E127" s="23" t="s">
        <v>51</v>
      </c>
      <c r="F127" s="23" t="s">
        <v>34</v>
      </c>
      <c r="G127" s="24" t="s">
        <v>438</v>
      </c>
      <c r="H127" s="26" t="s">
        <v>439</v>
      </c>
      <c r="I127" s="24" t="s">
        <v>17</v>
      </c>
      <c r="J127" s="13"/>
      <c r="K127" s="23" t="s">
        <v>18</v>
      </c>
      <c r="L127" s="24" t="s">
        <v>103</v>
      </c>
      <c r="M127" s="21" t="str">
        <f ca="1">IFERROR(__xludf.DUMMYFUNCTION("IF(COUNTA(A127:L127)=0,"""",IFS(AND(H127&lt;&gt;"""",COUNTIF($H$6:$H$504,H127)&gt;1),""Ошибка: повтор URL"",OR(A127="""",B127="""",C127="""",D127="""",E127="""",F127="""",G127="""",H127="""",K127=""""),""Ошибка: обязательные поля"",NOT(REGEXMATCH(H127,""^https?://"&amp;"[^ /]+"")),""Ошибка: некорректная ссылка"",COUNTIF('Справочники'!$A$4:$A$24,C127)=0,""Ошибка: территория вне справочника"",K127=""Недоступен"",""Ошибка: ссылка недоступна"",E127=""Неофициальный источник"",IF(K127=""Активен"",""Готово"",""Проверить: активн"&amp;"ость""),I127&lt;&gt;""Подтверждено"",""Проверить: официальность / комментарий"",K127&lt;&gt;""Активен"",""Проверить: активность"",AND(ISNUMBER(J127),J127&lt;TODAY()-30),""Проверить: публикации старше 30 дней"",TRUE,""Готово""))"),"Готово")</f>
        <v>Готово</v>
      </c>
    </row>
    <row r="128" spans="1:13" ht="25.5" customHeight="1">
      <c r="A128" s="23" t="s">
        <v>78</v>
      </c>
      <c r="B128" s="13">
        <v>46267</v>
      </c>
      <c r="C128" s="23" t="s">
        <v>89</v>
      </c>
      <c r="D128" s="24" t="s">
        <v>381</v>
      </c>
      <c r="E128" s="23" t="s">
        <v>69</v>
      </c>
      <c r="F128" s="23" t="s">
        <v>34</v>
      </c>
      <c r="G128" s="24" t="s">
        <v>381</v>
      </c>
      <c r="H128" s="26" t="s">
        <v>440</v>
      </c>
      <c r="I128" s="24" t="s">
        <v>17</v>
      </c>
      <c r="J128" s="13"/>
      <c r="K128" s="23" t="s">
        <v>18</v>
      </c>
      <c r="L128" s="24" t="s">
        <v>103</v>
      </c>
      <c r="M128" s="21" t="str">
        <f ca="1">IFERROR(__xludf.DUMMYFUNCTION("IF(COUNTA(A128:L128)=0,"""",IFS(AND(H128&lt;&gt;"""",COUNTIF($H$6:$H$504,H128)&gt;1),""Ошибка: повтор URL"",OR(A128="""",B128="""",C128="""",D128="""",E128="""",F128="""",G128="""",H128="""",K128=""""),""Ошибка: обязательные поля"",NOT(REGEXMATCH(H128,""^https?://"&amp;"[^ /]+"")),""Ошибка: некорректная ссылка"",COUNTIF('Справочники'!$A$4:$A$24,C128)=0,""Ошибка: территория вне справочника"",K128=""Недоступен"",""Ошибка: ссылка недоступна"",E128=""Неофициальный источник"",IF(K128=""Активен"",""Готово"",""Проверить: активн"&amp;"ость""),I128&lt;&gt;""Подтверждено"",""Проверить: официальность / комментарий"",K128&lt;&gt;""Активен"",""Проверить: активность"",AND(ISNUMBER(J128),J128&lt;TODAY()-30),""Проверить: публикации старше 30 дней"",TRUE,""Готово""))"),"Готово")</f>
        <v>Готово</v>
      </c>
    </row>
    <row r="129" spans="1:13" ht="25.5" customHeight="1">
      <c r="A129" s="23" t="s">
        <v>78</v>
      </c>
      <c r="B129" s="13">
        <v>46267</v>
      </c>
      <c r="C129" s="23" t="s">
        <v>89</v>
      </c>
      <c r="D129" s="24" t="s">
        <v>441</v>
      </c>
      <c r="E129" s="23" t="s">
        <v>45</v>
      </c>
      <c r="F129" s="23" t="s">
        <v>34</v>
      </c>
      <c r="G129" s="24" t="s">
        <v>441</v>
      </c>
      <c r="H129" s="26" t="s">
        <v>442</v>
      </c>
      <c r="I129" s="24" t="s">
        <v>17</v>
      </c>
      <c r="J129" s="13"/>
      <c r="K129" s="23" t="s">
        <v>18</v>
      </c>
      <c r="L129" s="24" t="s">
        <v>103</v>
      </c>
      <c r="M129" s="21" t="str">
        <f ca="1">IFERROR(__xludf.DUMMYFUNCTION("IF(COUNTA(A129:L129)=0,"""",IFS(AND(H129&lt;&gt;"""",COUNTIF($H$6:$H$504,H129)&gt;1),""Ошибка: повтор URL"",OR(A129="""",B129="""",C129="""",D129="""",E129="""",F129="""",G129="""",H129="""",K129=""""),""Ошибка: обязательные поля"",NOT(REGEXMATCH(H129,""^https?://"&amp;"[^ /]+"")),""Ошибка: некорректная ссылка"",COUNTIF('Справочники'!$A$4:$A$24,C129)=0,""Ошибка: территория вне справочника"",K129=""Недоступен"",""Ошибка: ссылка недоступна"",E129=""Неофициальный источник"",IF(K129=""Активен"",""Готово"",""Проверить: активн"&amp;"ость""),I129&lt;&gt;""Подтверждено"",""Проверить: официальность / комментарий"",K129&lt;&gt;""Активен"",""Проверить: активность"",AND(ISNUMBER(J129),J129&lt;TODAY()-30),""Проверить: публикации старше 30 дней"",TRUE,""Готово""))"),"Готово")</f>
        <v>Готово</v>
      </c>
    </row>
    <row r="130" spans="1:13" ht="25.5" customHeight="1">
      <c r="A130" s="23" t="s">
        <v>78</v>
      </c>
      <c r="B130" s="13">
        <v>46267</v>
      </c>
      <c r="C130" s="23" t="s">
        <v>89</v>
      </c>
      <c r="D130" s="24" t="s">
        <v>443</v>
      </c>
      <c r="E130" s="23" t="s">
        <v>45</v>
      </c>
      <c r="F130" s="23" t="s">
        <v>34</v>
      </c>
      <c r="G130" s="24" t="s">
        <v>443</v>
      </c>
      <c r="H130" s="26" t="s">
        <v>444</v>
      </c>
      <c r="I130" s="24" t="s">
        <v>17</v>
      </c>
      <c r="J130" s="13"/>
      <c r="K130" s="23" t="s">
        <v>18</v>
      </c>
      <c r="L130" s="24" t="s">
        <v>103</v>
      </c>
      <c r="M130" s="21" t="str">
        <f ca="1">IFERROR(__xludf.DUMMYFUNCTION("IF(COUNTA(A130:L130)=0,"""",IFS(AND(H130&lt;&gt;"""",COUNTIF($H$6:$H$504,H130)&gt;1),""Ошибка: повтор URL"",OR(A130="""",B130="""",C130="""",D130="""",E130="""",F130="""",G130="""",H130="""",K130=""""),""Ошибка: обязательные поля"",NOT(REGEXMATCH(H130,""^https?://"&amp;"[^ /]+"")),""Ошибка: некорректная ссылка"",COUNTIF('Справочники'!$A$4:$A$24,C130)=0,""Ошибка: территория вне справочника"",K130=""Недоступен"",""Ошибка: ссылка недоступна"",E130=""Неофициальный источник"",IF(K130=""Активен"",""Готово"",""Проверить: активн"&amp;"ость""),I130&lt;&gt;""Подтверждено"",""Проверить: официальность / комментарий"",K130&lt;&gt;""Активен"",""Проверить: активность"",AND(ISNUMBER(J130),J130&lt;TODAY()-30),""Проверить: публикации старше 30 дней"",TRUE,""Готово""))"),"Готово")</f>
        <v>Готово</v>
      </c>
    </row>
    <row r="131" spans="1:13" ht="25.5" customHeight="1">
      <c r="A131" s="23" t="s">
        <v>78</v>
      </c>
      <c r="B131" s="13">
        <v>46267</v>
      </c>
      <c r="C131" s="23" t="s">
        <v>89</v>
      </c>
      <c r="D131" s="24" t="s">
        <v>445</v>
      </c>
      <c r="E131" s="23" t="s">
        <v>45</v>
      </c>
      <c r="F131" s="23" t="s">
        <v>34</v>
      </c>
      <c r="G131" s="24" t="s">
        <v>445</v>
      </c>
      <c r="H131" s="26" t="s">
        <v>446</v>
      </c>
      <c r="I131" s="24" t="s">
        <v>17</v>
      </c>
      <c r="J131" s="13"/>
      <c r="K131" s="23" t="s">
        <v>18</v>
      </c>
      <c r="L131" s="24" t="s">
        <v>103</v>
      </c>
      <c r="M131" s="21" t="str">
        <f ca="1">IFERROR(__xludf.DUMMYFUNCTION("IF(COUNTA(A131:L131)=0,"""",IFS(AND(H131&lt;&gt;"""",COUNTIF($H$6:$H$504,H131)&gt;1),""Ошибка: повтор URL"",OR(A131="""",B131="""",C131="""",D131="""",E131="""",F131="""",G131="""",H131="""",K131=""""),""Ошибка: обязательные поля"",NOT(REGEXMATCH(H131,""^https?://"&amp;"[^ /]+"")),""Ошибка: некорректная ссылка"",COUNTIF('Справочники'!$A$4:$A$24,C131)=0,""Ошибка: территория вне справочника"",K131=""Недоступен"",""Ошибка: ссылка недоступна"",E131=""Неофициальный источник"",IF(K131=""Активен"",""Готово"",""Проверить: активн"&amp;"ость""),I131&lt;&gt;""Подтверждено"",""Проверить: официальность / комментарий"",K131&lt;&gt;""Активен"",""Проверить: активность"",AND(ISNUMBER(J131),J131&lt;TODAY()-30),""Проверить: публикации старше 30 дней"",TRUE,""Готово""))"),"Готово")</f>
        <v>Готово</v>
      </c>
    </row>
    <row r="132" spans="1:13" ht="25.5" customHeight="1">
      <c r="A132" s="23" t="s">
        <v>78</v>
      </c>
      <c r="B132" s="13">
        <v>46267</v>
      </c>
      <c r="C132" s="23" t="s">
        <v>89</v>
      </c>
      <c r="D132" s="24" t="s">
        <v>447</v>
      </c>
      <c r="E132" s="23" t="s">
        <v>45</v>
      </c>
      <c r="F132" s="23" t="s">
        <v>34</v>
      </c>
      <c r="G132" s="24" t="s">
        <v>447</v>
      </c>
      <c r="H132" s="26" t="s">
        <v>448</v>
      </c>
      <c r="I132" s="24" t="s">
        <v>17</v>
      </c>
      <c r="J132" s="13"/>
      <c r="K132" s="23" t="s">
        <v>18</v>
      </c>
      <c r="L132" s="24" t="s">
        <v>103</v>
      </c>
      <c r="M132" s="21" t="str">
        <f ca="1">IFERROR(__xludf.DUMMYFUNCTION("IF(COUNTA(A132:L132)=0,"""",IFS(AND(H132&lt;&gt;"""",COUNTIF($H$6:$H$504,H132)&gt;1),""Ошибка: повтор URL"",OR(A132="""",B132="""",C132="""",D132="""",E132="""",F132="""",G132="""",H132="""",K132=""""),""Ошибка: обязательные поля"",NOT(REGEXMATCH(H132,""^https?://"&amp;"[^ /]+"")),""Ошибка: некорректная ссылка"",COUNTIF('Справочники'!$A$4:$A$24,C132)=0,""Ошибка: территория вне справочника"",K132=""Недоступен"",""Ошибка: ссылка недоступна"",E132=""Неофициальный источник"",IF(K132=""Активен"",""Готово"",""Проверить: активн"&amp;"ость""),I132&lt;&gt;""Подтверждено"",""Проверить: официальность / комментарий"",K132&lt;&gt;""Активен"",""Проверить: активность"",AND(ISNUMBER(J132),J132&lt;TODAY()-30),""Проверить: публикации старше 30 дней"",TRUE,""Готово""))"),"Готово")</f>
        <v>Готово</v>
      </c>
    </row>
    <row r="133" spans="1:13" ht="25.5" customHeight="1">
      <c r="A133" s="23" t="s">
        <v>78</v>
      </c>
      <c r="B133" s="13">
        <v>46267</v>
      </c>
      <c r="C133" s="23" t="s">
        <v>89</v>
      </c>
      <c r="D133" s="24" t="s">
        <v>449</v>
      </c>
      <c r="E133" s="23" t="s">
        <v>45</v>
      </c>
      <c r="F133" s="23" t="s">
        <v>34</v>
      </c>
      <c r="G133" s="24" t="s">
        <v>449</v>
      </c>
      <c r="H133" s="26" t="s">
        <v>450</v>
      </c>
      <c r="I133" s="24" t="s">
        <v>17</v>
      </c>
      <c r="J133" s="13"/>
      <c r="K133" s="23" t="s">
        <v>18</v>
      </c>
      <c r="L133" s="24" t="s">
        <v>103</v>
      </c>
      <c r="M133" s="21" t="str">
        <f ca="1">IFERROR(__xludf.DUMMYFUNCTION("IF(COUNTA(A133:L133)=0,"""",IFS(AND(H133&lt;&gt;"""",COUNTIF($H$6:$H$504,H133)&gt;1),""Ошибка: повтор URL"",OR(A133="""",B133="""",C133="""",D133="""",E133="""",F133="""",G133="""",H133="""",K133=""""),""Ошибка: обязательные поля"",NOT(REGEXMATCH(H133,""^https?://"&amp;"[^ /]+"")),""Ошибка: некорректная ссылка"",COUNTIF('Справочники'!$A$4:$A$24,C133)=0,""Ошибка: территория вне справочника"",K133=""Недоступен"",""Ошибка: ссылка недоступна"",E133=""Неофициальный источник"",IF(K133=""Активен"",""Готово"",""Проверить: активн"&amp;"ость""),I133&lt;&gt;""Подтверждено"",""Проверить: официальность / комментарий"",K133&lt;&gt;""Активен"",""Проверить: активность"",AND(ISNUMBER(J133),J133&lt;TODAY()-30),""Проверить: публикации старше 30 дней"",TRUE,""Готово""))"),"Готово")</f>
        <v>Готово</v>
      </c>
    </row>
    <row r="134" spans="1:13" ht="25.5" customHeight="1">
      <c r="A134" s="23" t="s">
        <v>78</v>
      </c>
      <c r="B134" s="13">
        <v>46267</v>
      </c>
      <c r="C134" s="23" t="s">
        <v>89</v>
      </c>
      <c r="D134" s="24" t="s">
        <v>451</v>
      </c>
      <c r="E134" s="23" t="s">
        <v>45</v>
      </c>
      <c r="F134" s="23" t="s">
        <v>34</v>
      </c>
      <c r="G134" s="24" t="s">
        <v>451</v>
      </c>
      <c r="H134" s="26" t="s">
        <v>452</v>
      </c>
      <c r="I134" s="24" t="s">
        <v>17</v>
      </c>
      <c r="J134" s="13"/>
      <c r="K134" s="23" t="s">
        <v>18</v>
      </c>
      <c r="L134" s="24" t="s">
        <v>103</v>
      </c>
      <c r="M134" s="21" t="str">
        <f ca="1">IFERROR(__xludf.DUMMYFUNCTION("IF(COUNTA(A134:L134)=0,"""",IFS(AND(H134&lt;&gt;"""",COUNTIF($H$6:$H$504,H134)&gt;1),""Ошибка: повтор URL"",OR(A134="""",B134="""",C134="""",D134="""",E134="""",F134="""",G134="""",H134="""",K134=""""),""Ошибка: обязательные поля"",NOT(REGEXMATCH(H134,""^https?://"&amp;"[^ /]+"")),""Ошибка: некорректная ссылка"",COUNTIF('Справочники'!$A$4:$A$24,C134)=0,""Ошибка: территория вне справочника"",K134=""Недоступен"",""Ошибка: ссылка недоступна"",E134=""Неофициальный источник"",IF(K134=""Активен"",""Готово"",""Проверить: активн"&amp;"ость""),I134&lt;&gt;""Подтверждено"",""Проверить: официальность / комментарий"",K134&lt;&gt;""Активен"",""Проверить: активность"",AND(ISNUMBER(J134),J134&lt;TODAY()-30),""Проверить: публикации старше 30 дней"",TRUE,""Готово""))"),"Готово")</f>
        <v>Готово</v>
      </c>
    </row>
    <row r="135" spans="1:13" ht="25.5" customHeight="1">
      <c r="A135" s="23" t="s">
        <v>78</v>
      </c>
      <c r="B135" s="13">
        <v>46267</v>
      </c>
      <c r="C135" s="23" t="s">
        <v>89</v>
      </c>
      <c r="D135" s="24" t="s">
        <v>453</v>
      </c>
      <c r="E135" s="23" t="s">
        <v>45</v>
      </c>
      <c r="F135" s="23" t="s">
        <v>34</v>
      </c>
      <c r="G135" s="24" t="s">
        <v>453</v>
      </c>
      <c r="H135" s="26" t="s">
        <v>454</v>
      </c>
      <c r="I135" s="24" t="s">
        <v>17</v>
      </c>
      <c r="J135" s="13"/>
      <c r="K135" s="23" t="s">
        <v>18</v>
      </c>
      <c r="L135" s="24" t="s">
        <v>103</v>
      </c>
      <c r="M135" s="21" t="str">
        <f ca="1">IFERROR(__xludf.DUMMYFUNCTION("IF(COUNTA(A135:L135)=0,"""",IFS(AND(H135&lt;&gt;"""",COUNTIF($H$6:$H$504,H135)&gt;1),""Ошибка: повтор URL"",OR(A135="""",B135="""",C135="""",D135="""",E135="""",F135="""",G135="""",H135="""",K135=""""),""Ошибка: обязательные поля"",NOT(REGEXMATCH(H135,""^https?://"&amp;"[^ /]+"")),""Ошибка: некорректная ссылка"",COUNTIF('Справочники'!$A$4:$A$24,C135)=0,""Ошибка: территория вне справочника"",K135=""Недоступен"",""Ошибка: ссылка недоступна"",E135=""Неофициальный источник"",IF(K135=""Активен"",""Готово"",""Проверить: активн"&amp;"ость""),I135&lt;&gt;""Подтверждено"",""Проверить: официальность / комментарий"",K135&lt;&gt;""Активен"",""Проверить: активность"",AND(ISNUMBER(J135),J135&lt;TODAY()-30),""Проверить: публикации старше 30 дней"",TRUE,""Готово""))"),"Готово")</f>
        <v>Готово</v>
      </c>
    </row>
    <row r="136" spans="1:13" ht="25.5" customHeight="1">
      <c r="A136" s="23" t="s">
        <v>78</v>
      </c>
      <c r="B136" s="13">
        <v>46267</v>
      </c>
      <c r="C136" s="23" t="s">
        <v>89</v>
      </c>
      <c r="D136" s="24" t="s">
        <v>455</v>
      </c>
      <c r="E136" s="23" t="s">
        <v>45</v>
      </c>
      <c r="F136" s="23" t="s">
        <v>34</v>
      </c>
      <c r="G136" s="24" t="s">
        <v>455</v>
      </c>
      <c r="H136" s="26" t="s">
        <v>456</v>
      </c>
      <c r="I136" s="24" t="s">
        <v>17</v>
      </c>
      <c r="J136" s="13"/>
      <c r="K136" s="23" t="s">
        <v>18</v>
      </c>
      <c r="L136" s="24" t="s">
        <v>103</v>
      </c>
      <c r="M136" s="21" t="str">
        <f ca="1">IFERROR(__xludf.DUMMYFUNCTION("IF(COUNTA(A136:L136)=0,"""",IFS(AND(H136&lt;&gt;"""",COUNTIF($H$6:$H$504,H136)&gt;1),""Ошибка: повтор URL"",OR(A136="""",B136="""",C136="""",D136="""",E136="""",F136="""",G136="""",H136="""",K136=""""),""Ошибка: обязательные поля"",NOT(REGEXMATCH(H136,""^https?://"&amp;"[^ /]+"")),""Ошибка: некорректная ссылка"",COUNTIF('Справочники'!$A$4:$A$24,C136)=0,""Ошибка: территория вне справочника"",K136=""Недоступен"",""Ошибка: ссылка недоступна"",E136=""Неофициальный источник"",IF(K136=""Активен"",""Готово"",""Проверить: активн"&amp;"ость""),I136&lt;&gt;""Подтверждено"",""Проверить: официальность / комментарий"",K136&lt;&gt;""Активен"",""Проверить: активность"",AND(ISNUMBER(J136),J136&lt;TODAY()-30),""Проверить: публикации старше 30 дней"",TRUE,""Готово""))"),"Готово")</f>
        <v>Готово</v>
      </c>
    </row>
    <row r="137" spans="1:13" ht="25.5" customHeight="1">
      <c r="A137" s="23" t="s">
        <v>78</v>
      </c>
      <c r="B137" s="13">
        <v>46267</v>
      </c>
      <c r="C137" s="23" t="s">
        <v>84</v>
      </c>
      <c r="D137" s="24" t="s">
        <v>457</v>
      </c>
      <c r="E137" s="23" t="s">
        <v>45</v>
      </c>
      <c r="F137" s="23" t="s">
        <v>34</v>
      </c>
      <c r="G137" s="24" t="s">
        <v>458</v>
      </c>
      <c r="H137" s="26" t="s">
        <v>459</v>
      </c>
      <c r="I137" s="24" t="s">
        <v>17</v>
      </c>
      <c r="J137" s="13"/>
      <c r="K137" s="23" t="s">
        <v>18</v>
      </c>
      <c r="L137" s="24" t="s">
        <v>192</v>
      </c>
      <c r="M137" s="21" t="str">
        <f ca="1">IFERROR(__xludf.DUMMYFUNCTION("IF(COUNTA(A137:L137)=0,"""",IFS(AND(H137&lt;&gt;"""",COUNTIF($H$6:$H$504,H137)&gt;1),""Ошибка: повтор URL"",OR(A137="""",B137="""",C137="""",D137="""",E137="""",F137="""",G137="""",H137="""",K137=""""),""Ошибка: обязательные поля"",NOT(REGEXMATCH(H137,""^https?://"&amp;"[^ /]+"")),""Ошибка: некорректная ссылка"",COUNTIF('Справочники'!$A$4:$A$24,C137)=0,""Ошибка: территория вне справочника"",K137=""Недоступен"",""Ошибка: ссылка недоступна"",E137=""Неофициальный источник"",IF(K137=""Активен"",""Готово"",""Проверить: активн"&amp;"ость""),I137&lt;&gt;""Подтверждено"",""Проверить: официальность / комментарий"",K137&lt;&gt;""Активен"",""Проверить: активность"",AND(ISNUMBER(J137),J137&lt;TODAY()-30),""Проверить: публикации старше 30 дней"",TRUE,""Готово""))"),"Готово")</f>
        <v>Готово</v>
      </c>
    </row>
    <row r="138" spans="1:13" ht="25.5" customHeight="1">
      <c r="A138" s="43" t="s">
        <v>78</v>
      </c>
      <c r="B138" s="13">
        <v>46267</v>
      </c>
      <c r="C138" s="23" t="s">
        <v>12</v>
      </c>
      <c r="D138" s="24" t="s">
        <v>113</v>
      </c>
      <c r="E138" s="23" t="s">
        <v>16</v>
      </c>
      <c r="F138" s="23" t="s">
        <v>34</v>
      </c>
      <c r="G138" s="24" t="s">
        <v>460</v>
      </c>
      <c r="H138" s="26" t="s">
        <v>461</v>
      </c>
      <c r="I138" s="24" t="s">
        <v>17</v>
      </c>
      <c r="J138" s="13"/>
      <c r="K138" s="23" t="s">
        <v>18</v>
      </c>
      <c r="L138" s="24" t="s">
        <v>230</v>
      </c>
      <c r="M138" s="21" t="str">
        <f ca="1">IFERROR(__xludf.DUMMYFUNCTION("IF(COUNTA(A138:L138)=0,"""",IFS(AND(H138&lt;&gt;"""",COUNTIF($H$6:$H$504,H138)&gt;1),""Ошибка: повтор URL"",OR(A138="""",B138="""",C138="""",D138="""",E138="""",F138="""",G138="""",H138="""",K138=""""),""Ошибка: обязательные поля"",NOT(REGEXMATCH(H138,""^https?://"&amp;"[^ /]+"")),""Ошибка: некорректная ссылка"",COUNTIF('Справочники'!$A$4:$A$24,C138)=0,""Ошибка: территория вне справочника"",K138=""Недоступен"",""Ошибка: ссылка недоступна"",E138=""Неофициальный источник"",IF(K138=""Активен"",""Готово"",""Проверить: активн"&amp;"ость""),I138&lt;&gt;""Подтверждено"",""Проверить: официальность / комментарий"",K138&lt;&gt;""Активен"",""Проверить: активность"",AND(ISNUMBER(J138),J138&lt;TODAY()-30),""Проверить: публикации старше 30 дней"",TRUE,""Готово""))"),"Готово")</f>
        <v>Готово</v>
      </c>
    </row>
    <row r="139" spans="1:13" ht="25.5" customHeight="1">
      <c r="A139" s="23" t="s">
        <v>78</v>
      </c>
      <c r="B139" s="13">
        <v>46267</v>
      </c>
      <c r="C139" s="23" t="s">
        <v>12</v>
      </c>
      <c r="D139" s="24" t="s">
        <v>462</v>
      </c>
      <c r="E139" s="23" t="s">
        <v>25</v>
      </c>
      <c r="F139" s="23" t="s">
        <v>34</v>
      </c>
      <c r="G139" s="24" t="s">
        <v>462</v>
      </c>
      <c r="H139" s="26" t="s">
        <v>463</v>
      </c>
      <c r="I139" s="24" t="s">
        <v>17</v>
      </c>
      <c r="J139" s="13"/>
      <c r="K139" s="23" t="s">
        <v>18</v>
      </c>
      <c r="L139" s="24" t="s">
        <v>230</v>
      </c>
      <c r="M139" s="21" t="str">
        <f ca="1">IFERROR(__xludf.DUMMYFUNCTION("IF(COUNTA(A139:L139)=0,"""",IFS(AND(H139&lt;&gt;"""",COUNTIF($H$6:$H$504,H139)&gt;1),""Ошибка: повтор URL"",OR(A139="""",B139="""",C139="""",D139="""",E139="""",F139="""",G139="""",H139="""",K139=""""),""Ошибка: обязательные поля"",NOT(REGEXMATCH(H139,""^https?://"&amp;"[^ /]+"")),""Ошибка: некорректная ссылка"",COUNTIF('Справочники'!$A$4:$A$24,C139)=0,""Ошибка: территория вне справочника"",K139=""Недоступен"",""Ошибка: ссылка недоступна"",E139=""Неофициальный источник"",IF(K139=""Активен"",""Готово"",""Проверить: активн"&amp;"ость""),I139&lt;&gt;""Подтверждено"",""Проверить: официальность / комментарий"",K139&lt;&gt;""Активен"",""Проверить: активность"",AND(ISNUMBER(J139),J139&lt;TODAY()-30),""Проверить: публикации старше 30 дней"",TRUE,""Готово""))"),"Готово")</f>
        <v>Готово</v>
      </c>
    </row>
    <row r="140" spans="1:13" ht="25.5" customHeight="1">
      <c r="A140" s="23" t="s">
        <v>78</v>
      </c>
      <c r="B140" s="13">
        <v>46267</v>
      </c>
      <c r="C140" s="23" t="s">
        <v>84</v>
      </c>
      <c r="D140" s="24" t="s">
        <v>302</v>
      </c>
      <c r="E140" s="23" t="s">
        <v>51</v>
      </c>
      <c r="F140" s="23" t="s">
        <v>34</v>
      </c>
      <c r="G140" s="24" t="s">
        <v>303</v>
      </c>
      <c r="H140" s="26" t="s">
        <v>464</v>
      </c>
      <c r="I140" s="24" t="s">
        <v>17</v>
      </c>
      <c r="J140" s="13"/>
      <c r="K140" s="23" t="s">
        <v>18</v>
      </c>
      <c r="L140" s="24" t="s">
        <v>230</v>
      </c>
      <c r="M140" s="21" t="str">
        <f ca="1">IFERROR(__xludf.DUMMYFUNCTION("IF(COUNTA(A140:L140)=0,"""",IFS(AND(H140&lt;&gt;"""",COUNTIF($H$6:$H$504,H140)&gt;1),""Ошибка: повтор URL"",OR(A140="""",B140="""",C140="""",D140="""",E140="""",F140="""",G140="""",H140="""",K140=""""),""Ошибка: обязательные поля"",NOT(REGEXMATCH(H140,""^https?://"&amp;"[^ /]+"")),""Ошибка: некорректная ссылка"",COUNTIF('Справочники'!$A$4:$A$24,C140)=0,""Ошибка: территория вне справочника"",K140=""Недоступен"",""Ошибка: ссылка недоступна"",E140=""Неофициальный источник"",IF(K140=""Активен"",""Готово"",""Проверить: активн"&amp;"ость""),I140&lt;&gt;""Подтверждено"",""Проверить: официальность / комментарий"",K140&lt;&gt;""Активен"",""Проверить: активность"",AND(ISNUMBER(J140),J140&lt;TODAY()-30),""Проверить: публикации старше 30 дней"",TRUE,""Готово""))"),"Готово")</f>
        <v>Готово</v>
      </c>
    </row>
    <row r="141" spans="1:13" ht="25.5" customHeight="1">
      <c r="A141" s="23" t="s">
        <v>78</v>
      </c>
      <c r="B141" s="13">
        <v>46267</v>
      </c>
      <c r="C141" s="23" t="s">
        <v>84</v>
      </c>
      <c r="D141" s="24" t="s">
        <v>164</v>
      </c>
      <c r="E141" s="23" t="s">
        <v>51</v>
      </c>
      <c r="F141" s="23" t="s">
        <v>34</v>
      </c>
      <c r="G141" s="24" t="s">
        <v>164</v>
      </c>
      <c r="H141" s="26" t="s">
        <v>465</v>
      </c>
      <c r="I141" s="24" t="s">
        <v>17</v>
      </c>
      <c r="J141" s="13"/>
      <c r="K141" s="23" t="s">
        <v>18</v>
      </c>
      <c r="L141" s="24" t="s">
        <v>230</v>
      </c>
      <c r="M141" s="21" t="str">
        <f ca="1">IFERROR(__xludf.DUMMYFUNCTION("IF(COUNTA(A141:L141)=0,"""",IFS(AND(H141&lt;&gt;"""",COUNTIF($H$6:$H$504,H141)&gt;1),""Ошибка: повтор URL"",OR(A141="""",B141="""",C141="""",D141="""",E141="""",F141="""",G141="""",H141="""",K141=""""),""Ошибка: обязательные поля"",NOT(REGEXMATCH(H141,""^https?://"&amp;"[^ /]+"")),""Ошибка: некорректная ссылка"",COUNTIF('Справочники'!$A$4:$A$24,C141)=0,""Ошибка: территория вне справочника"",K141=""Недоступен"",""Ошибка: ссылка недоступна"",E141=""Неофициальный источник"",IF(K141=""Активен"",""Готово"",""Проверить: активн"&amp;"ость""),I141&lt;&gt;""Подтверждено"",""Проверить: официальность / комментарий"",K141&lt;&gt;""Активен"",""Проверить: активность"",AND(ISNUMBER(J141),J141&lt;TODAY()-30),""Проверить: публикации старше 30 дней"",TRUE,""Готово""))"),"Готово")</f>
        <v>Готово</v>
      </c>
    </row>
    <row r="142" spans="1:13" ht="25.5" customHeight="1">
      <c r="A142" s="23" t="s">
        <v>78</v>
      </c>
      <c r="B142" s="13">
        <v>46267</v>
      </c>
      <c r="C142" s="23" t="s">
        <v>84</v>
      </c>
      <c r="D142" s="24" t="s">
        <v>136</v>
      </c>
      <c r="E142" s="23" t="s">
        <v>51</v>
      </c>
      <c r="F142" s="23" t="s">
        <v>34</v>
      </c>
      <c r="G142" s="24" t="s">
        <v>308</v>
      </c>
      <c r="H142" s="26" t="s">
        <v>466</v>
      </c>
      <c r="I142" s="24" t="s">
        <v>17</v>
      </c>
      <c r="J142" s="13"/>
      <c r="K142" s="23" t="s">
        <v>18</v>
      </c>
      <c r="L142" s="24" t="s">
        <v>230</v>
      </c>
      <c r="M142" s="21" t="str">
        <f ca="1">IFERROR(__xludf.DUMMYFUNCTION("IF(COUNTA(A142:L142)=0,"""",IFS(AND(H142&lt;&gt;"""",COUNTIF($H$6:$H$504,H142)&gt;1),""Ошибка: повтор URL"",OR(A142="""",B142="""",C142="""",D142="""",E142="""",F142="""",G142="""",H142="""",K142=""""),""Ошибка: обязательные поля"",NOT(REGEXMATCH(H142,""^https?://"&amp;"[^ /]+"")),""Ошибка: некорректная ссылка"",COUNTIF('Справочники'!$A$4:$A$24,C142)=0,""Ошибка: территория вне справочника"",K142=""Недоступен"",""Ошибка: ссылка недоступна"",E142=""Неофициальный источник"",IF(K142=""Активен"",""Готово"",""Проверить: активн"&amp;"ость""),I142&lt;&gt;""Подтверждено"",""Проверить: официальность / комментарий"",K142&lt;&gt;""Активен"",""Проверить: активность"",AND(ISNUMBER(J142),J142&lt;TODAY()-30),""Проверить: публикации старше 30 дней"",TRUE,""Готово""))"),"Готово")</f>
        <v>Готово</v>
      </c>
    </row>
    <row r="143" spans="1:13" ht="25.5" customHeight="1">
      <c r="A143" s="23" t="s">
        <v>78</v>
      </c>
      <c r="B143" s="13">
        <v>46267</v>
      </c>
      <c r="C143" s="23" t="s">
        <v>84</v>
      </c>
      <c r="D143" s="24" t="s">
        <v>348</v>
      </c>
      <c r="E143" s="23" t="s">
        <v>51</v>
      </c>
      <c r="F143" s="23" t="s">
        <v>34</v>
      </c>
      <c r="G143" s="24" t="s">
        <v>467</v>
      </c>
      <c r="H143" s="26" t="s">
        <v>468</v>
      </c>
      <c r="I143" s="24" t="s">
        <v>17</v>
      </c>
      <c r="J143" s="13"/>
      <c r="K143" s="23" t="s">
        <v>18</v>
      </c>
      <c r="L143" s="24" t="s">
        <v>230</v>
      </c>
      <c r="M143" s="21" t="str">
        <f ca="1">IFERROR(__xludf.DUMMYFUNCTION("IF(COUNTA(A143:L143)=0,"""",IFS(AND(H143&lt;&gt;"""",COUNTIF($H$6:$H$504,H143)&gt;1),""Ошибка: повтор URL"",OR(A143="""",B143="""",C143="""",D143="""",E143="""",F143="""",G143="""",H143="""",K143=""""),""Ошибка: обязательные поля"",NOT(REGEXMATCH(H143,""^https?://"&amp;"[^ /]+"")),""Ошибка: некорректная ссылка"",COUNTIF('Справочники'!$A$4:$A$24,C143)=0,""Ошибка: территория вне справочника"",K143=""Недоступен"",""Ошибка: ссылка недоступна"",E143=""Неофициальный источник"",IF(K143=""Активен"",""Готово"",""Проверить: активн"&amp;"ость""),I143&lt;&gt;""Подтверждено"",""Проверить: официальность / комментарий"",K143&lt;&gt;""Активен"",""Проверить: активность"",AND(ISNUMBER(J143),J143&lt;TODAY()-30),""Проверить: публикации старше 30 дней"",TRUE,""Готово""))"),"Готово")</f>
        <v>Готово</v>
      </c>
    </row>
    <row r="144" spans="1:13" ht="25.5" customHeight="1">
      <c r="A144" s="23" t="s">
        <v>78</v>
      </c>
      <c r="B144" s="13">
        <v>46267</v>
      </c>
      <c r="C144" s="23" t="s">
        <v>84</v>
      </c>
      <c r="D144" s="24" t="s">
        <v>351</v>
      </c>
      <c r="E144" s="23" t="s">
        <v>51</v>
      </c>
      <c r="F144" s="23" t="s">
        <v>34</v>
      </c>
      <c r="G144" s="24" t="s">
        <v>469</v>
      </c>
      <c r="H144" s="26" t="s">
        <v>470</v>
      </c>
      <c r="I144" s="24" t="s">
        <v>17</v>
      </c>
      <c r="J144" s="13"/>
      <c r="K144" s="23" t="s">
        <v>18</v>
      </c>
      <c r="L144" s="24" t="s">
        <v>230</v>
      </c>
      <c r="M144" s="21" t="str">
        <f ca="1">IFERROR(__xludf.DUMMYFUNCTION("IF(COUNTA(A144:L144)=0,"""",IFS(AND(H144&lt;&gt;"""",COUNTIF($H$6:$H$504,H144)&gt;1),""Ошибка: повтор URL"",OR(A144="""",B144="""",C144="""",D144="""",E144="""",F144="""",G144="""",H144="""",K144=""""),""Ошибка: обязательные поля"",NOT(REGEXMATCH(H144,""^https?://"&amp;"[^ /]+"")),""Ошибка: некорректная ссылка"",COUNTIF('Справочники'!$A$4:$A$24,C144)=0,""Ошибка: территория вне справочника"",K144=""Недоступен"",""Ошибка: ссылка недоступна"",E144=""Неофициальный источник"",IF(K144=""Активен"",""Готово"",""Проверить: активн"&amp;"ость""),I144&lt;&gt;""Подтверждено"",""Проверить: официальность / комментарий"",K144&lt;&gt;""Активен"",""Проверить: активность"",AND(ISNUMBER(J144),J144&lt;TODAY()-30),""Проверить: публикации старше 30 дней"",TRUE,""Готово""))"),"Готово")</f>
        <v>Готово</v>
      </c>
    </row>
    <row r="145" spans="1:13" ht="25.5" customHeight="1">
      <c r="A145" s="23" t="s">
        <v>78</v>
      </c>
      <c r="B145" s="13">
        <v>46267</v>
      </c>
      <c r="C145" s="23" t="s">
        <v>84</v>
      </c>
      <c r="D145" s="24" t="s">
        <v>141</v>
      </c>
      <c r="E145" s="23" t="s">
        <v>51</v>
      </c>
      <c r="F145" s="23" t="s">
        <v>34</v>
      </c>
      <c r="G145" s="24" t="s">
        <v>471</v>
      </c>
      <c r="H145" s="26" t="s">
        <v>472</v>
      </c>
      <c r="I145" s="24" t="s">
        <v>17</v>
      </c>
      <c r="J145" s="13"/>
      <c r="K145" s="23" t="s">
        <v>18</v>
      </c>
      <c r="L145" s="24" t="s">
        <v>230</v>
      </c>
      <c r="M145" s="21" t="str">
        <f ca="1">IFERROR(__xludf.DUMMYFUNCTION("IF(COUNTA(A145:L145)=0,"""",IFS(AND(H145&lt;&gt;"""",COUNTIF($H$6:$H$504,H145)&gt;1),""Ошибка: повтор URL"",OR(A145="""",B145="""",C145="""",D145="""",E145="""",F145="""",G145="""",H145="""",K145=""""),""Ошибка: обязательные поля"",NOT(REGEXMATCH(H145,""^https?://"&amp;"[^ /]+"")),""Ошибка: некорректная ссылка"",COUNTIF('Справочники'!$A$4:$A$24,C145)=0,""Ошибка: территория вне справочника"",K145=""Недоступен"",""Ошибка: ссылка недоступна"",E145=""Неофициальный источник"",IF(K145=""Активен"",""Готово"",""Проверить: активн"&amp;"ость""),I145&lt;&gt;""Подтверждено"",""Проверить: официальность / комментарий"",K145&lt;&gt;""Активен"",""Проверить: активность"",AND(ISNUMBER(J145),J145&lt;TODAY()-30),""Проверить: публикации старше 30 дней"",TRUE,""Готово""))"),"Готово")</f>
        <v>Готово</v>
      </c>
    </row>
    <row r="146" spans="1:13" ht="25.5" customHeight="1">
      <c r="A146" s="23" t="s">
        <v>78</v>
      </c>
      <c r="B146" s="13">
        <v>46267</v>
      </c>
      <c r="C146" s="23" t="s">
        <v>84</v>
      </c>
      <c r="D146" s="24" t="s">
        <v>146</v>
      </c>
      <c r="E146" s="23" t="s">
        <v>51</v>
      </c>
      <c r="F146" s="23" t="s">
        <v>34</v>
      </c>
      <c r="G146" s="24" t="s">
        <v>473</v>
      </c>
      <c r="H146" s="26" t="s">
        <v>474</v>
      </c>
      <c r="I146" s="24" t="s">
        <v>17</v>
      </c>
      <c r="J146" s="13"/>
      <c r="K146" s="23" t="s">
        <v>18</v>
      </c>
      <c r="L146" s="24" t="s">
        <v>230</v>
      </c>
      <c r="M146" s="21" t="str">
        <f ca="1">IFERROR(__xludf.DUMMYFUNCTION("IF(COUNTA(A146:L146)=0,"""",IFS(AND(H146&lt;&gt;"""",COUNTIF($H$6:$H$504,H146)&gt;1),""Ошибка: повтор URL"",OR(A146="""",B146="""",C146="""",D146="""",E146="""",F146="""",G146="""",H146="""",K146=""""),""Ошибка: обязательные поля"",NOT(REGEXMATCH(H146,""^https?://"&amp;"[^ /]+"")),""Ошибка: некорректная ссылка"",COUNTIF('Справочники'!$A$4:$A$24,C146)=0,""Ошибка: территория вне справочника"",K146=""Недоступен"",""Ошибка: ссылка недоступна"",E146=""Неофициальный источник"",IF(K146=""Активен"",""Готово"",""Проверить: активн"&amp;"ость""),I146&lt;&gt;""Подтверждено"",""Проверить: официальность / комментарий"",K146&lt;&gt;""Активен"",""Проверить: активность"",AND(ISNUMBER(J146),J146&lt;TODAY()-30),""Проверить: публикации старше 30 дней"",TRUE,""Готово""))"),"Готово")</f>
        <v>Готово</v>
      </c>
    </row>
    <row r="147" spans="1:13" ht="25.5" customHeight="1">
      <c r="A147" s="23" t="s">
        <v>78</v>
      </c>
      <c r="B147" s="13">
        <v>46267</v>
      </c>
      <c r="C147" s="23" t="s">
        <v>84</v>
      </c>
      <c r="D147" s="24" t="s">
        <v>356</v>
      </c>
      <c r="E147" s="23" t="s">
        <v>51</v>
      </c>
      <c r="F147" s="23" t="s">
        <v>34</v>
      </c>
      <c r="G147" s="24" t="s">
        <v>475</v>
      </c>
      <c r="H147" s="26" t="s">
        <v>476</v>
      </c>
      <c r="I147" s="24" t="s">
        <v>17</v>
      </c>
      <c r="J147" s="13"/>
      <c r="K147" s="23" t="s">
        <v>18</v>
      </c>
      <c r="L147" s="24" t="s">
        <v>230</v>
      </c>
      <c r="M147" s="21" t="str">
        <f ca="1">IFERROR(__xludf.DUMMYFUNCTION("IF(COUNTA(A147:L147)=0,"""",IFS(AND(H147&lt;&gt;"""",COUNTIF($H$6:$H$504,H147)&gt;1),""Ошибка: повтор URL"",OR(A147="""",B147="""",C147="""",D147="""",E147="""",F147="""",G147="""",H147="""",K147=""""),""Ошибка: обязательные поля"",NOT(REGEXMATCH(H147,""^https?://"&amp;"[^ /]+"")),""Ошибка: некорректная ссылка"",COUNTIF('Справочники'!$A$4:$A$24,C147)=0,""Ошибка: территория вне справочника"",K147=""Недоступен"",""Ошибка: ссылка недоступна"",E147=""Неофициальный источник"",IF(K147=""Активен"",""Готово"",""Проверить: активн"&amp;"ость""),I147&lt;&gt;""Подтверждено"",""Проверить: официальность / комментарий"",K147&lt;&gt;""Активен"",""Проверить: активность"",AND(ISNUMBER(J147),J147&lt;TODAY()-30),""Проверить: публикации старше 30 дней"",TRUE,""Готово""))"),"Готово")</f>
        <v>Готово</v>
      </c>
    </row>
    <row r="148" spans="1:13" ht="25.5" customHeight="1">
      <c r="A148" s="23" t="s">
        <v>78</v>
      </c>
      <c r="B148" s="13">
        <v>46267</v>
      </c>
      <c r="C148" s="23" t="s">
        <v>84</v>
      </c>
      <c r="D148" s="24" t="s">
        <v>310</v>
      </c>
      <c r="E148" s="23" t="s">
        <v>51</v>
      </c>
      <c r="F148" s="23" t="s">
        <v>34</v>
      </c>
      <c r="G148" s="24" t="s">
        <v>311</v>
      </c>
      <c r="H148" s="26" t="s">
        <v>477</v>
      </c>
      <c r="I148" s="24" t="s">
        <v>17</v>
      </c>
      <c r="J148" s="13"/>
      <c r="K148" s="23" t="s">
        <v>18</v>
      </c>
      <c r="L148" s="24" t="s">
        <v>230</v>
      </c>
      <c r="M148" s="21" t="str">
        <f ca="1">IFERROR(__xludf.DUMMYFUNCTION("IF(COUNTA(A148:L148)=0,"""",IFS(AND(H148&lt;&gt;"""",COUNTIF($H$6:$H$504,H148)&gt;1),""Ошибка: повтор URL"",OR(A148="""",B148="""",C148="""",D148="""",E148="""",F148="""",G148="""",H148="""",K148=""""),""Ошибка: обязательные поля"",NOT(REGEXMATCH(H148,""^https?://"&amp;"[^ /]+"")),""Ошибка: некорректная ссылка"",COUNTIF('Справочники'!$A$4:$A$24,C148)=0,""Ошибка: территория вне справочника"",K148=""Недоступен"",""Ошибка: ссылка недоступна"",E148=""Неофициальный источник"",IF(K148=""Активен"",""Готово"",""Проверить: активн"&amp;"ость""),I148&lt;&gt;""Подтверждено"",""Проверить: официальность / комментарий"",K148&lt;&gt;""Активен"",""Проверить: активность"",AND(ISNUMBER(J148),J148&lt;TODAY()-30),""Проверить: публикации старше 30 дней"",TRUE,""Готово""))"),"Готово")</f>
        <v>Готово</v>
      </c>
    </row>
    <row r="149" spans="1:13" ht="25.5" customHeight="1">
      <c r="A149" s="23" t="s">
        <v>78</v>
      </c>
      <c r="B149" s="13">
        <v>46267</v>
      </c>
      <c r="C149" s="23" t="s">
        <v>84</v>
      </c>
      <c r="D149" s="24" t="s">
        <v>271</v>
      </c>
      <c r="E149" s="23" t="s">
        <v>51</v>
      </c>
      <c r="F149" s="23" t="s">
        <v>34</v>
      </c>
      <c r="G149" s="24" t="s">
        <v>313</v>
      </c>
      <c r="H149" s="26" t="s">
        <v>478</v>
      </c>
      <c r="I149" s="24" t="s">
        <v>17</v>
      </c>
      <c r="J149" s="13"/>
      <c r="K149" s="23" t="s">
        <v>18</v>
      </c>
      <c r="L149" s="24" t="s">
        <v>230</v>
      </c>
      <c r="M149" s="21" t="str">
        <f ca="1">IFERROR(__xludf.DUMMYFUNCTION("IF(COUNTA(A149:L149)=0,"""",IFS(AND(H149&lt;&gt;"""",COUNTIF($H$6:$H$504,H149)&gt;1),""Ошибка: повтор URL"",OR(A149="""",B149="""",C149="""",D149="""",E149="""",F149="""",G149="""",H149="""",K149=""""),""Ошибка: обязательные поля"",NOT(REGEXMATCH(H149,""^https?://"&amp;"[^ /]+"")),""Ошибка: некорректная ссылка"",COUNTIF('Справочники'!$A$4:$A$24,C149)=0,""Ошибка: территория вне справочника"",K149=""Недоступен"",""Ошибка: ссылка недоступна"",E149=""Неофициальный источник"",IF(K149=""Активен"",""Готово"",""Проверить: активн"&amp;"ость""),I149&lt;&gt;""Подтверждено"",""Проверить: официальность / комментарий"",K149&lt;&gt;""Активен"",""Проверить: активность"",AND(ISNUMBER(J149),J149&lt;TODAY()-30),""Проверить: публикации старше 30 дней"",TRUE,""Готово""))"),"Готово")</f>
        <v>Готово</v>
      </c>
    </row>
    <row r="150" spans="1:13" ht="25.5" customHeight="1">
      <c r="A150" s="23" t="s">
        <v>78</v>
      </c>
      <c r="B150" s="13">
        <v>46267</v>
      </c>
      <c r="C150" s="23" t="s">
        <v>84</v>
      </c>
      <c r="D150" s="24" t="s">
        <v>361</v>
      </c>
      <c r="E150" s="23" t="s">
        <v>51</v>
      </c>
      <c r="F150" s="23" t="s">
        <v>34</v>
      </c>
      <c r="G150" s="24" t="s">
        <v>479</v>
      </c>
      <c r="H150" s="26" t="s">
        <v>480</v>
      </c>
      <c r="I150" s="24" t="s">
        <v>17</v>
      </c>
      <c r="J150" s="13"/>
      <c r="K150" s="23" t="s">
        <v>18</v>
      </c>
      <c r="L150" s="24" t="s">
        <v>230</v>
      </c>
      <c r="M150" s="21" t="str">
        <f ca="1">IFERROR(__xludf.DUMMYFUNCTION("IF(COUNTA(A150:L150)=0,"""",IFS(AND(H150&lt;&gt;"""",COUNTIF($H$6:$H$504,H150)&gt;1),""Ошибка: повтор URL"",OR(A150="""",B150="""",C150="""",D150="""",E150="""",F150="""",G150="""",H150="""",K150=""""),""Ошибка: обязательные поля"",NOT(REGEXMATCH(H150,""^https?://"&amp;"[^ /]+"")),""Ошибка: некорректная ссылка"",COUNTIF('Справочники'!$A$4:$A$24,C150)=0,""Ошибка: территория вне справочника"",K150=""Недоступен"",""Ошибка: ссылка недоступна"",E150=""Неофициальный источник"",IF(K150=""Активен"",""Готово"",""Проверить: активн"&amp;"ость""),I150&lt;&gt;""Подтверждено"",""Проверить: официальность / комментарий"",K150&lt;&gt;""Активен"",""Проверить: активность"",AND(ISNUMBER(J150),J150&lt;TODAY()-30),""Проверить: публикации старше 30 дней"",TRUE,""Готово""))"),"Готово")</f>
        <v>Готово</v>
      </c>
    </row>
    <row r="151" spans="1:13" ht="25.5" customHeight="1">
      <c r="A151" s="23" t="s">
        <v>78</v>
      </c>
      <c r="B151" s="13">
        <v>46267</v>
      </c>
      <c r="C151" s="23" t="s">
        <v>84</v>
      </c>
      <c r="D151" s="24" t="s">
        <v>363</v>
      </c>
      <c r="E151" s="23" t="s">
        <v>51</v>
      </c>
      <c r="F151" s="23" t="s">
        <v>34</v>
      </c>
      <c r="G151" s="24" t="s">
        <v>481</v>
      </c>
      <c r="H151" s="26" t="s">
        <v>482</v>
      </c>
      <c r="I151" s="24" t="s">
        <v>17</v>
      </c>
      <c r="J151" s="13"/>
      <c r="K151" s="23" t="s">
        <v>18</v>
      </c>
      <c r="L151" s="24" t="s">
        <v>230</v>
      </c>
      <c r="M151" s="21" t="str">
        <f ca="1">IFERROR(__xludf.DUMMYFUNCTION("IF(COUNTA(A151:L151)=0,"""",IFS(AND(H151&lt;&gt;"""",COUNTIF($H$6:$H$504,H151)&gt;1),""Ошибка: повтор URL"",OR(A151="""",B151="""",C151="""",D151="""",E151="""",F151="""",G151="""",H151="""",K151=""""),""Ошибка: обязательные поля"",NOT(REGEXMATCH(H151,""^https?://"&amp;"[^ /]+"")),""Ошибка: некорректная ссылка"",COUNTIF('Справочники'!$A$4:$A$24,C151)=0,""Ошибка: территория вне справочника"",K151=""Недоступен"",""Ошибка: ссылка недоступна"",E151=""Неофициальный источник"",IF(K151=""Активен"",""Готово"",""Проверить: активн"&amp;"ость""),I151&lt;&gt;""Подтверждено"",""Проверить: официальность / комментарий"",K151&lt;&gt;""Активен"",""Проверить: активность"",AND(ISNUMBER(J151),J151&lt;TODAY()-30),""Проверить: публикации старше 30 дней"",TRUE,""Готово""))"),"Готово")</f>
        <v>Готово</v>
      </c>
    </row>
    <row r="152" spans="1:13" ht="25.5" customHeight="1">
      <c r="A152" s="23" t="s">
        <v>78</v>
      </c>
      <c r="B152" s="13">
        <v>46267</v>
      </c>
      <c r="C152" s="23" t="s">
        <v>84</v>
      </c>
      <c r="D152" s="24" t="s">
        <v>277</v>
      </c>
      <c r="E152" s="23" t="s">
        <v>51</v>
      </c>
      <c r="F152" s="23" t="s">
        <v>34</v>
      </c>
      <c r="G152" s="24" t="s">
        <v>483</v>
      </c>
      <c r="H152" s="26" t="s">
        <v>484</v>
      </c>
      <c r="I152" s="24" t="s">
        <v>17</v>
      </c>
      <c r="J152" s="13"/>
      <c r="K152" s="23" t="s">
        <v>18</v>
      </c>
      <c r="L152" s="24" t="s">
        <v>230</v>
      </c>
      <c r="M152" s="21" t="str">
        <f ca="1">IFERROR(__xludf.DUMMYFUNCTION("IF(COUNTA(A152:L152)=0,"""",IFS(AND(H152&lt;&gt;"""",COUNTIF($H$6:$H$504,H152)&gt;1),""Ошибка: повтор URL"",OR(A152="""",B152="""",C152="""",D152="""",E152="""",F152="""",G152="""",H152="""",K152=""""),""Ошибка: обязательные поля"",NOT(REGEXMATCH(H152,""^https?://"&amp;"[^ /]+"")),""Ошибка: некорректная ссылка"",COUNTIF('Справочники'!$A$4:$A$24,C152)=0,""Ошибка: территория вне справочника"",K152=""Недоступен"",""Ошибка: ссылка недоступна"",E152=""Неофициальный источник"",IF(K152=""Активен"",""Готово"",""Проверить: активн"&amp;"ость""),I152&lt;&gt;""Подтверждено"",""Проверить: официальность / комментарий"",K152&lt;&gt;""Активен"",""Проверить: активность"",AND(ISNUMBER(J152),J152&lt;TODAY()-30),""Проверить: публикации старше 30 дней"",TRUE,""Готово""))"),"Готово")</f>
        <v>Готово</v>
      </c>
    </row>
    <row r="153" spans="1:13" ht="25.5" customHeight="1">
      <c r="A153" s="23" t="s">
        <v>78</v>
      </c>
      <c r="B153" s="13">
        <v>46267</v>
      </c>
      <c r="C153" s="23" t="s">
        <v>84</v>
      </c>
      <c r="D153" s="24" t="s">
        <v>367</v>
      </c>
      <c r="E153" s="23" t="s">
        <v>51</v>
      </c>
      <c r="F153" s="23" t="s">
        <v>34</v>
      </c>
      <c r="G153" s="24" t="s">
        <v>485</v>
      </c>
      <c r="H153" s="26" t="s">
        <v>486</v>
      </c>
      <c r="I153" s="24" t="s">
        <v>17</v>
      </c>
      <c r="J153" s="13"/>
      <c r="K153" s="23" t="s">
        <v>18</v>
      </c>
      <c r="L153" s="24" t="s">
        <v>230</v>
      </c>
      <c r="M153" s="21" t="str">
        <f ca="1">IFERROR(__xludf.DUMMYFUNCTION("IF(COUNTA(A153:L153)=0,"""",IFS(AND(H153&lt;&gt;"""",COUNTIF($H$6:$H$504,H153)&gt;1),""Ошибка: повтор URL"",OR(A153="""",B153="""",C153="""",D153="""",E153="""",F153="""",G153="""",H153="""",K153=""""),""Ошибка: обязательные поля"",NOT(REGEXMATCH(H153,""^https?://"&amp;"[^ /]+"")),""Ошибка: некорректная ссылка"",COUNTIF('Справочники'!$A$4:$A$24,C153)=0,""Ошибка: территория вне справочника"",K153=""Недоступен"",""Ошибка: ссылка недоступна"",E153=""Неофициальный источник"",IF(K153=""Активен"",""Готово"",""Проверить: активн"&amp;"ость""),I153&lt;&gt;""Подтверждено"",""Проверить: официальность / комментарий"",K153&lt;&gt;""Активен"",""Проверить: активность"",AND(ISNUMBER(J153),J153&lt;TODAY()-30),""Проверить: публикации старше 30 дней"",TRUE,""Готово""))"),"Готово")</f>
        <v>Готово</v>
      </c>
    </row>
    <row r="154" spans="1:13" ht="25.5" customHeight="1">
      <c r="A154" s="23" t="s">
        <v>78</v>
      </c>
      <c r="B154" s="13">
        <v>46267</v>
      </c>
      <c r="C154" s="23" t="s">
        <v>84</v>
      </c>
      <c r="D154" s="24" t="s">
        <v>84</v>
      </c>
      <c r="E154" s="23" t="s">
        <v>51</v>
      </c>
      <c r="F154" s="23" t="s">
        <v>34</v>
      </c>
      <c r="G154" s="24" t="s">
        <v>84</v>
      </c>
      <c r="H154" s="26" t="s">
        <v>487</v>
      </c>
      <c r="I154" s="24" t="s">
        <v>17</v>
      </c>
      <c r="J154" s="13"/>
      <c r="K154" s="23" t="s">
        <v>18</v>
      </c>
      <c r="L154" s="24" t="s">
        <v>230</v>
      </c>
      <c r="M154" s="21" t="str">
        <f ca="1">IFERROR(__xludf.DUMMYFUNCTION("IF(COUNTA(A154:L154)=0,"""",IFS(AND(H154&lt;&gt;"""",COUNTIF($H$6:$H$504,H154)&gt;1),""Ошибка: повтор URL"",OR(A154="""",B154="""",C154="""",D154="""",E154="""",F154="""",G154="""",H154="""",K154=""""),""Ошибка: обязательные поля"",NOT(REGEXMATCH(H154,""^https?://"&amp;"[^ /]+"")),""Ошибка: некорректная ссылка"",COUNTIF('Справочники'!$A$4:$A$24,C154)=0,""Ошибка: территория вне справочника"",K154=""Недоступен"",""Ошибка: ссылка недоступна"",E154=""Неофициальный источник"",IF(K154=""Активен"",""Готово"",""Проверить: активн"&amp;"ость""),I154&lt;&gt;""Подтверждено"",""Проверить: официальность / комментарий"",K154&lt;&gt;""Активен"",""Проверить: активность"",AND(ISNUMBER(J154),J154&lt;TODAY()-30),""Проверить: публикации старше 30 дней"",TRUE,""Готово""))"),"Готово")</f>
        <v>Готово</v>
      </c>
    </row>
    <row r="155" spans="1:13" ht="25.5" customHeight="1">
      <c r="A155" s="23" t="s">
        <v>78</v>
      </c>
      <c r="B155" s="13">
        <v>46267</v>
      </c>
      <c r="C155" s="23" t="s">
        <v>84</v>
      </c>
      <c r="D155" s="24" t="s">
        <v>194</v>
      </c>
      <c r="E155" s="23" t="s">
        <v>51</v>
      </c>
      <c r="F155" s="23" t="s">
        <v>34</v>
      </c>
      <c r="G155" s="24" t="s">
        <v>488</v>
      </c>
      <c r="H155" s="26" t="s">
        <v>489</v>
      </c>
      <c r="I155" s="24" t="s">
        <v>17</v>
      </c>
      <c r="J155" s="13"/>
      <c r="K155" s="23" t="s">
        <v>18</v>
      </c>
      <c r="L155" s="24" t="s">
        <v>230</v>
      </c>
      <c r="M155" s="21" t="str">
        <f ca="1">IFERROR(__xludf.DUMMYFUNCTION("IF(COUNTA(A155:L155)=0,"""",IFS(AND(H155&lt;&gt;"""",COUNTIF($H$6:$H$504,H155)&gt;1),""Ошибка: повтор URL"",OR(A155="""",B155="""",C155="""",D155="""",E155="""",F155="""",G155="""",H155="""",K155=""""),""Ошибка: обязательные поля"",NOT(REGEXMATCH(H155,""^https?://"&amp;"[^ /]+"")),""Ошибка: некорректная ссылка"",COUNTIF('Справочники'!$A$4:$A$24,C155)=0,""Ошибка: территория вне справочника"",K155=""Недоступен"",""Ошибка: ссылка недоступна"",E155=""Неофициальный источник"",IF(K155=""Активен"",""Готово"",""Проверить: активн"&amp;"ость""),I155&lt;&gt;""Подтверждено"",""Проверить: официальность / комментарий"",K155&lt;&gt;""Активен"",""Проверить: активность"",AND(ISNUMBER(J155),J155&lt;TODAY()-30),""Проверить: публикации старше 30 дней"",TRUE,""Готово""))"),"Готово")</f>
        <v>Готово</v>
      </c>
    </row>
    <row r="156" spans="1:13" ht="25.5" customHeight="1">
      <c r="A156" s="23" t="s">
        <v>78</v>
      </c>
      <c r="B156" s="13">
        <v>46267</v>
      </c>
      <c r="C156" s="23" t="s">
        <v>84</v>
      </c>
      <c r="D156" s="24" t="s">
        <v>173</v>
      </c>
      <c r="E156" s="23" t="s">
        <v>51</v>
      </c>
      <c r="F156" s="23" t="s">
        <v>34</v>
      </c>
      <c r="G156" s="24" t="s">
        <v>173</v>
      </c>
      <c r="H156" s="26" t="s">
        <v>490</v>
      </c>
      <c r="I156" s="24" t="s">
        <v>17</v>
      </c>
      <c r="J156" s="13"/>
      <c r="K156" s="23" t="s">
        <v>18</v>
      </c>
      <c r="L156" s="24" t="s">
        <v>230</v>
      </c>
      <c r="M156" s="21" t="str">
        <f ca="1">IFERROR(__xludf.DUMMYFUNCTION("IF(COUNTA(A156:L156)=0,"""",IFS(AND(H156&lt;&gt;"""",COUNTIF($H$6:$H$504,H156)&gt;1),""Ошибка: повтор URL"",OR(A156="""",B156="""",C156="""",D156="""",E156="""",F156="""",G156="""",H156="""",K156=""""),""Ошибка: обязательные поля"",NOT(REGEXMATCH(H156,""^https?://"&amp;"[^ /]+"")),""Ошибка: некорректная ссылка"",COUNTIF('Справочники'!$A$4:$A$24,C156)=0,""Ошибка: территория вне справочника"",K156=""Недоступен"",""Ошибка: ссылка недоступна"",E156=""Неофициальный источник"",IF(K156=""Активен"",""Готово"",""Проверить: активн"&amp;"ость""),I156&lt;&gt;""Подтверждено"",""Проверить: официальность / комментарий"",K156&lt;&gt;""Активен"",""Проверить: активность"",AND(ISNUMBER(J156),J156&lt;TODAY()-30),""Проверить: публикации старше 30 дней"",TRUE,""Готово""))"),"Готово")</f>
        <v>Готово</v>
      </c>
    </row>
    <row r="157" spans="1:13" ht="25.5" customHeight="1">
      <c r="A157" s="23" t="s">
        <v>78</v>
      </c>
      <c r="B157" s="13">
        <v>46267</v>
      </c>
      <c r="C157" s="23" t="s">
        <v>84</v>
      </c>
      <c r="D157" s="24" t="s">
        <v>491</v>
      </c>
      <c r="E157" s="23" t="s">
        <v>51</v>
      </c>
      <c r="F157" s="23" t="s">
        <v>34</v>
      </c>
      <c r="G157" s="24" t="s">
        <v>491</v>
      </c>
      <c r="H157" s="26" t="s">
        <v>492</v>
      </c>
      <c r="I157" s="24" t="s">
        <v>17</v>
      </c>
      <c r="J157" s="13"/>
      <c r="K157" s="23" t="s">
        <v>18</v>
      </c>
      <c r="L157" s="24" t="s">
        <v>230</v>
      </c>
      <c r="M157" s="21" t="str">
        <f ca="1">IFERROR(__xludf.DUMMYFUNCTION("IF(COUNTA(A157:L157)=0,"""",IFS(AND(H157&lt;&gt;"""",COUNTIF($H$6:$H$504,H157)&gt;1),""Ошибка: повтор URL"",OR(A157="""",B157="""",C157="""",D157="""",E157="""",F157="""",G157="""",H157="""",K157=""""),""Ошибка: обязательные поля"",NOT(REGEXMATCH(H157,""^https?://"&amp;"[^ /]+"")),""Ошибка: некорректная ссылка"",COUNTIF('Справочники'!$A$4:$A$24,C157)=0,""Ошибка: территория вне справочника"",K157=""Недоступен"",""Ошибка: ссылка недоступна"",E157=""Неофициальный источник"",IF(K157=""Активен"",""Готово"",""Проверить: активн"&amp;"ость""),I157&lt;&gt;""Подтверждено"",""Проверить: официальность / комментарий"",K157&lt;&gt;""Активен"",""Проверить: активность"",AND(ISNUMBER(J157),J157&lt;TODAY()-30),""Проверить: публикации старше 30 дней"",TRUE,""Готово""))"),"Готово")</f>
        <v>Готово</v>
      </c>
    </row>
    <row r="158" spans="1:13" ht="25.5" customHeight="1">
      <c r="A158" s="23" t="s">
        <v>78</v>
      </c>
      <c r="B158" s="13">
        <v>46267</v>
      </c>
      <c r="C158" s="23" t="s">
        <v>89</v>
      </c>
      <c r="D158" s="24" t="s">
        <v>132</v>
      </c>
      <c r="E158" s="23" t="s">
        <v>25</v>
      </c>
      <c r="F158" s="23" t="s">
        <v>34</v>
      </c>
      <c r="G158" s="24" t="s">
        <v>493</v>
      </c>
      <c r="H158" s="26" t="s">
        <v>494</v>
      </c>
      <c r="I158" s="24" t="s">
        <v>17</v>
      </c>
      <c r="J158" s="13"/>
      <c r="K158" s="23" t="s">
        <v>18</v>
      </c>
      <c r="L158" s="24" t="s">
        <v>230</v>
      </c>
      <c r="M158" s="21" t="str">
        <f ca="1">IFERROR(__xludf.DUMMYFUNCTION("IF(COUNTA(A158:L158)=0,"""",IFS(AND(H158&lt;&gt;"""",COUNTIF($H$6:$H$504,H158)&gt;1),""Ошибка: повтор URL"",OR(A158="""",B158="""",C158="""",D158="""",E158="""",F158="""",G158="""",H158="""",K158=""""),""Ошибка: обязательные поля"",NOT(REGEXMATCH(H158,""^https?://"&amp;"[^ /]+"")),""Ошибка: некорректная ссылка"",COUNTIF('Справочники'!$A$4:$A$24,C158)=0,""Ошибка: территория вне справочника"",K158=""Недоступен"",""Ошибка: ссылка недоступна"",E158=""Неофициальный источник"",IF(K158=""Активен"",""Готово"",""Проверить: активн"&amp;"ость""),I158&lt;&gt;""Подтверждено"",""Проверить: официальность / комментарий"",K158&lt;&gt;""Активен"",""Проверить: активность"",AND(ISNUMBER(J158),J158&lt;TODAY()-30),""Проверить: публикации старше 30 дней"",TRUE,""Готово""))"),"Проверить: официальность / комментарий")</f>
        <v>Проверить: официальность / комментарий</v>
      </c>
    </row>
    <row r="159" spans="1:13" ht="25.5" customHeight="1">
      <c r="A159" s="23" t="s">
        <v>78</v>
      </c>
      <c r="B159" s="13">
        <v>46267</v>
      </c>
      <c r="C159" s="23" t="s">
        <v>89</v>
      </c>
      <c r="D159" s="24" t="s">
        <v>495</v>
      </c>
      <c r="E159" s="23" t="s">
        <v>45</v>
      </c>
      <c r="F159" s="23" t="s">
        <v>34</v>
      </c>
      <c r="G159" s="24" t="s">
        <v>496</v>
      </c>
      <c r="H159" s="26" t="s">
        <v>497</v>
      </c>
      <c r="I159" s="24" t="s">
        <v>17</v>
      </c>
      <c r="J159" s="13"/>
      <c r="K159" s="23" t="s">
        <v>18</v>
      </c>
      <c r="L159" s="24" t="s">
        <v>230</v>
      </c>
      <c r="M159" s="21" t="str">
        <f ca="1">IFERROR(__xludf.DUMMYFUNCTION("IF(COUNTA(A159:L159)=0,"""",IFS(AND(H159&lt;&gt;"""",COUNTIF($H$6:$H$504,H159)&gt;1),""Ошибка: повтор URL"",OR(A159="""",B159="""",C159="""",D159="""",E159="""",F159="""",G159="""",H159="""",K159=""""),""Ошибка: обязательные поля"",NOT(REGEXMATCH(H159,""^https?://"&amp;"[^ /]+"")),""Ошибка: некорректная ссылка"",COUNTIF('Справочники'!$A$4:$A$24,C159)=0,""Ошибка: территория вне справочника"",K159=""Недоступен"",""Ошибка: ссылка недоступна"",E159=""Неофициальный источник"",IF(K159=""Активен"",""Готово"",""Проверить: активн"&amp;"ость""),I159&lt;&gt;""Подтверждено"",""Проверить: официальность / комментарий"",K159&lt;&gt;""Активен"",""Проверить: активность"",AND(ISNUMBER(J159),J159&lt;TODAY()-30),""Проверить: публикации старше 30 дней"",TRUE,""Готово""))"),"Готово")</f>
        <v>Готово</v>
      </c>
    </row>
    <row r="160" spans="1:13" ht="25.5" customHeight="1">
      <c r="A160" s="23" t="s">
        <v>78</v>
      </c>
      <c r="B160" s="13">
        <v>46267</v>
      </c>
      <c r="C160" s="23" t="s">
        <v>89</v>
      </c>
      <c r="D160" s="24" t="s">
        <v>498</v>
      </c>
      <c r="E160" s="23" t="s">
        <v>36</v>
      </c>
      <c r="F160" s="23" t="s">
        <v>34</v>
      </c>
      <c r="G160" s="24" t="s">
        <v>499</v>
      </c>
      <c r="H160" s="26" t="s">
        <v>500</v>
      </c>
      <c r="I160" s="24" t="s">
        <v>17</v>
      </c>
      <c r="J160" s="13"/>
      <c r="K160" s="23" t="s">
        <v>18</v>
      </c>
      <c r="L160" s="24" t="s">
        <v>230</v>
      </c>
      <c r="M160" s="21" t="str">
        <f ca="1">IFERROR(__xludf.DUMMYFUNCTION("IF(COUNTA(A160:L160)=0,"""",IFS(AND(H160&lt;&gt;"""",COUNTIF($H$6:$H$504,H160)&gt;1),""Ошибка: повтор URL"",OR(A160="""",B160="""",C160="""",D160="""",E160="""",F160="""",G160="""",H160="""",K160=""""),""Ошибка: обязательные поля"",NOT(REGEXMATCH(H160,""^https?://"&amp;"[^ /]+"")),""Ошибка: некорректная ссылка"",COUNTIF('Справочники'!$A$4:$A$24,C160)=0,""Ошибка: территория вне справочника"",K160=""Недоступен"",""Ошибка: ссылка недоступна"",E160=""Неофициальный источник"",IF(K160=""Активен"",""Готово"",""Проверить: активн"&amp;"ость""),I160&lt;&gt;""Подтверждено"",""Проверить: официальность / комментарий"",K160&lt;&gt;""Активен"",""Проверить: активность"",AND(ISNUMBER(J160),J160&lt;TODAY()-30),""Проверить: публикации старше 30 дней"",TRUE,""Готово""))"),"Проверить: официальность / комментарий")</f>
        <v>Проверить: официальность / комментарий</v>
      </c>
    </row>
    <row r="161" spans="1:13" ht="25.5" customHeight="1">
      <c r="A161" s="23" t="s">
        <v>78</v>
      </c>
      <c r="B161" s="13">
        <v>46267</v>
      </c>
      <c r="C161" s="23" t="s">
        <v>89</v>
      </c>
      <c r="D161" s="24" t="s">
        <v>501</v>
      </c>
      <c r="E161" s="23" t="s">
        <v>36</v>
      </c>
      <c r="F161" s="23" t="s">
        <v>34</v>
      </c>
      <c r="G161" s="24" t="s">
        <v>502</v>
      </c>
      <c r="H161" s="26" t="s">
        <v>503</v>
      </c>
      <c r="I161" s="24" t="s">
        <v>17</v>
      </c>
      <c r="J161" s="13"/>
      <c r="K161" s="23" t="s">
        <v>18</v>
      </c>
      <c r="L161" s="24" t="s">
        <v>230</v>
      </c>
      <c r="M161" s="21" t="str">
        <f ca="1">IFERROR(__xludf.DUMMYFUNCTION("IF(COUNTA(A161:L161)=0,"""",IFS(AND(H161&lt;&gt;"""",COUNTIF($H$6:$H$504,H161)&gt;1),""Ошибка: повтор URL"",OR(A161="""",B161="""",C161="""",D161="""",E161="""",F161="""",G161="""",H161="""",K161=""""),""Ошибка: обязательные поля"",NOT(REGEXMATCH(H161,""^https?://"&amp;"[^ /]+"")),""Ошибка: некорректная ссылка"",COUNTIF('Справочники'!$A$4:$A$24,C161)=0,""Ошибка: территория вне справочника"",K161=""Недоступен"",""Ошибка: ссылка недоступна"",E161=""Неофициальный источник"",IF(K161=""Активен"",""Готово"",""Проверить: активн"&amp;"ость""),I161&lt;&gt;""Подтверждено"",""Проверить: официальность / комментарий"",K161&lt;&gt;""Активен"",""Проверить: активность"",AND(ISNUMBER(J161),J161&lt;TODAY()-30),""Проверить: публикации старше 30 дней"",TRUE,""Готово""))"),"Проверить: официальность / комментарий")</f>
        <v>Проверить: официальность / комментарий</v>
      </c>
    </row>
    <row r="162" spans="1:13" ht="25.5" customHeight="1">
      <c r="A162" s="23" t="s">
        <v>78</v>
      </c>
      <c r="B162" s="13">
        <v>46267</v>
      </c>
      <c r="C162" s="23" t="s">
        <v>89</v>
      </c>
      <c r="D162" s="24" t="s">
        <v>504</v>
      </c>
      <c r="E162" s="23" t="s">
        <v>36</v>
      </c>
      <c r="F162" s="23" t="s">
        <v>34</v>
      </c>
      <c r="G162" s="24" t="s">
        <v>505</v>
      </c>
      <c r="H162" s="26" t="s">
        <v>506</v>
      </c>
      <c r="I162" s="24" t="s">
        <v>17</v>
      </c>
      <c r="J162" s="13"/>
      <c r="K162" s="23" t="s">
        <v>18</v>
      </c>
      <c r="L162" s="24" t="s">
        <v>230</v>
      </c>
      <c r="M162" s="21" t="str">
        <f ca="1">IFERROR(__xludf.DUMMYFUNCTION("IF(COUNTA(A162:L162)=0,"""",IFS(AND(H162&lt;&gt;"""",COUNTIF($H$6:$H$504,H162)&gt;1),""Ошибка: повтор URL"",OR(A162="""",B162="""",C162="""",D162="""",E162="""",F162="""",G162="""",H162="""",K162=""""),""Ошибка: обязательные поля"",NOT(REGEXMATCH(H162,""^https?://"&amp;"[^ /]+"")),""Ошибка: некорректная ссылка"",COUNTIF('Справочники'!$A$4:$A$24,C162)=0,""Ошибка: территория вне справочника"",K162=""Недоступен"",""Ошибка: ссылка недоступна"",E162=""Неофициальный источник"",IF(K162=""Активен"",""Готово"",""Проверить: активн"&amp;"ость""),I162&lt;&gt;""Подтверждено"",""Проверить: официальность / комментарий"",K162&lt;&gt;""Активен"",""Проверить: активность"",AND(ISNUMBER(J162),J162&lt;TODAY()-30),""Проверить: публикации старше 30 дней"",TRUE,""Готово""))"),"Проверить: официальность / комментарий")</f>
        <v>Проверить: официальность / комментарий</v>
      </c>
    </row>
    <row r="163" spans="1:13" ht="25.5" customHeight="1">
      <c r="A163" s="23" t="s">
        <v>78</v>
      </c>
      <c r="B163" s="13">
        <v>46267</v>
      </c>
      <c r="C163" s="23" t="s">
        <v>89</v>
      </c>
      <c r="D163" s="24" t="s">
        <v>507</v>
      </c>
      <c r="E163" s="23" t="s">
        <v>36</v>
      </c>
      <c r="F163" s="23" t="s">
        <v>34</v>
      </c>
      <c r="G163" s="24" t="s">
        <v>508</v>
      </c>
      <c r="H163" s="26" t="s">
        <v>509</v>
      </c>
      <c r="I163" s="24" t="s">
        <v>17</v>
      </c>
      <c r="J163" s="13"/>
      <c r="K163" s="23" t="s">
        <v>18</v>
      </c>
      <c r="L163" s="24" t="s">
        <v>230</v>
      </c>
      <c r="M163" s="21" t="str">
        <f ca="1">IFERROR(__xludf.DUMMYFUNCTION("IF(COUNTA(A163:L163)=0,"""",IFS(AND(H163&lt;&gt;"""",COUNTIF($H$6:$H$504,H163)&gt;1),""Ошибка: повтор URL"",OR(A163="""",B163="""",C163="""",D163="""",E163="""",F163="""",G163="""",H163="""",K163=""""),""Ошибка: обязательные поля"",NOT(REGEXMATCH(H163,""^https?://"&amp;"[^ /]+"")),""Ошибка: некорректная ссылка"",COUNTIF('Справочники'!$A$4:$A$24,C163)=0,""Ошибка: территория вне справочника"",K163=""Недоступен"",""Ошибка: ссылка недоступна"",E163=""Неофициальный источник"",IF(K163=""Активен"",""Готово"",""Проверить: активн"&amp;"ость""),I163&lt;&gt;""Подтверждено"",""Проверить: официальность / комментарий"",K163&lt;&gt;""Активен"",""Проверить: активность"",AND(ISNUMBER(J163),J163&lt;TODAY()-30),""Проверить: публикации старше 30 дней"",TRUE,""Готово""))"),"Проверить: официальность / комментарий")</f>
        <v>Проверить: официальность / комментарий</v>
      </c>
    </row>
    <row r="164" spans="1:13" ht="25.5" customHeight="1">
      <c r="A164" s="23" t="s">
        <v>78</v>
      </c>
      <c r="B164" s="13">
        <v>46267</v>
      </c>
      <c r="C164" s="23" t="s">
        <v>89</v>
      </c>
      <c r="D164" s="24" t="s">
        <v>375</v>
      </c>
      <c r="E164" s="23" t="s">
        <v>36</v>
      </c>
      <c r="F164" s="23" t="s">
        <v>34</v>
      </c>
      <c r="G164" s="24" t="s">
        <v>510</v>
      </c>
      <c r="H164" s="26" t="s">
        <v>511</v>
      </c>
      <c r="I164" s="24" t="s">
        <v>17</v>
      </c>
      <c r="J164" s="13"/>
      <c r="K164" s="23" t="s">
        <v>18</v>
      </c>
      <c r="L164" s="24" t="s">
        <v>230</v>
      </c>
      <c r="M164" s="21" t="str">
        <f ca="1">IFERROR(__xludf.DUMMYFUNCTION("IF(COUNTA(A164:L164)=0,"""",IFS(AND(H164&lt;&gt;"""",COUNTIF($H$6:$H$504,H164)&gt;1),""Ошибка: повтор URL"",OR(A164="""",B164="""",C164="""",D164="""",E164="""",F164="""",G164="""",H164="""",K164=""""),""Ошибка: обязательные поля"",NOT(REGEXMATCH(H164,""^https?://"&amp;"[^ /]+"")),""Ошибка: некорректная ссылка"",COUNTIF('Справочники'!$A$4:$A$24,C164)=0,""Ошибка: территория вне справочника"",K164=""Недоступен"",""Ошибка: ссылка недоступна"",E164=""Неофициальный источник"",IF(K164=""Активен"",""Готово"",""Проверить: активн"&amp;"ость""),I164&lt;&gt;""Подтверждено"",""Проверить: официальность / комментарий"",K164&lt;&gt;""Активен"",""Проверить: активность"",AND(ISNUMBER(J164),J164&lt;TODAY()-30),""Проверить: публикации старше 30 дней"",TRUE,""Готово""))"),"Готово")</f>
        <v>Готово</v>
      </c>
    </row>
    <row r="165" spans="1:13" ht="25.5" customHeight="1">
      <c r="A165" s="23" t="s">
        <v>78</v>
      </c>
      <c r="B165" s="13">
        <v>46267</v>
      </c>
      <c r="C165" s="23" t="s">
        <v>89</v>
      </c>
      <c r="D165" s="24" t="s">
        <v>512</v>
      </c>
      <c r="E165" s="23" t="s">
        <v>75</v>
      </c>
      <c r="F165" s="23" t="s">
        <v>34</v>
      </c>
      <c r="G165" s="24" t="s">
        <v>513</v>
      </c>
      <c r="H165" s="26" t="s">
        <v>514</v>
      </c>
      <c r="I165" s="24" t="s">
        <v>27</v>
      </c>
      <c r="J165" s="13"/>
      <c r="K165" s="23" t="s">
        <v>18</v>
      </c>
      <c r="L165" s="24" t="s">
        <v>322</v>
      </c>
      <c r="M165" s="21" t="str">
        <f ca="1">IFERROR(__xludf.DUMMYFUNCTION("IF(COUNTA(A165:L165)=0,"""",IFS(AND(H165&lt;&gt;"""",COUNTIF($H$6:$H$504,H165)&gt;1),""Ошибка: повтор URL"",OR(A165="""",B165="""",C165="""",D165="""",E165="""",F165="""",G165="""",H165="""",K165=""""),""Ошибка: обязательные поля"",NOT(REGEXMATCH(H165,""^https?://"&amp;"[^ /]+"")),""Ошибка: некорректная ссылка"",COUNTIF('Справочники'!$A$4:$A$24,C165)=0,""Ошибка: территория вне справочника"",K165=""Недоступен"",""Ошибка: ссылка недоступна"",E165=""Неофициальный источник"",IF(K165=""Активен"",""Готово"",""Проверить: активн"&amp;"ость""),I165&lt;&gt;""Подтверждено"",""Проверить: официальность / комментарий"",K165&lt;&gt;""Активен"",""Проверить: активность"",AND(ISNUMBER(J165),J165&lt;TODAY()-30),""Проверить: публикации старше 30 дней"",TRUE,""Готово""))"),"Готово")</f>
        <v>Готово</v>
      </c>
    </row>
    <row r="166" spans="1:13" ht="25.5" customHeight="1">
      <c r="A166" s="23" t="s">
        <v>78</v>
      </c>
      <c r="B166" s="13">
        <v>46267</v>
      </c>
      <c r="C166" s="23" t="s">
        <v>105</v>
      </c>
      <c r="D166" s="24" t="s">
        <v>331</v>
      </c>
      <c r="E166" s="23" t="s">
        <v>16</v>
      </c>
      <c r="F166" s="23" t="s">
        <v>34</v>
      </c>
      <c r="G166" s="24" t="s">
        <v>515</v>
      </c>
      <c r="H166" s="26" t="s">
        <v>516</v>
      </c>
      <c r="I166" s="24" t="s">
        <v>17</v>
      </c>
      <c r="J166" s="13"/>
      <c r="K166" s="23" t="s">
        <v>18</v>
      </c>
      <c r="L166" s="24" t="s">
        <v>230</v>
      </c>
      <c r="M166" s="21" t="str">
        <f ca="1">IFERROR(__xludf.DUMMYFUNCTION("IF(COUNTA(A166:L166)=0,"""",IFS(AND(H166&lt;&gt;"""",COUNTIF($H$6:$H$504,H166)&gt;1),""Ошибка: повтор URL"",OR(A166="""",B166="""",C166="""",D166="""",E166="""",F166="""",G166="""",H166="""",K166=""""),""Ошибка: обязательные поля"",NOT(REGEXMATCH(H166,""^https?://"&amp;"[^ /]+"")),""Ошибка: некорректная ссылка"",COUNTIF('Справочники'!$A$4:$A$24,C166)=0,""Ошибка: территория вне справочника"",K166=""Недоступен"",""Ошибка: ссылка недоступна"",E166=""Неофициальный источник"",IF(K166=""Активен"",""Готово"",""Проверить: активн"&amp;"ость""),I166&lt;&gt;""Подтверждено"",""Проверить: официальность / комментарий"",K166&lt;&gt;""Активен"",""Проверить: активность"",AND(ISNUMBER(J166),J166&lt;TODAY()-30),""Проверить: публикации старше 30 дней"",TRUE,""Готово""))"),"Готово")</f>
        <v>Готово</v>
      </c>
    </row>
    <row r="167" spans="1:13" ht="25.5" customHeight="1">
      <c r="A167" s="23" t="s">
        <v>78</v>
      </c>
      <c r="B167" s="13">
        <v>46267</v>
      </c>
      <c r="C167" s="23" t="s">
        <v>105</v>
      </c>
      <c r="D167" s="24" t="s">
        <v>158</v>
      </c>
      <c r="E167" s="23" t="s">
        <v>69</v>
      </c>
      <c r="F167" s="23" t="s">
        <v>34</v>
      </c>
      <c r="G167" s="24" t="s">
        <v>159</v>
      </c>
      <c r="H167" s="26" t="s">
        <v>517</v>
      </c>
      <c r="I167" s="24" t="s">
        <v>17</v>
      </c>
      <c r="J167" s="13"/>
      <c r="K167" s="23" t="s">
        <v>18</v>
      </c>
      <c r="L167" s="24" t="s">
        <v>230</v>
      </c>
      <c r="M167" s="21" t="str">
        <f ca="1">IFERROR(__xludf.DUMMYFUNCTION("IF(COUNTA(A167:L167)=0,"""",IFS(AND(H167&lt;&gt;"""",COUNTIF($H$6:$H$504,H167)&gt;1),""Ошибка: повтор URL"",OR(A167="""",B167="""",C167="""",D167="""",E167="""",F167="""",G167="""",H167="""",K167=""""),""Ошибка: обязательные поля"",NOT(REGEXMATCH(H167,""^https?://"&amp;"[^ /]+"")),""Ошибка: некорректная ссылка"",COUNTIF('Справочники'!$A$4:$A$24,C167)=0,""Ошибка: территория вне справочника"",K167=""Недоступен"",""Ошибка: ссылка недоступна"",E167=""Неофициальный источник"",IF(K167=""Активен"",""Готово"",""Проверить: активн"&amp;"ость""),I167&lt;&gt;""Подтверждено"",""Проверить: официальность / комментарий"",K167&lt;&gt;""Активен"",""Проверить: активность"",AND(ISNUMBER(J167),J167&lt;TODAY()-30),""Проверить: публикации старше 30 дней"",TRUE,""Готово""))"),"Готово")</f>
        <v>Готово</v>
      </c>
    </row>
    <row r="168" spans="1:13" ht="25.5" customHeight="1">
      <c r="A168" s="23" t="s">
        <v>78</v>
      </c>
      <c r="B168" s="13">
        <v>46267</v>
      </c>
      <c r="C168" s="23" t="s">
        <v>105</v>
      </c>
      <c r="D168" s="24" t="s">
        <v>341</v>
      </c>
      <c r="E168" s="23" t="s">
        <v>69</v>
      </c>
      <c r="F168" s="23" t="s">
        <v>34</v>
      </c>
      <c r="G168" s="24" t="s">
        <v>518</v>
      </c>
      <c r="H168" s="26" t="s">
        <v>519</v>
      </c>
      <c r="I168" s="24" t="s">
        <v>17</v>
      </c>
      <c r="J168" s="13"/>
      <c r="K168" s="23" t="s">
        <v>18</v>
      </c>
      <c r="L168" s="24" t="s">
        <v>230</v>
      </c>
      <c r="M168" s="21" t="str">
        <f ca="1">IFERROR(__xludf.DUMMYFUNCTION("IF(COUNTA(A168:L168)=0,"""",IFS(AND(H168&lt;&gt;"""",COUNTIF($H$6:$H$504,H168)&gt;1),""Ошибка: повтор URL"",OR(A168="""",B168="""",C168="""",D168="""",E168="""",F168="""",G168="""",H168="""",K168=""""),""Ошибка: обязательные поля"",NOT(REGEXMATCH(H168,""^https?://"&amp;"[^ /]+"")),""Ошибка: некорректная ссылка"",COUNTIF('Справочники'!$A$4:$A$24,C168)=0,""Ошибка: территория вне справочника"",K168=""Недоступен"",""Ошибка: ссылка недоступна"",E168=""Неофициальный источник"",IF(K168=""Активен"",""Готово"",""Проверить: активн"&amp;"ость""),I168&lt;&gt;""Подтверждено"",""Проверить: официальность / комментарий"",K168&lt;&gt;""Активен"",""Проверить: активность"",AND(ISNUMBER(J168),J168&lt;TODAY()-30),""Проверить: публикации старше 30 дней"",TRUE,""Готово""))"),"Готово")</f>
        <v>Готово</v>
      </c>
    </row>
    <row r="169" spans="1:13" ht="25.5" customHeight="1">
      <c r="A169" s="23" t="s">
        <v>78</v>
      </c>
      <c r="B169" s="13">
        <v>46267</v>
      </c>
      <c r="C169" s="23" t="s">
        <v>105</v>
      </c>
      <c r="D169" s="24" t="s">
        <v>405</v>
      </c>
      <c r="E169" s="23" t="s">
        <v>36</v>
      </c>
      <c r="F169" s="23" t="s">
        <v>34</v>
      </c>
      <c r="G169" s="24" t="s">
        <v>520</v>
      </c>
      <c r="H169" s="26" t="s">
        <v>521</v>
      </c>
      <c r="I169" s="24" t="s">
        <v>17</v>
      </c>
      <c r="J169" s="13"/>
      <c r="K169" s="23" t="s">
        <v>18</v>
      </c>
      <c r="L169" s="24" t="s">
        <v>230</v>
      </c>
      <c r="M169" s="21" t="str">
        <f ca="1">IFERROR(__xludf.DUMMYFUNCTION("IF(COUNTA(A169:L169)=0,"""",IFS(AND(H169&lt;&gt;"""",COUNTIF($H$6:$H$504,H169)&gt;1),""Ошибка: повтор URL"",OR(A169="""",B169="""",C169="""",D169="""",E169="""",F169="""",G169="""",H169="""",K169=""""),""Ошибка: обязательные поля"",NOT(REGEXMATCH(H169,""^https?://"&amp;"[^ /]+"")),""Ошибка: некорректная ссылка"",COUNTIF('Справочники'!$A$4:$A$24,C169)=0,""Ошибка: территория вне справочника"",K169=""Недоступен"",""Ошибка: ссылка недоступна"",E169=""Неофициальный источник"",IF(K169=""Активен"",""Готово"",""Проверить: активн"&amp;"ость""),I169&lt;&gt;""Подтверждено"",""Проверить: официальность / комментарий"",K169&lt;&gt;""Активен"",""Проверить: активность"",AND(ISNUMBER(J169),J169&lt;TODAY()-30),""Проверить: публикации старше 30 дней"",TRUE,""Готово""))"),"Готово")</f>
        <v>Готово</v>
      </c>
    </row>
    <row r="170" spans="1:13" ht="25.5" customHeight="1">
      <c r="A170" s="23" t="s">
        <v>78</v>
      </c>
      <c r="B170" s="13">
        <v>46267</v>
      </c>
      <c r="C170" s="23" t="s">
        <v>84</v>
      </c>
      <c r="D170" s="24" t="s">
        <v>294</v>
      </c>
      <c r="E170" s="23" t="s">
        <v>69</v>
      </c>
      <c r="F170" s="23" t="s">
        <v>34</v>
      </c>
      <c r="G170" s="24" t="s">
        <v>522</v>
      </c>
      <c r="H170" s="26" t="s">
        <v>523</v>
      </c>
      <c r="I170" s="24" t="s">
        <v>17</v>
      </c>
      <c r="J170" s="13"/>
      <c r="K170" s="23" t="s">
        <v>18</v>
      </c>
      <c r="L170" s="24" t="s">
        <v>524</v>
      </c>
      <c r="M170" s="21" t="str">
        <f ca="1">IFERROR(__xludf.DUMMYFUNCTION("IF(COUNTA(A170:L170)=0,"""",IFS(AND(H170&lt;&gt;"""",COUNTIF($H$6:$H$504,H170)&gt;1),""Ошибка: повтор URL"",OR(A170="""",B170="""",C170="""",D170="""",E170="""",F170="""",G170="""",H170="""",K170=""""),""Ошибка: обязательные поля"",NOT(REGEXMATCH(H170,""^https?://"&amp;"[^ /]+"")),""Ошибка: некорректная ссылка"",COUNTIF('Справочники'!$A$4:$A$24,C170)=0,""Ошибка: территория вне справочника"",K170=""Недоступен"",""Ошибка: ссылка недоступна"",E170=""Неофициальный источник"",IF(K170=""Активен"",""Готово"",""Проверить: активн"&amp;"ость""),I170&lt;&gt;""Подтверждено"",""Проверить: официальность / комментарий"",K170&lt;&gt;""Активен"",""Проверить: активность"",AND(ISNUMBER(J170),J170&lt;TODAY()-30),""Проверить: публикации старше 30 дней"",TRUE,""Готово""))"),"Готово")</f>
        <v>Готово</v>
      </c>
    </row>
    <row r="171" spans="1:13" ht="25.5" customHeight="1">
      <c r="A171" s="23" t="s">
        <v>78</v>
      </c>
      <c r="B171" s="13">
        <v>46267</v>
      </c>
      <c r="C171" s="23" t="s">
        <v>84</v>
      </c>
      <c r="D171" s="24" t="s">
        <v>525</v>
      </c>
      <c r="E171" s="23" t="s">
        <v>75</v>
      </c>
      <c r="F171" s="23" t="s">
        <v>34</v>
      </c>
      <c r="G171" s="24" t="s">
        <v>526</v>
      </c>
      <c r="H171" s="26" t="s">
        <v>527</v>
      </c>
      <c r="I171" s="24" t="s">
        <v>17</v>
      </c>
      <c r="J171" s="13"/>
      <c r="K171" s="23" t="s">
        <v>18</v>
      </c>
      <c r="L171" s="24" t="s">
        <v>326</v>
      </c>
      <c r="M171" s="21" t="str">
        <f ca="1">IFERROR(__xludf.DUMMYFUNCTION("IF(COUNTA(A171:L171)=0,"""",IFS(AND(H171&lt;&gt;"""",COUNTIF($H$6:$H$504,H171)&gt;1),""Ошибка: повтор URL"",OR(A171="""",B171="""",C171="""",D171="""",E171="""",F171="""",G171="""",H171="""",K171=""""),""Ошибка: обязательные поля"",NOT(REGEXMATCH(H171,""^https?://"&amp;"[^ /]+"")),""Ошибка: некорректная ссылка"",COUNTIF('Справочники'!$A$4:$A$24,C171)=0,""Ошибка: территория вне справочника"",K171=""Недоступен"",""Ошибка: ссылка недоступна"",E171=""Неофициальный источник"",IF(K171=""Активен"",""Готово"",""Проверить: активн"&amp;"ость""),I171&lt;&gt;""Подтверждено"",""Проверить: официальность / комментарий"",K171&lt;&gt;""Активен"",""Проверить: активность"",AND(ISNUMBER(J171),J171&lt;TODAY()-30),""Проверить: публикации старше 30 дней"",TRUE,""Готово""))"),"Готово")</f>
        <v>Готово</v>
      </c>
    </row>
    <row r="172" spans="1:13" ht="25.5" customHeight="1">
      <c r="A172" s="23" t="s">
        <v>78</v>
      </c>
      <c r="B172" s="13">
        <v>46267</v>
      </c>
      <c r="C172" s="23" t="s">
        <v>84</v>
      </c>
      <c r="D172" s="24" t="s">
        <v>327</v>
      </c>
      <c r="E172" s="23" t="s">
        <v>60</v>
      </c>
      <c r="F172" s="23" t="s">
        <v>34</v>
      </c>
      <c r="G172" s="24" t="s">
        <v>528</v>
      </c>
      <c r="H172" s="26" t="s">
        <v>529</v>
      </c>
      <c r="I172" s="24" t="s">
        <v>17</v>
      </c>
      <c r="J172" s="13"/>
      <c r="K172" s="23" t="s">
        <v>18</v>
      </c>
      <c r="L172" s="24" t="s">
        <v>326</v>
      </c>
      <c r="M172" s="21" t="str">
        <f ca="1">IFERROR(__xludf.DUMMYFUNCTION("IF(COUNTA(A172:L172)=0,"""",IFS(AND(H172&lt;&gt;"""",COUNTIF($H$6:$H$504,H172)&gt;1),""Ошибка: повтор URL"",OR(A172="""",B172="""",C172="""",D172="""",E172="""",F172="""",G172="""",H172="""",K172=""""),""Ошибка: обязательные поля"",NOT(REGEXMATCH(H172,""^https?://"&amp;"[^ /]+"")),""Ошибка: некорректная ссылка"",COUNTIF('Справочники'!$A$4:$A$24,C172)=0,""Ошибка: территория вне справочника"",K172=""Недоступен"",""Ошибка: ссылка недоступна"",E172=""Неофициальный источник"",IF(K172=""Активен"",""Готово"",""Проверить: активн"&amp;"ость""),I172&lt;&gt;""Подтверждено"",""Проверить: официальность / комментарий"",K172&lt;&gt;""Активен"",""Проверить: активность"",AND(ISNUMBER(J172),J172&lt;TODAY()-30),""Проверить: публикации старше 30 дней"",TRUE,""Готово""))"),"Готово")</f>
        <v>Готово</v>
      </c>
    </row>
    <row r="173" spans="1:13" ht="25.5" customHeight="1">
      <c r="A173" s="27" t="s">
        <v>530</v>
      </c>
      <c r="B173" s="28">
        <v>46267</v>
      </c>
      <c r="C173" s="27" t="s">
        <v>6</v>
      </c>
      <c r="D173" s="29" t="s">
        <v>8</v>
      </c>
      <c r="E173" s="27" t="s">
        <v>16</v>
      </c>
      <c r="F173" s="27" t="s">
        <v>43</v>
      </c>
      <c r="G173" s="29" t="s">
        <v>8</v>
      </c>
      <c r="H173" s="44" t="s">
        <v>531</v>
      </c>
      <c r="I173" s="29" t="s">
        <v>17</v>
      </c>
      <c r="J173" s="28"/>
      <c r="K173" s="27" t="s">
        <v>18</v>
      </c>
      <c r="L173" s="29" t="s">
        <v>103</v>
      </c>
      <c r="M173" s="25" t="str">
        <f ca="1">IFERROR(__xludf.DUMMYFUNCTION("IF(COUNTA(A173:L173)=0,"""",IFS(AND(H173&lt;&gt;"""",COUNTIF($H$6:$H$504,H173)&gt;1),""Ошибка: повтор URL"",OR(A173="""",B173="""",C173="""",D173="""",E173="""",F173="""",G173="""",H173="""",K173=""""),""Ошибка: обязательные поля"",NOT(REGEXMATCH(H173,""^https?://"&amp;"[^ /]+"")),""Ошибка: некорректная ссылка"",COUNTIF('Справочники'!$A$4:$A$24,C173)=0,""Ошибка: территория вне справочника"",K173=""Недоступен"",""Ошибка: ссылка недоступна"",E173=""Неофициальный источник"",IF(K173=""Активен"",""Готово"",""Проверить: активн"&amp;"ость""),I173&lt;&gt;""Подтверждено"",""Проверить: официальность / комментарий"",K173&lt;&gt;""Активен"",""Проверить: активность"",AND(ISNUMBER(J173),J173&lt;TODAY()-30),""Проверить: публикации старше 30 дней"",TRUE,""Готово""))"),"Готово")</f>
        <v>Готово</v>
      </c>
    </row>
    <row r="174" spans="1:13" ht="25.5" customHeight="1">
      <c r="A174" s="45" t="s">
        <v>530</v>
      </c>
      <c r="B174" s="46">
        <v>46267</v>
      </c>
      <c r="C174" s="45" t="s">
        <v>98</v>
      </c>
      <c r="D174" s="47" t="s">
        <v>214</v>
      </c>
      <c r="E174" s="45" t="s">
        <v>75</v>
      </c>
      <c r="F174" s="45" t="s">
        <v>43</v>
      </c>
      <c r="G174" s="47" t="s">
        <v>214</v>
      </c>
      <c r="H174" s="48" t="s">
        <v>532</v>
      </c>
      <c r="I174" s="47" t="s">
        <v>100</v>
      </c>
      <c r="J174" s="49" t="s">
        <v>100</v>
      </c>
      <c r="K174" s="45" t="s">
        <v>18</v>
      </c>
      <c r="L174" s="50" t="s">
        <v>533</v>
      </c>
      <c r="M174" s="51" t="str">
        <f ca="1">IFERROR(__xludf.DUMMYFUNCTION("IF(COUNTA(A174:L174)=0,"""",IFS(AND(H174&lt;&gt;"""",COUNTIF($H$6:$H$504,H174)&gt;1),""Ошибка: повтор URL"",OR(A174="""",B174="""",C174="""",D174="""",E174="""",F174="""",G174="""",H174="""",K174=""""),""Ошибка: обязательные поля"",NOT(REGEXMATCH(H174,""^https?://"&amp;"[^ /]+"")),""Ошибка: некорректная ссылка"",COUNTIF('Справочники'!$A$4:$A$24,C174)=0,""Ошибка: территория вне справочника"",K174=""Недоступен"",""Ошибка: ссылка недоступна"",E174=""Неофициальный источник"",IF(K174=""Активен"",""Готово"",""Проверить: активн"&amp;"ость""),I174&lt;&gt;""Подтверждено"",""Проверить: официальность / комментарий"",K174&lt;&gt;""Активен"",""Проверить: активность"",AND(ISNUMBER(J174),J174&lt;TODAY()-30),""Проверить: публикации старше 30 дней"",TRUE,""Готово""))"),"Готово")</f>
        <v>Готово</v>
      </c>
    </row>
    <row r="175" spans="1:13" ht="25.5" customHeight="1">
      <c r="A175" s="27" t="s">
        <v>530</v>
      </c>
      <c r="B175" s="28">
        <v>46267</v>
      </c>
      <c r="C175" s="27" t="s">
        <v>84</v>
      </c>
      <c r="D175" s="29" t="s">
        <v>229</v>
      </c>
      <c r="E175" s="27" t="s">
        <v>75</v>
      </c>
      <c r="F175" s="27" t="s">
        <v>43</v>
      </c>
      <c r="G175" s="29" t="s">
        <v>229</v>
      </c>
      <c r="H175" s="44" t="s">
        <v>534</v>
      </c>
      <c r="I175" s="29" t="s">
        <v>100</v>
      </c>
      <c r="J175" s="28" t="s">
        <v>100</v>
      </c>
      <c r="K175" s="27" t="s">
        <v>18</v>
      </c>
      <c r="L175" s="29" t="s">
        <v>535</v>
      </c>
      <c r="M175" s="25" t="str">
        <f ca="1">IFERROR(__xludf.DUMMYFUNCTION("IF(COUNTA(A175:L175)=0,"""",IFS(AND(H175&lt;&gt;"""",COUNTIF($H$6:$H$504,H175)&gt;1),""Ошибка: повтор URL"",OR(A175="""",B175="""",C175="""",D175="""",E175="""",F175="""",G175="""",H175="""",K175=""""),""Ошибка: обязательные поля"",NOT(REGEXMATCH(H175,""^https?://"&amp;"[^ /]+"")),""Ошибка: некорректная ссылка"",COUNTIF('Справочники'!$A$4:$A$24,C175)=0,""Ошибка: территория вне справочника"",K175=""Недоступен"",""Ошибка: ссылка недоступна"",E175=""Неофициальный источник"",IF(K175=""Активен"",""Готово"",""Проверить: активн"&amp;"ость""),I175&lt;&gt;""Подтверждено"",""Проверить: официальность / комментарий"",K175&lt;&gt;""Активен"",""Проверить: активность"",AND(ISNUMBER(J175),J175&lt;TODAY()-30),""Проверить: публикации старше 30 дней"",TRUE,""Готово""))"),"Готово")</f>
        <v>Готово</v>
      </c>
    </row>
    <row r="176" spans="1:13" ht="25.5" customHeight="1">
      <c r="A176" s="45" t="s">
        <v>530</v>
      </c>
      <c r="B176" s="46">
        <v>46267</v>
      </c>
      <c r="C176" s="45" t="s">
        <v>101</v>
      </c>
      <c r="D176" s="47" t="s">
        <v>131</v>
      </c>
      <c r="E176" s="45" t="s">
        <v>75</v>
      </c>
      <c r="F176" s="45" t="s">
        <v>43</v>
      </c>
      <c r="G176" s="47" t="s">
        <v>131</v>
      </c>
      <c r="H176" s="48" t="s">
        <v>536</v>
      </c>
      <c r="I176" s="47" t="s">
        <v>100</v>
      </c>
      <c r="J176" s="49" t="s">
        <v>100</v>
      </c>
      <c r="K176" s="45" t="s">
        <v>18</v>
      </c>
      <c r="L176" s="50" t="s">
        <v>535</v>
      </c>
      <c r="M176" s="51" t="str">
        <f ca="1">IFERROR(__xludf.DUMMYFUNCTION("IF(COUNTA(A176:L176)=0,"""",IFS(AND(H176&lt;&gt;"""",COUNTIF($H$6:$H$504,H176)&gt;1),""Ошибка: повтор URL"",OR(A176="""",B176="""",C176="""",D176="""",E176="""",F176="""",G176="""",H176="""",K176=""""),""Ошибка: обязательные поля"",NOT(REGEXMATCH(H176,""^https?://"&amp;"[^ /]+"")),""Ошибка: некорректная ссылка"",COUNTIF('Справочники'!$A$4:$A$24,C176)=0,""Ошибка: территория вне справочника"",K176=""Недоступен"",""Ошибка: ссылка недоступна"",E176=""Неофициальный источник"",IF(K176=""Активен"",""Готово"",""Проверить: активн"&amp;"ость""),I176&lt;&gt;""Подтверждено"",""Проверить: официальность / комментарий"",K176&lt;&gt;""Активен"",""Проверить: активность"",AND(ISNUMBER(J176),J176&lt;TODAY()-30),""Проверить: публикации старше 30 дней"",TRUE,""Готово""))"),"Готово")</f>
        <v>Готово</v>
      </c>
    </row>
    <row r="177" spans="1:13" ht="25.5" customHeight="1">
      <c r="A177" s="27" t="s">
        <v>530</v>
      </c>
      <c r="B177" s="28">
        <v>46267</v>
      </c>
      <c r="C177" s="27" t="s">
        <v>6</v>
      </c>
      <c r="D177" s="29" t="s">
        <v>80</v>
      </c>
      <c r="E177" s="27" t="s">
        <v>75</v>
      </c>
      <c r="F177" s="27" t="s">
        <v>43</v>
      </c>
      <c r="G177" s="29" t="s">
        <v>80</v>
      </c>
      <c r="H177" s="44" t="s">
        <v>537</v>
      </c>
      <c r="I177" s="29" t="s">
        <v>100</v>
      </c>
      <c r="J177" s="28" t="s">
        <v>100</v>
      </c>
      <c r="K177" s="27" t="s">
        <v>18</v>
      </c>
      <c r="L177" s="29" t="s">
        <v>535</v>
      </c>
      <c r="M177" s="25" t="str">
        <f ca="1">IFERROR(__xludf.DUMMYFUNCTION("IF(COUNTA(A177:L177)=0,"""",IFS(AND(H177&lt;&gt;"""",COUNTIF($H$6:$H$504,H177)&gt;1),""Ошибка: повтор URL"",OR(A177="""",B177="""",C177="""",D177="""",E177="""",F177="""",G177="""",H177="""",K177=""""),""Ошибка: обязательные поля"",NOT(REGEXMATCH(H177,""^https?://"&amp;"[^ /]+"")),""Ошибка: некорректная ссылка"",COUNTIF('Справочники'!$A$4:$A$24,C177)=0,""Ошибка: территория вне справочника"",K177=""Недоступен"",""Ошибка: ссылка недоступна"",E177=""Неофициальный источник"",IF(K177=""Активен"",""Готово"",""Проверить: активн"&amp;"ость""),I177&lt;&gt;""Подтверждено"",""Проверить: официальность / комментарий"",K177&lt;&gt;""Активен"",""Проверить: активность"",AND(ISNUMBER(J177),J177&lt;TODAY()-30),""Проверить: публикации старше 30 дней"",TRUE,""Готово""))"),"Готово")</f>
        <v>Готово</v>
      </c>
    </row>
    <row r="178" spans="1:13" ht="25.5" customHeight="1">
      <c r="A178" s="27" t="s">
        <v>530</v>
      </c>
      <c r="B178" s="28">
        <v>46267</v>
      </c>
      <c r="C178" s="27" t="s">
        <v>6</v>
      </c>
      <c r="D178" s="29" t="s">
        <v>102</v>
      </c>
      <c r="E178" s="27" t="s">
        <v>75</v>
      </c>
      <c r="F178" s="27" t="s">
        <v>43</v>
      </c>
      <c r="G178" s="29" t="s">
        <v>102</v>
      </c>
      <c r="H178" s="44" t="s">
        <v>538</v>
      </c>
      <c r="I178" s="29" t="s">
        <v>100</v>
      </c>
      <c r="J178" s="28" t="s">
        <v>100</v>
      </c>
      <c r="K178" s="27" t="s">
        <v>18</v>
      </c>
      <c r="L178" s="29" t="s">
        <v>535</v>
      </c>
      <c r="M178" s="25" t="str">
        <f ca="1">IFERROR(__xludf.DUMMYFUNCTION("IF(COUNTA(A178:L178)=0,"""",IFS(AND(H178&lt;&gt;"""",COUNTIF($H$6:$H$504,H178)&gt;1),""Ошибка: повтор URL"",OR(A178="""",B178="""",C178="""",D178="""",E178="""",F178="""",G178="""",H178="""",K178=""""),""Ошибка: обязательные поля"",NOT(REGEXMATCH(H178,""^https?://"&amp;"[^ /]+"")),""Ошибка: некорректная ссылка"",COUNTIF('Справочники'!$A$4:$A$24,C178)=0,""Ошибка: территория вне справочника"",K178=""Недоступен"",""Ошибка: ссылка недоступна"",E178=""Неофициальный источник"",IF(K178=""Активен"",""Готово"",""Проверить: активн"&amp;"ость""),I178&lt;&gt;""Подтверждено"",""Проверить: официальность / комментарий"",K178&lt;&gt;""Активен"",""Проверить: активность"",AND(ISNUMBER(J178),J178&lt;TODAY()-30),""Проверить: публикации старше 30 дней"",TRUE,""Готово""))"),"Готово")</f>
        <v>Готово</v>
      </c>
    </row>
    <row r="179" spans="1:13" ht="25.5" customHeight="1">
      <c r="A179" s="45" t="s">
        <v>530</v>
      </c>
      <c r="B179" s="46">
        <v>46267</v>
      </c>
      <c r="C179" s="45" t="s">
        <v>81</v>
      </c>
      <c r="D179" s="47" t="s">
        <v>81</v>
      </c>
      <c r="E179" s="45" t="s">
        <v>75</v>
      </c>
      <c r="F179" s="45" t="s">
        <v>43</v>
      </c>
      <c r="G179" s="47" t="s">
        <v>81</v>
      </c>
      <c r="H179" s="48" t="s">
        <v>539</v>
      </c>
      <c r="I179" s="47" t="s">
        <v>100</v>
      </c>
      <c r="J179" s="49" t="s">
        <v>100</v>
      </c>
      <c r="K179" s="45" t="s">
        <v>18</v>
      </c>
      <c r="L179" s="50" t="s">
        <v>535</v>
      </c>
      <c r="M179" s="51" t="str">
        <f ca="1">IFERROR(__xludf.DUMMYFUNCTION("IF(COUNTA(A179:L179)=0,"""",IFS(AND(H179&lt;&gt;"""",COUNTIF($H$6:$H$504,H179)&gt;1),""Ошибка: повтор URL"",OR(A179="""",B179="""",C179="""",D179="""",E179="""",F179="""",G179="""",H179="""",K179=""""),""Ошибка: обязательные поля"",NOT(REGEXMATCH(H179,""^https?://"&amp;"[^ /]+"")),""Ошибка: некорректная ссылка"",COUNTIF('Справочники'!$A$4:$A$24,C179)=0,""Ошибка: территория вне справочника"",K179=""Недоступен"",""Ошибка: ссылка недоступна"",E179=""Неофициальный источник"",IF(K179=""Активен"",""Готово"",""Проверить: активн"&amp;"ость""),I179&lt;&gt;""Подтверждено"",""Проверить: официальность / комментарий"",K179&lt;&gt;""Активен"",""Проверить: активность"",AND(ISNUMBER(J179),J179&lt;TODAY()-30),""Проверить: публикации старше 30 дней"",TRUE,""Готово""))"),"Готово")</f>
        <v>Готово</v>
      </c>
    </row>
    <row r="180" spans="1:13" ht="25.5" customHeight="1">
      <c r="A180" s="27" t="s">
        <v>530</v>
      </c>
      <c r="B180" s="28">
        <v>46267</v>
      </c>
      <c r="C180" s="27" t="s">
        <v>6</v>
      </c>
      <c r="D180" s="29" t="s">
        <v>106</v>
      </c>
      <c r="E180" s="27" t="s">
        <v>75</v>
      </c>
      <c r="F180" s="27" t="s">
        <v>43</v>
      </c>
      <c r="G180" s="29" t="s">
        <v>106</v>
      </c>
      <c r="H180" s="44" t="s">
        <v>540</v>
      </c>
      <c r="I180" s="29" t="s">
        <v>100</v>
      </c>
      <c r="J180" s="28" t="s">
        <v>100</v>
      </c>
      <c r="K180" s="27" t="s">
        <v>18</v>
      </c>
      <c r="L180" s="29" t="s">
        <v>535</v>
      </c>
      <c r="M180" s="25" t="str">
        <f ca="1">IFERROR(__xludf.DUMMYFUNCTION("IF(COUNTA(A180:L180)=0,"""",IFS(AND(H180&lt;&gt;"""",COUNTIF($H$6:$H$504,H180)&gt;1),""Ошибка: повтор URL"",OR(A180="""",B180="""",C180="""",D180="""",E180="""",F180="""",G180="""",H180="""",K180=""""),""Ошибка: обязательные поля"",NOT(REGEXMATCH(H180,""^https?://"&amp;"[^ /]+"")),""Ошибка: некорректная ссылка"",COUNTIF('Справочники'!$A$4:$A$24,C180)=0,""Ошибка: территория вне справочника"",K180=""Недоступен"",""Ошибка: ссылка недоступна"",E180=""Неофициальный источник"",IF(K180=""Активен"",""Готово"",""Проверить: активн"&amp;"ость""),I180&lt;&gt;""Подтверждено"",""Проверить: официальность / комментарий"",K180&lt;&gt;""Активен"",""Проверить: активность"",AND(ISNUMBER(J180),J180&lt;TODAY()-30),""Проверить: публикации старше 30 дней"",TRUE,""Готово""))"),"Готово")</f>
        <v>Готово</v>
      </c>
    </row>
    <row r="181" spans="1:13" ht="25.5" customHeight="1">
      <c r="A181" s="45" t="s">
        <v>530</v>
      </c>
      <c r="B181" s="46">
        <v>46267</v>
      </c>
      <c r="C181" s="45" t="s">
        <v>98</v>
      </c>
      <c r="D181" s="47" t="s">
        <v>206</v>
      </c>
      <c r="E181" s="45" t="s">
        <v>75</v>
      </c>
      <c r="F181" s="45" t="s">
        <v>43</v>
      </c>
      <c r="G181" s="47" t="s">
        <v>206</v>
      </c>
      <c r="H181" s="48" t="s">
        <v>541</v>
      </c>
      <c r="I181" s="47" t="s">
        <v>100</v>
      </c>
      <c r="J181" s="49" t="s">
        <v>100</v>
      </c>
      <c r="K181" s="45" t="s">
        <v>18</v>
      </c>
      <c r="L181" s="50" t="s">
        <v>535</v>
      </c>
      <c r="M181" s="51" t="str">
        <f ca="1">IFERROR(__xludf.DUMMYFUNCTION("IF(COUNTA(A181:L181)=0,"""",IFS(AND(H181&lt;&gt;"""",COUNTIF($H$6:$H$504,H181)&gt;1),""Ошибка: повтор URL"",OR(A181="""",B181="""",C181="""",D181="""",E181="""",F181="""",G181="""",H181="""",K181=""""),""Ошибка: обязательные поля"",NOT(REGEXMATCH(H181,""^https?://"&amp;"[^ /]+"")),""Ошибка: некорректная ссылка"",COUNTIF('Справочники'!$A$4:$A$24,C181)=0,""Ошибка: территория вне справочника"",K181=""Недоступен"",""Ошибка: ссылка недоступна"",E181=""Неофициальный источник"",IF(K181=""Активен"",""Готово"",""Проверить: активн"&amp;"ость""),I181&lt;&gt;""Подтверждено"",""Проверить: официальность / комментарий"",K181&lt;&gt;""Активен"",""Проверить: активность"",AND(ISNUMBER(J181),J181&lt;TODAY()-30),""Проверить: публикации старше 30 дней"",TRUE,""Готово""))"),"Готово")</f>
        <v>Готово</v>
      </c>
    </row>
    <row r="182" spans="1:13" ht="25.5" customHeight="1">
      <c r="A182" s="45" t="s">
        <v>530</v>
      </c>
      <c r="B182" s="46">
        <v>46267</v>
      </c>
      <c r="C182" s="45" t="s">
        <v>98</v>
      </c>
      <c r="D182" s="47" t="s">
        <v>212</v>
      </c>
      <c r="E182" s="45" t="s">
        <v>75</v>
      </c>
      <c r="F182" s="45" t="s">
        <v>43</v>
      </c>
      <c r="G182" s="47" t="s">
        <v>212</v>
      </c>
      <c r="H182" s="48" t="s">
        <v>542</v>
      </c>
      <c r="I182" s="47" t="s">
        <v>100</v>
      </c>
      <c r="J182" s="49" t="s">
        <v>100</v>
      </c>
      <c r="K182" s="45" t="s">
        <v>18</v>
      </c>
      <c r="L182" s="50" t="s">
        <v>543</v>
      </c>
      <c r="M182" s="51" t="str">
        <f ca="1">IFERROR(__xludf.DUMMYFUNCTION("IF(COUNTA(A182:L182)=0,"""",IFS(AND(H182&lt;&gt;"""",COUNTIF($H$6:$H$504,H182)&gt;1),""Ошибка: повтор URL"",OR(A182="""",B182="""",C182="""",D182="""",E182="""",F182="""",G182="""",H182="""",K182=""""),""Ошибка: обязательные поля"",NOT(REGEXMATCH(H182,""^https?://"&amp;"[^ /]+"")),""Ошибка: некорректная ссылка"",COUNTIF('Справочники'!$A$4:$A$24,C182)=0,""Ошибка: территория вне справочника"",K182=""Недоступен"",""Ошибка: ссылка недоступна"",E182=""Неофициальный источник"",IF(K182=""Активен"",""Готово"",""Проверить: активн"&amp;"ость""),I182&lt;&gt;""Подтверждено"",""Проверить: официальность / комментарий"",K182&lt;&gt;""Активен"",""Проверить: активность"",AND(ISNUMBER(J182),J182&lt;TODAY()-30),""Проверить: публикации старше 30 дней"",TRUE,""Готово""))"),"Готово")</f>
        <v>Готово</v>
      </c>
    </row>
    <row r="183" spans="1:13" ht="25.5" customHeight="1">
      <c r="A183" s="45" t="s">
        <v>530</v>
      </c>
      <c r="B183" s="46">
        <v>46267</v>
      </c>
      <c r="C183" s="45" t="s">
        <v>64</v>
      </c>
      <c r="D183" s="47" t="s">
        <v>216</v>
      </c>
      <c r="E183" s="45" t="s">
        <v>16</v>
      </c>
      <c r="F183" s="45" t="s">
        <v>14</v>
      </c>
      <c r="G183" s="47" t="s">
        <v>216</v>
      </c>
      <c r="H183" s="48" t="s">
        <v>544</v>
      </c>
      <c r="I183" s="47" t="s">
        <v>17</v>
      </c>
      <c r="J183" s="49">
        <v>46266</v>
      </c>
      <c r="K183" s="45" t="s">
        <v>18</v>
      </c>
      <c r="L183" s="50" t="s">
        <v>330</v>
      </c>
      <c r="M183" s="51" t="str">
        <f ca="1">IFERROR(__xludf.DUMMYFUNCTION("IF(COUNTA(A183:L183)=0,"""",IFS(AND(H183&lt;&gt;"""",COUNTIF($H$6:$H$504,H183)&gt;1),""Ошибка: повтор URL"",OR(A183="""",B183="""",C183="""",D183="""",E183="""",F183="""",G183="""",H183="""",K183=""""),""Ошибка: обязательные поля"",NOT(REGEXMATCH(H183,""^https?://"&amp;"[^ /]+"")),""Ошибка: некорректная ссылка"",COUNTIF('Справочники'!$A$4:$A$24,C183)=0,""Ошибка: территория вне справочника"",K183=""Недоступен"",""Ошибка: ссылка недоступна"",E183=""Неофициальный источник"",IF(K183=""Активен"",""Готово"",""Проверить: активн"&amp;"ость""),I183&lt;&gt;""Подтверждено"",""Проверить: официальность / комментарий"",K183&lt;&gt;""Активен"",""Проверить: активность"",AND(ISNUMBER(J183),J183&lt;TODAY()-30),""Проверить: публикации старше 30 дней"",TRUE,""Готово""))"),"Готово")</f>
        <v>Готово</v>
      </c>
    </row>
    <row r="184" spans="1:13" ht="25.5" customHeight="1">
      <c r="A184" s="27" t="s">
        <v>530</v>
      </c>
      <c r="B184" s="28">
        <v>46267</v>
      </c>
      <c r="C184" s="27" t="s">
        <v>6</v>
      </c>
      <c r="D184" s="29" t="s">
        <v>8</v>
      </c>
      <c r="E184" s="27" t="s">
        <v>16</v>
      </c>
      <c r="F184" s="27" t="s">
        <v>14</v>
      </c>
      <c r="G184" s="29" t="s">
        <v>8</v>
      </c>
      <c r="H184" s="44" t="s">
        <v>545</v>
      </c>
      <c r="I184" s="29" t="s">
        <v>17</v>
      </c>
      <c r="J184" s="28"/>
      <c r="K184" s="27" t="s">
        <v>18</v>
      </c>
      <c r="L184" s="29" t="s">
        <v>103</v>
      </c>
      <c r="M184" s="25" t="str">
        <f ca="1">IFERROR(__xludf.DUMMYFUNCTION("IF(COUNTA(A184:L184)=0,"""",IFS(AND(H184&lt;&gt;"""",COUNTIF($H$6:$H$504,H184)&gt;1),""Ошибка: повтор URL"",OR(A184="""",B184="""",C184="""",D184="""",E184="""",F184="""",G184="""",H184="""",K184=""""),""Ошибка: обязательные поля"",NOT(REGEXMATCH(H184,""^https?://"&amp;"[^ /]+"")),""Ошибка: некорректная ссылка"",COUNTIF('Справочники'!$A$4:$A$24,C184)=0,""Ошибка: территория вне справочника"",K184=""Недоступен"",""Ошибка: ссылка недоступна"",E184=""Неофициальный источник"",IF(K184=""Активен"",""Готово"",""Проверить: активн"&amp;"ость""),I184&lt;&gt;""Подтверждено"",""Проверить: официальность / комментарий"",K184&lt;&gt;""Активен"",""Проверить: активность"",AND(ISNUMBER(J184),J184&lt;TODAY()-30),""Проверить: публикации старше 30 дней"",TRUE,""Готово""))"),"Готово")</f>
        <v>Готово</v>
      </c>
    </row>
    <row r="185" spans="1:13" ht="25.5" customHeight="1">
      <c r="A185" s="45" t="s">
        <v>530</v>
      </c>
      <c r="B185" s="46">
        <v>46267</v>
      </c>
      <c r="C185" s="45" t="s">
        <v>81</v>
      </c>
      <c r="D185" s="47" t="s">
        <v>144</v>
      </c>
      <c r="E185" s="45" t="s">
        <v>16</v>
      </c>
      <c r="F185" s="45" t="s">
        <v>14</v>
      </c>
      <c r="G185" s="47" t="s">
        <v>144</v>
      </c>
      <c r="H185" s="48" t="s">
        <v>546</v>
      </c>
      <c r="I185" s="47" t="s">
        <v>17</v>
      </c>
      <c r="J185" s="49"/>
      <c r="K185" s="45" t="s">
        <v>18</v>
      </c>
      <c r="L185" s="50" t="s">
        <v>103</v>
      </c>
      <c r="M185" s="51" t="str">
        <f ca="1">IFERROR(__xludf.DUMMYFUNCTION("IF(COUNTA(A185:L185)=0,"""",IFS(AND(H185&lt;&gt;"""",COUNTIF($H$6:$H$504,H185)&gt;1),""Ошибка: повтор URL"",OR(A185="""",B185="""",C185="""",D185="""",E185="""",F185="""",G185="""",H185="""",K185=""""),""Ошибка: обязательные поля"",NOT(REGEXMATCH(H185,""^https?://"&amp;"[^ /]+"")),""Ошибка: некорректная ссылка"",COUNTIF('Справочники'!$A$4:$A$24,C185)=0,""Ошибка: территория вне справочника"",K185=""Недоступен"",""Ошибка: ссылка недоступна"",E185=""Неофициальный источник"",IF(K185=""Активен"",""Готово"",""Проверить: активн"&amp;"ость""),I185&lt;&gt;""Подтверждено"",""Проверить: официальность / комментарий"",K185&lt;&gt;""Активен"",""Проверить: активность"",AND(ISNUMBER(J185),J185&lt;TODAY()-30),""Проверить: публикации старше 30 дней"",TRUE,""Готово""))"),"Готово")</f>
        <v>Готово</v>
      </c>
    </row>
    <row r="186" spans="1:13" ht="25.5" customHeight="1">
      <c r="A186" s="45" t="s">
        <v>530</v>
      </c>
      <c r="B186" s="46">
        <v>46267</v>
      </c>
      <c r="C186" s="45" t="s">
        <v>98</v>
      </c>
      <c r="D186" s="47" t="s">
        <v>185</v>
      </c>
      <c r="E186" s="45" t="s">
        <v>16</v>
      </c>
      <c r="F186" s="45" t="s">
        <v>14</v>
      </c>
      <c r="G186" s="47" t="s">
        <v>185</v>
      </c>
      <c r="H186" s="48" t="s">
        <v>547</v>
      </c>
      <c r="I186" s="47" t="s">
        <v>17</v>
      </c>
      <c r="J186" s="49">
        <v>46266</v>
      </c>
      <c r="K186" s="45" t="s">
        <v>18</v>
      </c>
      <c r="L186" s="50" t="s">
        <v>330</v>
      </c>
      <c r="M186" s="51" t="str">
        <f ca="1">IFERROR(__xludf.DUMMYFUNCTION("IF(COUNTA(A186:L186)=0,"""",IFS(AND(H186&lt;&gt;"""",COUNTIF($H$6:$H$504,H186)&gt;1),""Ошибка: повтор URL"",OR(A186="""",B186="""",C186="""",D186="""",E186="""",F186="""",G186="""",H186="""",K186=""""),""Ошибка: обязательные поля"",NOT(REGEXMATCH(H186,""^https?://"&amp;"[^ /]+"")),""Ошибка: некорректная ссылка"",COUNTIF('Справочники'!$A$4:$A$24,C186)=0,""Ошибка: территория вне справочника"",K186=""Недоступен"",""Ошибка: ссылка недоступна"",E186=""Неофициальный источник"",IF(K186=""Активен"",""Готово"",""Проверить: активн"&amp;"ость""),I186&lt;&gt;""Подтверждено"",""Проверить: официальность / комментарий"",K186&lt;&gt;""Активен"",""Проверить: активность"",AND(ISNUMBER(J186),J186&lt;TODAY()-30),""Проверить: публикации старше 30 дней"",TRUE,""Готово""))"),"Готово")</f>
        <v>Готово</v>
      </c>
    </row>
    <row r="187" spans="1:13" ht="25.5" customHeight="1">
      <c r="A187" s="45" t="s">
        <v>530</v>
      </c>
      <c r="B187" s="46">
        <v>46267</v>
      </c>
      <c r="C187" s="45" t="s">
        <v>85</v>
      </c>
      <c r="D187" s="47" t="s">
        <v>171</v>
      </c>
      <c r="E187" s="45" t="s">
        <v>16</v>
      </c>
      <c r="F187" s="45" t="s">
        <v>14</v>
      </c>
      <c r="G187" s="47" t="s">
        <v>171</v>
      </c>
      <c r="H187" s="48" t="s">
        <v>548</v>
      </c>
      <c r="I187" s="47" t="s">
        <v>17</v>
      </c>
      <c r="J187" s="49">
        <v>46267</v>
      </c>
      <c r="K187" s="45" t="s">
        <v>18</v>
      </c>
      <c r="L187" s="50" t="s">
        <v>549</v>
      </c>
      <c r="M187" s="51" t="str">
        <f ca="1">IFERROR(__xludf.DUMMYFUNCTION("IF(COUNTA(A187:L187)=0,"""",IFS(AND(H187&lt;&gt;"""",COUNTIF($H$6:$H$504,H187)&gt;1),""Ошибка: повтор URL"",OR(A187="""",B187="""",C187="""",D187="""",E187="""",F187="""",G187="""",H187="""",K187=""""),""Ошибка: обязательные поля"",NOT(REGEXMATCH(H187,""^https?://"&amp;"[^ /]+"")),""Ошибка: некорректная ссылка"",COUNTIF('Справочники'!$A$4:$A$24,C187)=0,""Ошибка: территория вне справочника"",K187=""Недоступен"",""Ошибка: ссылка недоступна"",E187=""Неофициальный источник"",IF(K187=""Активен"",""Готово"",""Проверить: активн"&amp;"ость""),I187&lt;&gt;""Подтверждено"",""Проверить: официальность / комментарий"",K187&lt;&gt;""Активен"",""Проверить: активность"",AND(ISNUMBER(J187),J187&lt;TODAY()-30),""Проверить: публикации старше 30 дней"",TRUE,""Готово""))"),"Готово")</f>
        <v>Готово</v>
      </c>
    </row>
    <row r="188" spans="1:13" ht="25.5" customHeight="1">
      <c r="A188" s="27" t="s">
        <v>530</v>
      </c>
      <c r="B188" s="28">
        <v>46267</v>
      </c>
      <c r="C188" s="27" t="s">
        <v>101</v>
      </c>
      <c r="D188" s="29" t="s">
        <v>116</v>
      </c>
      <c r="E188" s="27" t="s">
        <v>16</v>
      </c>
      <c r="F188" s="27" t="s">
        <v>14</v>
      </c>
      <c r="G188" s="29" t="s">
        <v>116</v>
      </c>
      <c r="H188" s="44" t="s">
        <v>550</v>
      </c>
      <c r="I188" s="29" t="s">
        <v>17</v>
      </c>
      <c r="J188" s="28">
        <v>46266</v>
      </c>
      <c r="K188" s="27" t="s">
        <v>18</v>
      </c>
      <c r="L188" s="29" t="s">
        <v>330</v>
      </c>
      <c r="M188" s="25" t="str">
        <f ca="1">IFERROR(__xludf.DUMMYFUNCTION("IF(COUNTA(A188:L188)=0,"""",IFS(AND(H188&lt;&gt;"""",COUNTIF($H$6:$H$504,H188)&gt;1),""Ошибка: повтор URL"",OR(A188="""",B188="""",C188="""",D188="""",E188="""",F188="""",G188="""",H188="""",K188=""""),""Ошибка: обязательные поля"",NOT(REGEXMATCH(H188,""^https?://"&amp;"[^ /]+"")),""Ошибка: некорректная ссылка"",COUNTIF('Справочники'!$A$4:$A$24,C188)=0,""Ошибка: территория вне справочника"",K188=""Недоступен"",""Ошибка: ссылка недоступна"",E188=""Неофициальный источник"",IF(K188=""Активен"",""Готово"",""Проверить: активн"&amp;"ость""),I188&lt;&gt;""Подтверждено"",""Проверить: официальность / комментарий"",K188&lt;&gt;""Активен"",""Проверить: активность"",AND(ISNUMBER(J188),J188&lt;TODAY()-30),""Проверить: публикации старше 30 дней"",TRUE,""Готово""))"),"Готово")</f>
        <v>Готово</v>
      </c>
    </row>
    <row r="189" spans="1:13" ht="25.5" customHeight="1">
      <c r="A189" s="45" t="s">
        <v>530</v>
      </c>
      <c r="B189" s="46">
        <v>46267</v>
      </c>
      <c r="C189" s="45" t="s">
        <v>81</v>
      </c>
      <c r="D189" s="47" t="s">
        <v>145</v>
      </c>
      <c r="E189" s="45" t="s">
        <v>75</v>
      </c>
      <c r="F189" s="45" t="s">
        <v>14</v>
      </c>
      <c r="G189" s="47" t="s">
        <v>145</v>
      </c>
      <c r="H189" s="48" t="s">
        <v>551</v>
      </c>
      <c r="I189" s="47" t="s">
        <v>100</v>
      </c>
      <c r="J189" s="49" t="s">
        <v>100</v>
      </c>
      <c r="K189" s="45" t="s">
        <v>18</v>
      </c>
      <c r="L189" s="50" t="s">
        <v>535</v>
      </c>
      <c r="M189" s="51" t="str">
        <f ca="1">IFERROR(__xludf.DUMMYFUNCTION("IF(COUNTA(A189:L189)=0,"""",IFS(AND(H189&lt;&gt;"""",COUNTIF($H$6:$H$504,H189)&gt;1),""Ошибка: повтор URL"",OR(A189="""",B189="""",C189="""",D189="""",E189="""",F189="""",G189="""",H189="""",K189=""""),""Ошибка: обязательные поля"",NOT(REGEXMATCH(H189,""^https?://"&amp;"[^ /]+"")),""Ошибка: некорректная ссылка"",COUNTIF('Справочники'!$A$4:$A$24,C189)=0,""Ошибка: территория вне справочника"",K189=""Недоступен"",""Ошибка: ссылка недоступна"",E189=""Неофициальный источник"",IF(K189=""Активен"",""Готово"",""Проверить: активн"&amp;"ость""),I189&lt;&gt;""Подтверждено"",""Проверить: официальность / комментарий"",K189&lt;&gt;""Активен"",""Проверить: активность"",AND(ISNUMBER(J189),J189&lt;TODAY()-30),""Проверить: публикации старше 30 дней"",TRUE,""Готово""))"),"Готово")</f>
        <v>Готово</v>
      </c>
    </row>
    <row r="190" spans="1:13" ht="25.5" customHeight="1">
      <c r="A190" s="27" t="s">
        <v>530</v>
      </c>
      <c r="B190" s="28">
        <v>46267</v>
      </c>
      <c r="C190" s="27" t="s">
        <v>84</v>
      </c>
      <c r="D190" s="29" t="s">
        <v>108</v>
      </c>
      <c r="E190" s="27" t="s">
        <v>75</v>
      </c>
      <c r="F190" s="27" t="s">
        <v>14</v>
      </c>
      <c r="G190" s="29" t="s">
        <v>108</v>
      </c>
      <c r="H190" s="44" t="s">
        <v>552</v>
      </c>
      <c r="I190" s="29" t="s">
        <v>100</v>
      </c>
      <c r="J190" s="28" t="s">
        <v>100</v>
      </c>
      <c r="K190" s="27" t="s">
        <v>18</v>
      </c>
      <c r="L190" s="29" t="s">
        <v>535</v>
      </c>
      <c r="M190" s="25" t="str">
        <f ca="1">IFERROR(__xludf.DUMMYFUNCTION("IF(COUNTA(A190:L190)=0,"""",IFS(AND(H190&lt;&gt;"""",COUNTIF($H$6:$H$504,H190)&gt;1),""Ошибка: повтор URL"",OR(A190="""",B190="""",C190="""",D190="""",E190="""",F190="""",G190="""",H190="""",K190=""""),""Ошибка: обязательные поля"",NOT(REGEXMATCH(H190,""^https?://"&amp;"[^ /]+"")),""Ошибка: некорректная ссылка"",COUNTIF('Справочники'!$A$4:$A$24,C190)=0,""Ошибка: территория вне справочника"",K190=""Недоступен"",""Ошибка: ссылка недоступна"",E190=""Неофициальный источник"",IF(K190=""Активен"",""Готово"",""Проверить: активн"&amp;"ость""),I190&lt;&gt;""Подтверждено"",""Проверить: официальность / комментарий"",K190&lt;&gt;""Активен"",""Проверить: активность"",AND(ISNUMBER(J190),J190&lt;TODAY()-30),""Проверить: публикации старше 30 дней"",TRUE,""Готово""))"),"Готово")</f>
        <v>Готово</v>
      </c>
    </row>
    <row r="191" spans="1:13" ht="25.5" customHeight="1">
      <c r="A191" s="27" t="s">
        <v>530</v>
      </c>
      <c r="B191" s="28">
        <v>46267</v>
      </c>
      <c r="C191" s="27" t="s">
        <v>64</v>
      </c>
      <c r="D191" s="29" t="s">
        <v>218</v>
      </c>
      <c r="E191" s="27" t="s">
        <v>75</v>
      </c>
      <c r="F191" s="27" t="s">
        <v>14</v>
      </c>
      <c r="G191" s="29" t="s">
        <v>218</v>
      </c>
      <c r="H191" s="44" t="s">
        <v>553</v>
      </c>
      <c r="I191" s="29" t="s">
        <v>100</v>
      </c>
      <c r="J191" s="28" t="s">
        <v>100</v>
      </c>
      <c r="K191" s="27" t="s">
        <v>18</v>
      </c>
      <c r="L191" s="29" t="s">
        <v>535</v>
      </c>
      <c r="M191" s="25" t="str">
        <f ca="1">IFERROR(__xludf.DUMMYFUNCTION("IF(COUNTA(A191:L191)=0,"""",IFS(AND(H191&lt;&gt;"""",COUNTIF($H$6:$H$504,H191)&gt;1),""Ошибка: повтор URL"",OR(A191="""",B191="""",C191="""",D191="""",E191="""",F191="""",G191="""",H191="""",K191=""""),""Ошибка: обязательные поля"",NOT(REGEXMATCH(H191,""^https?://"&amp;"[^ /]+"")),""Ошибка: некорректная ссылка"",COUNTIF('Справочники'!$A$4:$A$24,C191)=0,""Ошибка: территория вне справочника"",K191=""Недоступен"",""Ошибка: ссылка недоступна"",E191=""Неофициальный источник"",IF(K191=""Активен"",""Готово"",""Проверить: активн"&amp;"ость""),I191&lt;&gt;""Подтверждено"",""Проверить: официальность / комментарий"",K191&lt;&gt;""Активен"",""Проверить: активность"",AND(ISNUMBER(J191),J191&lt;TODAY()-30),""Проверить: публикации старше 30 дней"",TRUE,""Готово""))"),"Готово")</f>
        <v>Готово</v>
      </c>
    </row>
    <row r="192" spans="1:13" ht="25.5" customHeight="1">
      <c r="A192" s="27" t="s">
        <v>530</v>
      </c>
      <c r="B192" s="28">
        <v>46267</v>
      </c>
      <c r="C192" s="27" t="s">
        <v>6</v>
      </c>
      <c r="D192" s="29" t="s">
        <v>42</v>
      </c>
      <c r="E192" s="27" t="s">
        <v>75</v>
      </c>
      <c r="F192" s="27" t="s">
        <v>14</v>
      </c>
      <c r="G192" s="29" t="s">
        <v>42</v>
      </c>
      <c r="H192" s="44" t="s">
        <v>554</v>
      </c>
      <c r="I192" s="29" t="s">
        <v>100</v>
      </c>
      <c r="J192" s="28" t="s">
        <v>100</v>
      </c>
      <c r="K192" s="27" t="s">
        <v>18</v>
      </c>
      <c r="L192" s="29" t="s">
        <v>535</v>
      </c>
      <c r="M192" s="25" t="str">
        <f ca="1">IFERROR(__xludf.DUMMYFUNCTION("IF(COUNTA(A192:L192)=0,"""",IFS(AND(H192&lt;&gt;"""",COUNTIF($H$6:$H$504,H192)&gt;1),""Ошибка: повтор URL"",OR(A192="""",B192="""",C192="""",D192="""",E192="""",F192="""",G192="""",H192="""",K192=""""),""Ошибка: обязательные поля"",NOT(REGEXMATCH(H192,""^https?://"&amp;"[^ /]+"")),""Ошибка: некорректная ссылка"",COUNTIF('Справочники'!$A$4:$A$24,C192)=0,""Ошибка: территория вне справочника"",K192=""Недоступен"",""Ошибка: ссылка недоступна"",E192=""Неофициальный источник"",IF(K192=""Активен"",""Готово"",""Проверить: активн"&amp;"ость""),I192&lt;&gt;""Подтверждено"",""Проверить: официальность / комментарий"",K192&lt;&gt;""Активен"",""Проверить: активность"",AND(ISNUMBER(J192),J192&lt;TODAY()-30),""Проверить: публикации старше 30 дней"",TRUE,""Готово""))"),"Готово")</f>
        <v>Готово</v>
      </c>
    </row>
    <row r="193" spans="1:13" ht="25.5" customHeight="1">
      <c r="A193" s="45" t="s">
        <v>530</v>
      </c>
      <c r="B193" s="46">
        <v>46267</v>
      </c>
      <c r="C193" s="45" t="s">
        <v>81</v>
      </c>
      <c r="D193" s="47" t="s">
        <v>147</v>
      </c>
      <c r="E193" s="45" t="s">
        <v>75</v>
      </c>
      <c r="F193" s="45" t="s">
        <v>14</v>
      </c>
      <c r="G193" s="47" t="s">
        <v>147</v>
      </c>
      <c r="H193" s="48" t="s">
        <v>555</v>
      </c>
      <c r="I193" s="47" t="s">
        <v>100</v>
      </c>
      <c r="J193" s="49" t="s">
        <v>100</v>
      </c>
      <c r="K193" s="45" t="s">
        <v>18</v>
      </c>
      <c r="L193" s="50" t="s">
        <v>535</v>
      </c>
      <c r="M193" s="51" t="str">
        <f ca="1">IFERROR(__xludf.DUMMYFUNCTION("IF(COUNTA(A193:L193)=0,"""",IFS(AND(H193&lt;&gt;"""",COUNTIF($H$6:$H$504,H193)&gt;1),""Ошибка: повтор URL"",OR(A193="""",B193="""",C193="""",D193="""",E193="""",F193="""",G193="""",H193="""",K193=""""),""Ошибка: обязательные поля"",NOT(REGEXMATCH(H193,""^https?://"&amp;"[^ /]+"")),""Ошибка: некорректная ссылка"",COUNTIF('Справочники'!$A$4:$A$24,C193)=0,""Ошибка: территория вне справочника"",K193=""Недоступен"",""Ошибка: ссылка недоступна"",E193=""Неофициальный источник"",IF(K193=""Активен"",""Готово"",""Проверить: активн"&amp;"ость""),I193&lt;&gt;""Подтверждено"",""Проверить: официальность / комментарий"",K193&lt;&gt;""Активен"",""Проверить: активность"",AND(ISNUMBER(J193),J193&lt;TODAY()-30),""Проверить: публикации старше 30 дней"",TRUE,""Готово""))"),"Готово")</f>
        <v>Готово</v>
      </c>
    </row>
    <row r="194" spans="1:13" ht="25.5" customHeight="1">
      <c r="A194" s="45" t="s">
        <v>530</v>
      </c>
      <c r="B194" s="46">
        <v>46267</v>
      </c>
      <c r="C194" s="45" t="s">
        <v>98</v>
      </c>
      <c r="D194" s="47" t="s">
        <v>187</v>
      </c>
      <c r="E194" s="45" t="s">
        <v>75</v>
      </c>
      <c r="F194" s="45" t="s">
        <v>14</v>
      </c>
      <c r="G194" s="47" t="s">
        <v>187</v>
      </c>
      <c r="H194" s="48" t="s">
        <v>556</v>
      </c>
      <c r="I194" s="47" t="s">
        <v>100</v>
      </c>
      <c r="J194" s="49" t="s">
        <v>100</v>
      </c>
      <c r="K194" s="45" t="s">
        <v>18</v>
      </c>
      <c r="L194" s="50" t="s">
        <v>535</v>
      </c>
      <c r="M194" s="51" t="str">
        <f ca="1">IFERROR(__xludf.DUMMYFUNCTION("IF(COUNTA(A194:L194)=0,"""",IFS(AND(H194&lt;&gt;"""",COUNTIF($H$6:$H$504,H194)&gt;1),""Ошибка: повтор URL"",OR(A194="""",B194="""",C194="""",D194="""",E194="""",F194="""",G194="""",H194="""",K194=""""),""Ошибка: обязательные поля"",NOT(REGEXMATCH(H194,""^https?://"&amp;"[^ /]+"")),""Ошибка: некорректная ссылка"",COUNTIF('Справочники'!$A$4:$A$24,C194)=0,""Ошибка: территория вне справочника"",K194=""Недоступен"",""Ошибка: ссылка недоступна"",E194=""Неофициальный источник"",IF(K194=""Активен"",""Готово"",""Проверить: активн"&amp;"ость""),I194&lt;&gt;""Подтверждено"",""Проверить: официальность / комментарий"",K194&lt;&gt;""Активен"",""Проверить: активность"",AND(ISNUMBER(J194),J194&lt;TODAY()-30),""Проверить: публикации старше 30 дней"",TRUE,""Готово""))"),"Готово")</f>
        <v>Готово</v>
      </c>
    </row>
    <row r="195" spans="1:13" ht="25.5" customHeight="1">
      <c r="A195" s="45" t="s">
        <v>530</v>
      </c>
      <c r="B195" s="46">
        <v>46267</v>
      </c>
      <c r="C195" s="45" t="s">
        <v>101</v>
      </c>
      <c r="D195" s="47" t="s">
        <v>117</v>
      </c>
      <c r="E195" s="45" t="s">
        <v>75</v>
      </c>
      <c r="F195" s="45" t="s">
        <v>14</v>
      </c>
      <c r="G195" s="47" t="s">
        <v>117</v>
      </c>
      <c r="H195" s="48" t="s">
        <v>557</v>
      </c>
      <c r="I195" s="47" t="s">
        <v>100</v>
      </c>
      <c r="J195" s="49" t="s">
        <v>100</v>
      </c>
      <c r="K195" s="45" t="s">
        <v>18</v>
      </c>
      <c r="L195" s="50" t="s">
        <v>535</v>
      </c>
      <c r="M195" s="51" t="str">
        <f ca="1">IFERROR(__xludf.DUMMYFUNCTION("IF(COUNTA(A195:L195)=0,"""",IFS(AND(H195&lt;&gt;"""",COUNTIF($H$6:$H$504,H195)&gt;1),""Ошибка: повтор URL"",OR(A195="""",B195="""",C195="""",D195="""",E195="""",F195="""",G195="""",H195="""",K195=""""),""Ошибка: обязательные поля"",NOT(REGEXMATCH(H195,""^https?://"&amp;"[^ /]+"")),""Ошибка: некорректная ссылка"",COUNTIF('Справочники'!$A$4:$A$24,C195)=0,""Ошибка: территория вне справочника"",K195=""Недоступен"",""Ошибка: ссылка недоступна"",E195=""Неофициальный источник"",IF(K195=""Активен"",""Готово"",""Проверить: активн"&amp;"ость""),I195&lt;&gt;""Подтверждено"",""Проверить: официальность / комментарий"",K195&lt;&gt;""Активен"",""Проверить: активность"",AND(ISNUMBER(J195),J195&lt;TODAY()-30),""Проверить: публикации старше 30 дней"",TRUE,""Готово""))"),"Готово")</f>
        <v>Готово</v>
      </c>
    </row>
    <row r="196" spans="1:13" ht="25.5" customHeight="1">
      <c r="A196" s="27" t="s">
        <v>530</v>
      </c>
      <c r="B196" s="28">
        <v>46267</v>
      </c>
      <c r="C196" s="27" t="s">
        <v>6</v>
      </c>
      <c r="D196" s="29" t="s">
        <v>59</v>
      </c>
      <c r="E196" s="27" t="s">
        <v>75</v>
      </c>
      <c r="F196" s="27" t="s">
        <v>14</v>
      </c>
      <c r="G196" s="29" t="s">
        <v>59</v>
      </c>
      <c r="H196" s="44" t="s">
        <v>558</v>
      </c>
      <c r="I196" s="29" t="s">
        <v>100</v>
      </c>
      <c r="J196" s="28" t="s">
        <v>100</v>
      </c>
      <c r="K196" s="27" t="s">
        <v>18</v>
      </c>
      <c r="L196" s="29" t="s">
        <v>535</v>
      </c>
      <c r="M196" s="25" t="str">
        <f ca="1">IFERROR(__xludf.DUMMYFUNCTION("IF(COUNTA(A196:L196)=0,"""",IFS(AND(H196&lt;&gt;"""",COUNTIF($H$6:$H$504,H196)&gt;1),""Ошибка: повтор URL"",OR(A196="""",B196="""",C196="""",D196="""",E196="""",F196="""",G196="""",H196="""",K196=""""),""Ошибка: обязательные поля"",NOT(REGEXMATCH(H196,""^https?://"&amp;"[^ /]+"")),""Ошибка: некорректная ссылка"",COUNTIF('Справочники'!$A$4:$A$24,C196)=0,""Ошибка: территория вне справочника"",K196=""Недоступен"",""Ошибка: ссылка недоступна"",E196=""Неофициальный источник"",IF(K196=""Активен"",""Готово"",""Проверить: активн"&amp;"ость""),I196&lt;&gt;""Подтверждено"",""Проверить: официальность / комментарий"",K196&lt;&gt;""Активен"",""Проверить: активность"",AND(ISNUMBER(J196),J196&lt;TODAY()-30),""Проверить: публикации старше 30 дней"",TRUE,""Готово""))"),"Готово")</f>
        <v>Готово</v>
      </c>
    </row>
    <row r="197" spans="1:13" ht="25.5" customHeight="1">
      <c r="A197" s="45" t="s">
        <v>530</v>
      </c>
      <c r="B197" s="46">
        <v>46267</v>
      </c>
      <c r="C197" s="45" t="s">
        <v>81</v>
      </c>
      <c r="D197" s="47" t="s">
        <v>150</v>
      </c>
      <c r="E197" s="45" t="s">
        <v>75</v>
      </c>
      <c r="F197" s="45" t="s">
        <v>14</v>
      </c>
      <c r="G197" s="47" t="s">
        <v>150</v>
      </c>
      <c r="H197" s="48" t="s">
        <v>559</v>
      </c>
      <c r="I197" s="47" t="s">
        <v>100</v>
      </c>
      <c r="J197" s="49" t="s">
        <v>100</v>
      </c>
      <c r="K197" s="45" t="s">
        <v>18</v>
      </c>
      <c r="L197" s="50" t="s">
        <v>535</v>
      </c>
      <c r="M197" s="51" t="str">
        <f ca="1">IFERROR(__xludf.DUMMYFUNCTION("IF(COUNTA(A197:L197)=0,"""",IFS(AND(H197&lt;&gt;"""",COUNTIF($H$6:$H$504,H197)&gt;1),""Ошибка: повтор URL"",OR(A197="""",B197="""",C197="""",D197="""",E197="""",F197="""",G197="""",H197="""",K197=""""),""Ошибка: обязательные поля"",NOT(REGEXMATCH(H197,""^https?://"&amp;"[^ /]+"")),""Ошибка: некорректная ссылка"",COUNTIF('Справочники'!$A$4:$A$24,C197)=0,""Ошибка: территория вне справочника"",K197=""Недоступен"",""Ошибка: ссылка недоступна"",E197=""Неофициальный источник"",IF(K197=""Активен"",""Готово"",""Проверить: активн"&amp;"ость""),I197&lt;&gt;""Подтверждено"",""Проверить: официальность / комментарий"",K197&lt;&gt;""Активен"",""Проверить: активность"",AND(ISNUMBER(J197),J197&lt;TODAY()-30),""Проверить: публикации старше 30 дней"",TRUE,""Готово""))"),"Готово")</f>
        <v>Готово</v>
      </c>
    </row>
    <row r="198" spans="1:13" ht="25.5" customHeight="1">
      <c r="A198" s="45" t="s">
        <v>530</v>
      </c>
      <c r="B198" s="46">
        <v>46267</v>
      </c>
      <c r="C198" s="45" t="s">
        <v>81</v>
      </c>
      <c r="D198" s="47" t="s">
        <v>167</v>
      </c>
      <c r="E198" s="45" t="s">
        <v>75</v>
      </c>
      <c r="F198" s="45" t="s">
        <v>14</v>
      </c>
      <c r="G198" s="47" t="s">
        <v>167</v>
      </c>
      <c r="H198" s="48" t="s">
        <v>560</v>
      </c>
      <c r="I198" s="47" t="s">
        <v>100</v>
      </c>
      <c r="J198" s="49" t="s">
        <v>100</v>
      </c>
      <c r="K198" s="45" t="s">
        <v>18</v>
      </c>
      <c r="L198" s="50" t="s">
        <v>535</v>
      </c>
      <c r="M198" s="51" t="str">
        <f ca="1">IFERROR(__xludf.DUMMYFUNCTION("IF(COUNTA(A198:L198)=0,"""",IFS(AND(H198&lt;&gt;"""",COUNTIF($H$6:$H$504,H198)&gt;1),""Ошибка: повтор URL"",OR(A198="""",B198="""",C198="""",D198="""",E198="""",F198="""",G198="""",H198="""",K198=""""),""Ошибка: обязательные поля"",NOT(REGEXMATCH(H198,""^https?://"&amp;"[^ /]+"")),""Ошибка: некорректная ссылка"",COUNTIF('Справочники'!$A$4:$A$24,C198)=0,""Ошибка: территория вне справочника"",K198=""Недоступен"",""Ошибка: ссылка недоступна"",E198=""Неофициальный источник"",IF(K198=""Активен"",""Готово"",""Проверить: активн"&amp;"ость""),I198&lt;&gt;""Подтверждено"",""Проверить: официальность / комментарий"",K198&lt;&gt;""Активен"",""Проверить: активность"",AND(ISNUMBER(J198),J198&lt;TODAY()-30),""Проверить: публикации старше 30 дней"",TRUE,""Готово""))"),"Готово")</f>
        <v>Готово</v>
      </c>
    </row>
    <row r="199" spans="1:13" ht="25.5" customHeight="1">
      <c r="A199" s="45" t="s">
        <v>530</v>
      </c>
      <c r="B199" s="46">
        <v>46267</v>
      </c>
      <c r="C199" s="45" t="s">
        <v>101</v>
      </c>
      <c r="D199" s="47" t="s">
        <v>140</v>
      </c>
      <c r="E199" s="45" t="s">
        <v>60</v>
      </c>
      <c r="F199" s="45" t="s">
        <v>14</v>
      </c>
      <c r="G199" s="47" t="s">
        <v>140</v>
      </c>
      <c r="H199" s="48" t="s">
        <v>561</v>
      </c>
      <c r="I199" s="47" t="s">
        <v>17</v>
      </c>
      <c r="J199" s="49"/>
      <c r="K199" s="45" t="s">
        <v>18</v>
      </c>
      <c r="L199" s="50" t="s">
        <v>103</v>
      </c>
      <c r="M199" s="51" t="str">
        <f ca="1">IFERROR(__xludf.DUMMYFUNCTION("IF(COUNTA(A199:L199)=0,"""",IFS(AND(H199&lt;&gt;"""",COUNTIF($H$6:$H$504,H199)&gt;1),""Ошибка: повтор URL"",OR(A199="""",B199="""",C199="""",D199="""",E199="""",F199="""",G199="""",H199="""",K199=""""),""Ошибка: обязательные поля"",NOT(REGEXMATCH(H199,""^https?://"&amp;"[^ /]+"")),""Ошибка: некорректная ссылка"",COUNTIF('Справочники'!$A$4:$A$24,C199)=0,""Ошибка: территория вне справочника"",K199=""Недоступен"",""Ошибка: ссылка недоступна"",E199=""Неофициальный источник"",IF(K199=""Активен"",""Готово"",""Проверить: активн"&amp;"ость""),I199&lt;&gt;""Подтверждено"",""Проверить: официальность / комментарий"",K199&lt;&gt;""Активен"",""Проверить: активность"",AND(ISNUMBER(J199),J199&lt;TODAY()-30),""Проверить: публикации старше 30 дней"",TRUE,""Готово""))"),"Готово")</f>
        <v>Готово</v>
      </c>
    </row>
    <row r="200" spans="1:13" ht="25.5" customHeight="1">
      <c r="A200" s="27" t="s">
        <v>530</v>
      </c>
      <c r="B200" s="28">
        <v>46267</v>
      </c>
      <c r="C200" s="27" t="s">
        <v>84</v>
      </c>
      <c r="D200" s="29" t="s">
        <v>238</v>
      </c>
      <c r="E200" s="27" t="s">
        <v>75</v>
      </c>
      <c r="F200" s="27" t="s">
        <v>14</v>
      </c>
      <c r="G200" s="29" t="s">
        <v>238</v>
      </c>
      <c r="H200" s="44" t="s">
        <v>562</v>
      </c>
      <c r="I200" s="29" t="s">
        <v>100</v>
      </c>
      <c r="J200" s="28" t="s">
        <v>100</v>
      </c>
      <c r="K200" s="27" t="s">
        <v>18</v>
      </c>
      <c r="L200" s="29" t="s">
        <v>535</v>
      </c>
      <c r="M200" s="25" t="str">
        <f ca="1">IFERROR(__xludf.DUMMYFUNCTION("IF(COUNTA(A200:L200)=0,"""",IFS(AND(H200&lt;&gt;"""",COUNTIF($H$6:$H$504,H200)&gt;1),""Ошибка: повтор URL"",OR(A200="""",B200="""",C200="""",D200="""",E200="""",F200="""",G200="""",H200="""",K200=""""),""Ошибка: обязательные поля"",NOT(REGEXMATCH(H200,""^https?://"&amp;"[^ /]+"")),""Ошибка: некорректная ссылка"",COUNTIF('Справочники'!$A$4:$A$24,C200)=0,""Ошибка: территория вне справочника"",K200=""Недоступен"",""Ошибка: ссылка недоступна"",E200=""Неофициальный источник"",IF(K200=""Активен"",""Готово"",""Проверить: активн"&amp;"ость""),I200&lt;&gt;""Подтверждено"",""Проверить: официальность / комментарий"",K200&lt;&gt;""Активен"",""Проверить: активность"",AND(ISNUMBER(J200),J200&lt;TODAY()-30),""Проверить: публикации старше 30 дней"",TRUE,""Готово""))"),"Готово")</f>
        <v>Готово</v>
      </c>
    </row>
    <row r="201" spans="1:13" ht="25.5" customHeight="1">
      <c r="A201" s="45" t="s">
        <v>530</v>
      </c>
      <c r="B201" s="46">
        <v>46267</v>
      </c>
      <c r="C201" s="45" t="s">
        <v>101</v>
      </c>
      <c r="D201" s="47" t="s">
        <v>118</v>
      </c>
      <c r="E201" s="45" t="s">
        <v>75</v>
      </c>
      <c r="F201" s="45" t="s">
        <v>14</v>
      </c>
      <c r="G201" s="47" t="s">
        <v>118</v>
      </c>
      <c r="H201" s="48" t="s">
        <v>563</v>
      </c>
      <c r="I201" s="47" t="s">
        <v>100</v>
      </c>
      <c r="J201" s="49" t="s">
        <v>100</v>
      </c>
      <c r="K201" s="45" t="s">
        <v>18</v>
      </c>
      <c r="L201" s="50" t="s">
        <v>535</v>
      </c>
      <c r="M201" s="51" t="str">
        <f ca="1">IFERROR(__xludf.DUMMYFUNCTION("IF(COUNTA(A201:L201)=0,"""",IFS(AND(H201&lt;&gt;"""",COUNTIF($H$6:$H$504,H201)&gt;1),""Ошибка: повтор URL"",OR(A201="""",B201="""",C201="""",D201="""",E201="""",F201="""",G201="""",H201="""",K201=""""),""Ошибка: обязательные поля"",NOT(REGEXMATCH(H201,""^https?://"&amp;"[^ /]+"")),""Ошибка: некорректная ссылка"",COUNTIF('Справочники'!$A$4:$A$24,C201)=0,""Ошибка: территория вне справочника"",K201=""Недоступен"",""Ошибка: ссылка недоступна"",E201=""Неофициальный источник"",IF(K201=""Активен"",""Готово"",""Проверить: активн"&amp;"ость""),I201&lt;&gt;""Подтверждено"",""Проверить: официальность / комментарий"",K201&lt;&gt;""Активен"",""Проверить: активность"",AND(ISNUMBER(J201),J201&lt;TODAY()-30),""Проверить: публикации старше 30 дней"",TRUE,""Готово""))"),"Готово")</f>
        <v>Готово</v>
      </c>
    </row>
    <row r="202" spans="1:13" ht="25.5" customHeight="1">
      <c r="A202" s="45" t="s">
        <v>530</v>
      </c>
      <c r="B202" s="46">
        <v>46267</v>
      </c>
      <c r="C202" s="45" t="s">
        <v>81</v>
      </c>
      <c r="D202" s="47" t="s">
        <v>151</v>
      </c>
      <c r="E202" s="45" t="s">
        <v>45</v>
      </c>
      <c r="F202" s="45" t="s">
        <v>14</v>
      </c>
      <c r="G202" s="47" t="s">
        <v>151</v>
      </c>
      <c r="H202" s="48" t="s">
        <v>564</v>
      </c>
      <c r="I202" s="47" t="s">
        <v>17</v>
      </c>
      <c r="J202" s="49"/>
      <c r="K202" s="45" t="s">
        <v>18</v>
      </c>
      <c r="L202" s="50" t="s">
        <v>103</v>
      </c>
      <c r="M202" s="51" t="str">
        <f ca="1">IFERROR(__xludf.DUMMYFUNCTION("IF(COUNTA(A202:L202)=0,"""",IFS(AND(H202&lt;&gt;"""",COUNTIF($H$6:$H$504,H202)&gt;1),""Ошибка: повтор URL"",OR(A202="""",B202="""",C202="""",D202="""",E202="""",F202="""",G202="""",H202="""",K202=""""),""Ошибка: обязательные поля"",NOT(REGEXMATCH(H202,""^https?://"&amp;"[^ /]+"")),""Ошибка: некорректная ссылка"",COUNTIF('Справочники'!$A$4:$A$24,C202)=0,""Ошибка: территория вне справочника"",K202=""Недоступен"",""Ошибка: ссылка недоступна"",E202=""Неофициальный источник"",IF(K202=""Активен"",""Готово"",""Проверить: активн"&amp;"ость""),I202&lt;&gt;""Подтверждено"",""Проверить: официальность / комментарий"",K202&lt;&gt;""Активен"",""Проверить: активность"",AND(ISNUMBER(J202),J202&lt;TODAY()-30),""Проверить: публикации старше 30 дней"",TRUE,""Готово""))"),"Готово")</f>
        <v>Готово</v>
      </c>
    </row>
    <row r="203" spans="1:13" ht="25.5" customHeight="1">
      <c r="A203" s="45" t="s">
        <v>530</v>
      </c>
      <c r="B203" s="46">
        <v>46267</v>
      </c>
      <c r="C203" s="45" t="s">
        <v>81</v>
      </c>
      <c r="D203" s="47" t="s">
        <v>154</v>
      </c>
      <c r="E203" s="45" t="s">
        <v>75</v>
      </c>
      <c r="F203" s="45" t="s">
        <v>14</v>
      </c>
      <c r="G203" s="47" t="s">
        <v>154</v>
      </c>
      <c r="H203" s="48" t="s">
        <v>565</v>
      </c>
      <c r="I203" s="47" t="s">
        <v>100</v>
      </c>
      <c r="J203" s="49" t="s">
        <v>100</v>
      </c>
      <c r="K203" s="45" t="s">
        <v>18</v>
      </c>
      <c r="L203" s="50" t="s">
        <v>535</v>
      </c>
      <c r="M203" s="51" t="str">
        <f ca="1">IFERROR(__xludf.DUMMYFUNCTION("IF(COUNTA(A203:L203)=0,"""",IFS(AND(H203&lt;&gt;"""",COUNTIF($H$6:$H$504,H203)&gt;1),""Ошибка: повтор URL"",OR(A203="""",B203="""",C203="""",D203="""",E203="""",F203="""",G203="""",H203="""",K203=""""),""Ошибка: обязательные поля"",NOT(REGEXMATCH(H203,""^https?://"&amp;"[^ /]+"")),""Ошибка: некорректная ссылка"",COUNTIF('Справочники'!$A$4:$A$24,C203)=0,""Ошибка: территория вне справочника"",K203=""Недоступен"",""Ошибка: ссылка недоступна"",E203=""Неофициальный источник"",IF(K203=""Активен"",""Готово"",""Проверить: активн"&amp;"ость""),I203&lt;&gt;""Подтверждено"",""Проверить: официальность / комментарий"",K203&lt;&gt;""Активен"",""Проверить: активность"",AND(ISNUMBER(J203),J203&lt;TODAY()-30),""Проверить: публикации старше 30 дней"",TRUE,""Готово""))"),"Готово")</f>
        <v>Готово</v>
      </c>
    </row>
    <row r="204" spans="1:13" ht="25.5" customHeight="1">
      <c r="A204" s="45" t="s">
        <v>530</v>
      </c>
      <c r="B204" s="46">
        <v>46267</v>
      </c>
      <c r="C204" s="45" t="s">
        <v>81</v>
      </c>
      <c r="D204" s="47" t="s">
        <v>156</v>
      </c>
      <c r="E204" s="45" t="s">
        <v>75</v>
      </c>
      <c r="F204" s="45" t="s">
        <v>14</v>
      </c>
      <c r="G204" s="47" t="s">
        <v>156</v>
      </c>
      <c r="H204" s="48" t="s">
        <v>566</v>
      </c>
      <c r="I204" s="47" t="s">
        <v>100</v>
      </c>
      <c r="J204" s="49" t="s">
        <v>100</v>
      </c>
      <c r="K204" s="45" t="s">
        <v>18</v>
      </c>
      <c r="L204" s="50" t="s">
        <v>535</v>
      </c>
      <c r="M204" s="51" t="str">
        <f ca="1">IFERROR(__xludf.DUMMYFUNCTION("IF(COUNTA(A204:L204)=0,"""",IFS(AND(H204&lt;&gt;"""",COUNTIF($H$6:$H$504,H204)&gt;1),""Ошибка: повтор URL"",OR(A204="""",B204="""",C204="""",D204="""",E204="""",F204="""",G204="""",H204="""",K204=""""),""Ошибка: обязательные поля"",NOT(REGEXMATCH(H204,""^https?://"&amp;"[^ /]+"")),""Ошибка: некорректная ссылка"",COUNTIF('Справочники'!$A$4:$A$24,C204)=0,""Ошибка: территория вне справочника"",K204=""Недоступен"",""Ошибка: ссылка недоступна"",E204=""Неофициальный источник"",IF(K204=""Активен"",""Готово"",""Проверить: активн"&amp;"ость""),I204&lt;&gt;""Подтверждено"",""Проверить: официальность / комментарий"",K204&lt;&gt;""Активен"",""Проверить: активность"",AND(ISNUMBER(J204),J204&lt;TODAY()-30),""Проверить: публикации старше 30 дней"",TRUE,""Готово""))"),"Готово")</f>
        <v>Готово</v>
      </c>
    </row>
    <row r="205" spans="1:13" ht="25.5" customHeight="1">
      <c r="A205" s="45" t="s">
        <v>530</v>
      </c>
      <c r="B205" s="46">
        <v>46267</v>
      </c>
      <c r="C205" s="45" t="s">
        <v>81</v>
      </c>
      <c r="D205" s="47" t="s">
        <v>168</v>
      </c>
      <c r="E205" s="45" t="s">
        <v>45</v>
      </c>
      <c r="F205" s="45" t="s">
        <v>14</v>
      </c>
      <c r="G205" s="47" t="s">
        <v>168</v>
      </c>
      <c r="H205" s="48" t="s">
        <v>567</v>
      </c>
      <c r="I205" s="47" t="s">
        <v>17</v>
      </c>
      <c r="J205" s="49"/>
      <c r="K205" s="45" t="s">
        <v>18</v>
      </c>
      <c r="L205" s="50" t="s">
        <v>103</v>
      </c>
      <c r="M205" s="51" t="str">
        <f ca="1">IFERROR(__xludf.DUMMYFUNCTION("IF(COUNTA(A205:L205)=0,"""",IFS(AND(H205&lt;&gt;"""",COUNTIF($H$6:$H$504,H205)&gt;1),""Ошибка: повтор URL"",OR(A205="""",B205="""",C205="""",D205="""",E205="""",F205="""",G205="""",H205="""",K205=""""),""Ошибка: обязательные поля"",NOT(REGEXMATCH(H205,""^https?://"&amp;"[^ /]+"")),""Ошибка: некорректная ссылка"",COUNTIF('Справочники'!$A$4:$A$24,C205)=0,""Ошибка: территория вне справочника"",K205=""Недоступен"",""Ошибка: ссылка недоступна"",E205=""Неофициальный источник"",IF(K205=""Активен"",""Готово"",""Проверить: активн"&amp;"ость""),I205&lt;&gt;""Подтверждено"",""Проверить: официальность / комментарий"",K205&lt;&gt;""Активен"",""Проверить: активность"",AND(ISNUMBER(J205),J205&lt;TODAY()-30),""Проверить: публикации старше 30 дней"",TRUE,""Готово""))"),"Готово")</f>
        <v>Готово</v>
      </c>
    </row>
    <row r="206" spans="1:13" ht="25.5" customHeight="1">
      <c r="A206" s="45" t="s">
        <v>530</v>
      </c>
      <c r="B206" s="46">
        <v>46267</v>
      </c>
      <c r="C206" s="45" t="s">
        <v>98</v>
      </c>
      <c r="D206" s="47" t="s">
        <v>191</v>
      </c>
      <c r="E206" s="45" t="s">
        <v>75</v>
      </c>
      <c r="F206" s="45" t="s">
        <v>14</v>
      </c>
      <c r="G206" s="47" t="s">
        <v>191</v>
      </c>
      <c r="H206" s="48" t="s">
        <v>568</v>
      </c>
      <c r="I206" s="47" t="s">
        <v>100</v>
      </c>
      <c r="J206" s="49" t="s">
        <v>100</v>
      </c>
      <c r="K206" s="45" t="s">
        <v>18</v>
      </c>
      <c r="L206" s="50" t="s">
        <v>535</v>
      </c>
      <c r="M206" s="51" t="str">
        <f ca="1">IFERROR(__xludf.DUMMYFUNCTION("IF(COUNTA(A206:L206)=0,"""",IFS(AND(H206&lt;&gt;"""",COUNTIF($H$6:$H$504,H206)&gt;1),""Ошибка: повтор URL"",OR(A206="""",B206="""",C206="""",D206="""",E206="""",F206="""",G206="""",H206="""",K206=""""),""Ошибка: обязательные поля"",NOT(REGEXMATCH(H206,""^https?://"&amp;"[^ /]+"")),""Ошибка: некорректная ссылка"",COUNTIF('Справочники'!$A$4:$A$24,C206)=0,""Ошибка: территория вне справочника"",K206=""Недоступен"",""Ошибка: ссылка недоступна"",E206=""Неофициальный источник"",IF(K206=""Активен"",""Готово"",""Проверить: активн"&amp;"ость""),I206&lt;&gt;""Подтверждено"",""Проверить: официальность / комментарий"",K206&lt;&gt;""Активен"",""Проверить: активность"",AND(ISNUMBER(J206),J206&lt;TODAY()-30),""Проверить: публикации старше 30 дней"",TRUE,""Готово""))"),"Готово")</f>
        <v>Готово</v>
      </c>
    </row>
    <row r="207" spans="1:13" ht="25.5" customHeight="1">
      <c r="A207" s="45" t="s">
        <v>530</v>
      </c>
      <c r="B207" s="46">
        <v>46267</v>
      </c>
      <c r="C207" s="45" t="s">
        <v>98</v>
      </c>
      <c r="D207" s="47" t="s">
        <v>193</v>
      </c>
      <c r="E207" s="45" t="s">
        <v>75</v>
      </c>
      <c r="F207" s="45" t="s">
        <v>14</v>
      </c>
      <c r="G207" s="47" t="s">
        <v>193</v>
      </c>
      <c r="H207" s="48" t="s">
        <v>569</v>
      </c>
      <c r="I207" s="47" t="s">
        <v>100</v>
      </c>
      <c r="J207" s="49" t="s">
        <v>100</v>
      </c>
      <c r="K207" s="45" t="s">
        <v>18</v>
      </c>
      <c r="L207" s="50" t="s">
        <v>535</v>
      </c>
      <c r="M207" s="51" t="str">
        <f ca="1">IFERROR(__xludf.DUMMYFUNCTION("IF(COUNTA(A207:L207)=0,"""",IFS(AND(H207&lt;&gt;"""",COUNTIF($H$6:$H$504,H207)&gt;1),""Ошибка: повтор URL"",OR(A207="""",B207="""",C207="""",D207="""",E207="""",F207="""",G207="""",H207="""",K207=""""),""Ошибка: обязательные поля"",NOT(REGEXMATCH(H207,""^https?://"&amp;"[^ /]+"")),""Ошибка: некорректная ссылка"",COUNTIF('Справочники'!$A$4:$A$24,C207)=0,""Ошибка: территория вне справочника"",K207=""Недоступен"",""Ошибка: ссылка недоступна"",E207=""Неофициальный источник"",IF(K207=""Активен"",""Готово"",""Проверить: активн"&amp;"ость""),I207&lt;&gt;""Подтверждено"",""Проверить: официальность / комментарий"",K207&lt;&gt;""Активен"",""Проверить: активность"",AND(ISNUMBER(J207),J207&lt;TODAY()-30),""Проверить: публикации старше 30 дней"",TRUE,""Готово""))"),"Готово")</f>
        <v>Готово</v>
      </c>
    </row>
    <row r="208" spans="1:13" ht="25.5" customHeight="1">
      <c r="A208" s="45" t="s">
        <v>530</v>
      </c>
      <c r="B208" s="46">
        <v>46267</v>
      </c>
      <c r="C208" s="45" t="s">
        <v>101</v>
      </c>
      <c r="D208" s="47" t="s">
        <v>119</v>
      </c>
      <c r="E208" s="45" t="s">
        <v>75</v>
      </c>
      <c r="F208" s="45" t="s">
        <v>14</v>
      </c>
      <c r="G208" s="47" t="s">
        <v>119</v>
      </c>
      <c r="H208" s="48" t="s">
        <v>570</v>
      </c>
      <c r="I208" s="47" t="s">
        <v>100</v>
      </c>
      <c r="J208" s="49" t="s">
        <v>100</v>
      </c>
      <c r="K208" s="45" t="s">
        <v>18</v>
      </c>
      <c r="L208" s="50" t="s">
        <v>535</v>
      </c>
      <c r="M208" s="51" t="str">
        <f ca="1">IFERROR(__xludf.DUMMYFUNCTION("IF(COUNTA(A208:L208)=0,"""",IFS(AND(H208&lt;&gt;"""",COUNTIF($H$6:$H$504,H208)&gt;1),""Ошибка: повтор URL"",OR(A208="""",B208="""",C208="""",D208="""",E208="""",F208="""",G208="""",H208="""",K208=""""),""Ошибка: обязательные поля"",NOT(REGEXMATCH(H208,""^https?://"&amp;"[^ /]+"")),""Ошибка: некорректная ссылка"",COUNTIF('Справочники'!$A$4:$A$24,C208)=0,""Ошибка: территория вне справочника"",K208=""Недоступен"",""Ошибка: ссылка недоступна"",E208=""Неофициальный источник"",IF(K208=""Активен"",""Готово"",""Проверить: активн"&amp;"ость""),I208&lt;&gt;""Подтверждено"",""Проверить: официальность / комментарий"",K208&lt;&gt;""Активен"",""Проверить: активность"",AND(ISNUMBER(J208),J208&lt;TODAY()-30),""Проверить: публикации старше 30 дней"",TRUE,""Готово""))"),"Готово")</f>
        <v>Готово</v>
      </c>
    </row>
    <row r="209" spans="1:13" ht="25.5" customHeight="1">
      <c r="A209" s="27" t="s">
        <v>530</v>
      </c>
      <c r="B209" s="28">
        <v>46267</v>
      </c>
      <c r="C209" s="27" t="s">
        <v>64</v>
      </c>
      <c r="D209" s="29" t="s">
        <v>72</v>
      </c>
      <c r="E209" s="27" t="s">
        <v>75</v>
      </c>
      <c r="F209" s="27" t="s">
        <v>14</v>
      </c>
      <c r="G209" s="29" t="s">
        <v>72</v>
      </c>
      <c r="H209" s="44" t="s">
        <v>571</v>
      </c>
      <c r="I209" s="29" t="s">
        <v>100</v>
      </c>
      <c r="J209" s="28" t="s">
        <v>100</v>
      </c>
      <c r="K209" s="27" t="s">
        <v>18</v>
      </c>
      <c r="L209" s="29" t="s">
        <v>535</v>
      </c>
      <c r="M209" s="25" t="str">
        <f ca="1">IFERROR(__xludf.DUMMYFUNCTION("IF(COUNTA(A209:L209)=0,"""",IFS(AND(H209&lt;&gt;"""",COUNTIF($H$6:$H$504,H209)&gt;1),""Ошибка: повтор URL"",OR(A209="""",B209="""",C209="""",D209="""",E209="""",F209="""",G209="""",H209="""",K209=""""),""Ошибка: обязательные поля"",NOT(REGEXMATCH(H209,""^https?://"&amp;"[^ /]+"")),""Ошибка: некорректная ссылка"",COUNTIF('Справочники'!$A$4:$A$24,C209)=0,""Ошибка: территория вне справочника"",K209=""Недоступен"",""Ошибка: ссылка недоступна"",E209=""Неофициальный источник"",IF(K209=""Активен"",""Готово"",""Проверить: активн"&amp;"ость""),I209&lt;&gt;""Подтверждено"",""Проверить: официальность / комментарий"",K209&lt;&gt;""Активен"",""Проверить: активность"",AND(ISNUMBER(J209),J209&lt;TODAY()-30),""Проверить: публикации старше 30 дней"",TRUE,""Готово""))"),"Готово")</f>
        <v>Готово</v>
      </c>
    </row>
    <row r="210" spans="1:13" ht="25.5" customHeight="1">
      <c r="A210" s="27" t="s">
        <v>530</v>
      </c>
      <c r="B210" s="28">
        <v>46267</v>
      </c>
      <c r="C210" s="27" t="s">
        <v>6</v>
      </c>
      <c r="D210" s="29" t="s">
        <v>72</v>
      </c>
      <c r="E210" s="27" t="s">
        <v>75</v>
      </c>
      <c r="F210" s="27" t="s">
        <v>14</v>
      </c>
      <c r="G210" s="29" t="s">
        <v>72</v>
      </c>
      <c r="H210" s="44" t="s">
        <v>572</v>
      </c>
      <c r="I210" s="29" t="s">
        <v>100</v>
      </c>
      <c r="J210" s="28" t="s">
        <v>100</v>
      </c>
      <c r="K210" s="27" t="s">
        <v>18</v>
      </c>
      <c r="L210" s="29" t="s">
        <v>535</v>
      </c>
      <c r="M210" s="25" t="str">
        <f ca="1">IFERROR(__xludf.DUMMYFUNCTION("IF(COUNTA(A210:L210)=0,"""",IFS(AND(H210&lt;&gt;"""",COUNTIF($H$6:$H$504,H210)&gt;1),""Ошибка: повтор URL"",OR(A210="""",B210="""",C210="""",D210="""",E210="""",F210="""",G210="""",H210="""",K210=""""),""Ошибка: обязательные поля"",NOT(REGEXMATCH(H210,""^https?://"&amp;"[^ /]+"")),""Ошибка: некорректная ссылка"",COUNTIF('Справочники'!$A$4:$A$24,C210)=0,""Ошибка: территория вне справочника"",K210=""Недоступен"",""Ошибка: ссылка недоступна"",E210=""Неофициальный источник"",IF(K210=""Активен"",""Готово"",""Проверить: активн"&amp;"ость""),I210&lt;&gt;""Подтверждено"",""Проверить: официальность / комментарий"",K210&lt;&gt;""Активен"",""Проверить: активность"",AND(ISNUMBER(J210),J210&lt;TODAY()-30),""Проверить: публикации старше 30 дней"",TRUE,""Готово""))"),"Готово")</f>
        <v>Готово</v>
      </c>
    </row>
    <row r="211" spans="1:13" ht="25.5" customHeight="1">
      <c r="A211" s="45" t="s">
        <v>530</v>
      </c>
      <c r="B211" s="46">
        <v>46267</v>
      </c>
      <c r="C211" s="45" t="s">
        <v>98</v>
      </c>
      <c r="D211" s="47" t="s">
        <v>72</v>
      </c>
      <c r="E211" s="45" t="s">
        <v>75</v>
      </c>
      <c r="F211" s="45" t="s">
        <v>14</v>
      </c>
      <c r="G211" s="47" t="s">
        <v>72</v>
      </c>
      <c r="H211" s="48" t="s">
        <v>573</v>
      </c>
      <c r="I211" s="47" t="s">
        <v>100</v>
      </c>
      <c r="J211" s="49" t="s">
        <v>100</v>
      </c>
      <c r="K211" s="45" t="s">
        <v>18</v>
      </c>
      <c r="L211" s="50" t="s">
        <v>535</v>
      </c>
      <c r="M211" s="51" t="str">
        <f ca="1">IFERROR(__xludf.DUMMYFUNCTION("IF(COUNTA(A211:L211)=0,"""",IFS(AND(H211&lt;&gt;"""",COUNTIF($H$6:$H$504,H211)&gt;1),""Ошибка: повтор URL"",OR(A211="""",B211="""",C211="""",D211="""",E211="""",F211="""",G211="""",H211="""",K211=""""),""Ошибка: обязательные поля"",NOT(REGEXMATCH(H211,""^https?://"&amp;"[^ /]+"")),""Ошибка: некорректная ссылка"",COUNTIF('Справочники'!$A$4:$A$24,C211)=0,""Ошибка: территория вне справочника"",K211=""Недоступен"",""Ошибка: ссылка недоступна"",E211=""Неофициальный источник"",IF(K211=""Активен"",""Готово"",""Проверить: активн"&amp;"ость""),I211&lt;&gt;""Подтверждено"",""Проверить: официальность / комментарий"",K211&lt;&gt;""Активен"",""Проверить: активность"",AND(ISNUMBER(J211),J211&lt;TODAY()-30),""Проверить: публикации старше 30 дней"",TRUE,""Готово""))"),"Готово")</f>
        <v>Готово</v>
      </c>
    </row>
    <row r="212" spans="1:13" ht="25.5" customHeight="1">
      <c r="A212" s="45" t="s">
        <v>530</v>
      </c>
      <c r="B212" s="46">
        <v>46267</v>
      </c>
      <c r="C212" s="45" t="s">
        <v>101</v>
      </c>
      <c r="D212" s="47" t="s">
        <v>72</v>
      </c>
      <c r="E212" s="45" t="s">
        <v>75</v>
      </c>
      <c r="F212" s="45" t="s">
        <v>14</v>
      </c>
      <c r="G212" s="47" t="s">
        <v>72</v>
      </c>
      <c r="H212" s="48" t="s">
        <v>574</v>
      </c>
      <c r="I212" s="47" t="s">
        <v>100</v>
      </c>
      <c r="J212" s="49" t="s">
        <v>100</v>
      </c>
      <c r="K212" s="45" t="s">
        <v>18</v>
      </c>
      <c r="L212" s="50" t="s">
        <v>535</v>
      </c>
      <c r="M212" s="51" t="str">
        <f ca="1">IFERROR(__xludf.DUMMYFUNCTION("IF(COUNTA(A212:L212)=0,"""",IFS(AND(H212&lt;&gt;"""",COUNTIF($H$6:$H$504,H212)&gt;1),""Ошибка: повтор URL"",OR(A212="""",B212="""",C212="""",D212="""",E212="""",F212="""",G212="""",H212="""",K212=""""),""Ошибка: обязательные поля"",NOT(REGEXMATCH(H212,""^https?://"&amp;"[^ /]+"")),""Ошибка: некорректная ссылка"",COUNTIF('Справочники'!$A$4:$A$24,C212)=0,""Ошибка: территория вне справочника"",K212=""Недоступен"",""Ошибка: ссылка недоступна"",E212=""Неофициальный источник"",IF(K212=""Активен"",""Готово"",""Проверить: активн"&amp;"ость""),I212&lt;&gt;""Подтверждено"",""Проверить: официальность / комментарий"",K212&lt;&gt;""Активен"",""Проверить: активность"",AND(ISNUMBER(J212),J212&lt;TODAY()-30),""Проверить: публикации старше 30 дней"",TRUE,""Готово""))"),"Готово")</f>
        <v>Готово</v>
      </c>
    </row>
    <row r="213" spans="1:13" ht="25.5" customHeight="1">
      <c r="A213" s="45" t="s">
        <v>530</v>
      </c>
      <c r="B213" s="46">
        <v>46267</v>
      </c>
      <c r="C213" s="45" t="s">
        <v>85</v>
      </c>
      <c r="D213" s="47" t="s">
        <v>172</v>
      </c>
      <c r="E213" s="45" t="s">
        <v>75</v>
      </c>
      <c r="F213" s="45" t="s">
        <v>14</v>
      </c>
      <c r="G213" s="47" t="s">
        <v>183</v>
      </c>
      <c r="H213" s="48" t="s">
        <v>575</v>
      </c>
      <c r="I213" s="47" t="s">
        <v>100</v>
      </c>
      <c r="J213" s="49" t="s">
        <v>100</v>
      </c>
      <c r="K213" s="45" t="s">
        <v>18</v>
      </c>
      <c r="L213" s="50" t="s">
        <v>535</v>
      </c>
      <c r="M213" s="51" t="str">
        <f ca="1">IFERROR(__xludf.DUMMYFUNCTION("IF(COUNTA(A213:L213)=0,"""",IFS(AND(H213&lt;&gt;"""",COUNTIF($H$6:$H$504,H213)&gt;1),""Ошибка: повтор URL"",OR(A213="""",B213="""",C213="""",D213="""",E213="""",F213="""",G213="""",H213="""",K213=""""),""Ошибка: обязательные поля"",NOT(REGEXMATCH(H213,""^https?://"&amp;"[^ /]+"")),""Ошибка: некорректная ссылка"",COUNTIF('Справочники'!$A$4:$A$24,C213)=0,""Ошибка: территория вне справочника"",K213=""Недоступен"",""Ошибка: ссылка недоступна"",E213=""Неофициальный источник"",IF(K213=""Активен"",""Готово"",""Проверить: активн"&amp;"ость""),I213&lt;&gt;""Подтверждено"",""Проверить: официальность / комментарий"",K213&lt;&gt;""Активен"",""Проверить: активность"",AND(ISNUMBER(J213),J213&lt;TODAY()-30),""Проверить: публикации старше 30 дней"",TRUE,""Готово""))"),"Готово")</f>
        <v>Готово</v>
      </c>
    </row>
    <row r="214" spans="1:13" ht="25.5" customHeight="1">
      <c r="A214" s="45" t="s">
        <v>530</v>
      </c>
      <c r="B214" s="46">
        <v>46267</v>
      </c>
      <c r="C214" s="45" t="s">
        <v>85</v>
      </c>
      <c r="D214" s="47" t="s">
        <v>175</v>
      </c>
      <c r="E214" s="45" t="s">
        <v>75</v>
      </c>
      <c r="F214" s="45" t="s">
        <v>14</v>
      </c>
      <c r="G214" s="47" t="s">
        <v>183</v>
      </c>
      <c r="H214" s="48" t="s">
        <v>576</v>
      </c>
      <c r="I214" s="47" t="s">
        <v>100</v>
      </c>
      <c r="J214" s="49" t="s">
        <v>100</v>
      </c>
      <c r="K214" s="45" t="s">
        <v>18</v>
      </c>
      <c r="L214" s="50" t="s">
        <v>535</v>
      </c>
      <c r="M214" s="51" t="str">
        <f ca="1">IFERROR(__xludf.DUMMYFUNCTION("IF(COUNTA(A214:L214)=0,"""",IFS(AND(H214&lt;&gt;"""",COUNTIF($H$6:$H$504,H214)&gt;1),""Ошибка: повтор URL"",OR(A214="""",B214="""",C214="""",D214="""",E214="""",F214="""",G214="""",H214="""",K214=""""),""Ошибка: обязательные поля"",NOT(REGEXMATCH(H214,""^https?://"&amp;"[^ /]+"")),""Ошибка: некорректная ссылка"",COUNTIF('Справочники'!$A$4:$A$24,C214)=0,""Ошибка: территория вне справочника"",K214=""Недоступен"",""Ошибка: ссылка недоступна"",E214=""Неофициальный источник"",IF(K214=""Активен"",""Готово"",""Проверить: активн"&amp;"ость""),I214&lt;&gt;""Подтверждено"",""Проверить: официальность / комментарий"",K214&lt;&gt;""Активен"",""Проверить: активность"",AND(ISNUMBER(J214),J214&lt;TODAY()-30),""Проверить: публикации старше 30 дней"",TRUE,""Готово""))"),"Готово")</f>
        <v>Готово</v>
      </c>
    </row>
    <row r="215" spans="1:13" ht="25.5" customHeight="1">
      <c r="A215" s="45" t="s">
        <v>530</v>
      </c>
      <c r="B215" s="46">
        <v>46267</v>
      </c>
      <c r="C215" s="45" t="s">
        <v>85</v>
      </c>
      <c r="D215" s="47" t="s">
        <v>176</v>
      </c>
      <c r="E215" s="45" t="s">
        <v>75</v>
      </c>
      <c r="F215" s="45" t="s">
        <v>14</v>
      </c>
      <c r="G215" s="47" t="s">
        <v>183</v>
      </c>
      <c r="H215" s="48" t="s">
        <v>577</v>
      </c>
      <c r="I215" s="47" t="s">
        <v>100</v>
      </c>
      <c r="J215" s="49" t="s">
        <v>100</v>
      </c>
      <c r="K215" s="45" t="s">
        <v>18</v>
      </c>
      <c r="L215" s="50" t="s">
        <v>535</v>
      </c>
      <c r="M215" s="51" t="str">
        <f ca="1">IFERROR(__xludf.DUMMYFUNCTION("IF(COUNTA(A215:L215)=0,"""",IFS(AND(H215&lt;&gt;"""",COUNTIF($H$6:$H$504,H215)&gt;1),""Ошибка: повтор URL"",OR(A215="""",B215="""",C215="""",D215="""",E215="""",F215="""",G215="""",H215="""",K215=""""),""Ошибка: обязательные поля"",NOT(REGEXMATCH(H215,""^https?://"&amp;"[^ /]+"")),""Ошибка: некорректная ссылка"",COUNTIF('Справочники'!$A$4:$A$24,C215)=0,""Ошибка: территория вне справочника"",K215=""Недоступен"",""Ошибка: ссылка недоступна"",E215=""Неофициальный источник"",IF(K215=""Активен"",""Готово"",""Проверить: активн"&amp;"ость""),I215&lt;&gt;""Подтверждено"",""Проверить: официальность / комментарий"",K215&lt;&gt;""Активен"",""Проверить: активность"",AND(ISNUMBER(J215),J215&lt;TODAY()-30),""Проверить: публикации старше 30 дней"",TRUE,""Готово""))"),"Готово")</f>
        <v>Готово</v>
      </c>
    </row>
    <row r="216" spans="1:13" ht="25.5" customHeight="1">
      <c r="A216" s="45" t="s">
        <v>530</v>
      </c>
      <c r="B216" s="46">
        <v>46267</v>
      </c>
      <c r="C216" s="45" t="s">
        <v>85</v>
      </c>
      <c r="D216" s="47" t="s">
        <v>178</v>
      </c>
      <c r="E216" s="45" t="s">
        <v>75</v>
      </c>
      <c r="F216" s="45" t="s">
        <v>14</v>
      </c>
      <c r="G216" s="47" t="s">
        <v>183</v>
      </c>
      <c r="H216" s="48" t="s">
        <v>578</v>
      </c>
      <c r="I216" s="47" t="s">
        <v>100</v>
      </c>
      <c r="J216" s="49" t="s">
        <v>100</v>
      </c>
      <c r="K216" s="45" t="s">
        <v>18</v>
      </c>
      <c r="L216" s="50" t="s">
        <v>535</v>
      </c>
      <c r="M216" s="51" t="str">
        <f ca="1">IFERROR(__xludf.DUMMYFUNCTION("IF(COUNTA(A216:L216)=0,"""",IFS(AND(H216&lt;&gt;"""",COUNTIF($H$6:$H$504,H216)&gt;1),""Ошибка: повтор URL"",OR(A216="""",B216="""",C216="""",D216="""",E216="""",F216="""",G216="""",H216="""",K216=""""),""Ошибка: обязательные поля"",NOT(REGEXMATCH(H216,""^https?://"&amp;"[^ /]+"")),""Ошибка: некорректная ссылка"",COUNTIF('Справочники'!$A$4:$A$24,C216)=0,""Ошибка: территория вне справочника"",K216=""Недоступен"",""Ошибка: ссылка недоступна"",E216=""Неофициальный источник"",IF(K216=""Активен"",""Готово"",""Проверить: активн"&amp;"ость""),I216&lt;&gt;""Подтверждено"",""Проверить: официальность / комментарий"",K216&lt;&gt;""Активен"",""Проверить: активность"",AND(ISNUMBER(J216),J216&lt;TODAY()-30),""Проверить: публикации старше 30 дней"",TRUE,""Готово""))"),"Готово")</f>
        <v>Готово</v>
      </c>
    </row>
    <row r="217" spans="1:13" ht="25.5" customHeight="1">
      <c r="A217" s="45" t="s">
        <v>530</v>
      </c>
      <c r="B217" s="46">
        <v>46267</v>
      </c>
      <c r="C217" s="45" t="s">
        <v>85</v>
      </c>
      <c r="D217" s="47" t="s">
        <v>178</v>
      </c>
      <c r="E217" s="45" t="s">
        <v>75</v>
      </c>
      <c r="F217" s="45" t="s">
        <v>14</v>
      </c>
      <c r="G217" s="47" t="s">
        <v>183</v>
      </c>
      <c r="H217" s="48" t="s">
        <v>579</v>
      </c>
      <c r="I217" s="47" t="s">
        <v>100</v>
      </c>
      <c r="J217" s="49" t="s">
        <v>100</v>
      </c>
      <c r="K217" s="45" t="s">
        <v>18</v>
      </c>
      <c r="L217" s="50" t="s">
        <v>535</v>
      </c>
      <c r="M217" s="51" t="str">
        <f ca="1">IFERROR(__xludf.DUMMYFUNCTION("IF(COUNTA(A217:L217)=0,"""",IFS(AND(H217&lt;&gt;"""",COUNTIF($H$6:$H$504,H217)&gt;1),""Ошибка: повтор URL"",OR(A217="""",B217="""",C217="""",D217="""",E217="""",F217="""",G217="""",H217="""",K217=""""),""Ошибка: обязательные поля"",NOT(REGEXMATCH(H217,""^https?://"&amp;"[^ /]+"")),""Ошибка: некорректная ссылка"",COUNTIF('Справочники'!$A$4:$A$24,C217)=0,""Ошибка: территория вне справочника"",K217=""Недоступен"",""Ошибка: ссылка недоступна"",E217=""Неофициальный источник"",IF(K217=""Активен"",""Готово"",""Проверить: активн"&amp;"ость""),I217&lt;&gt;""Подтверждено"",""Проверить: официальность / комментарий"",K217&lt;&gt;""Активен"",""Проверить: активность"",AND(ISNUMBER(J217),J217&lt;TODAY()-30),""Проверить: публикации старше 30 дней"",TRUE,""Готово""))"),"Готово")</f>
        <v>Готово</v>
      </c>
    </row>
    <row r="218" spans="1:13" ht="25.5" customHeight="1">
      <c r="A218" s="45" t="s">
        <v>530</v>
      </c>
      <c r="B218" s="46">
        <v>46267</v>
      </c>
      <c r="C218" s="45" t="s">
        <v>85</v>
      </c>
      <c r="D218" s="47" t="s">
        <v>178</v>
      </c>
      <c r="E218" s="45" t="s">
        <v>75</v>
      </c>
      <c r="F218" s="45" t="s">
        <v>14</v>
      </c>
      <c r="G218" s="47" t="s">
        <v>183</v>
      </c>
      <c r="H218" s="48" t="s">
        <v>580</v>
      </c>
      <c r="I218" s="47" t="s">
        <v>100</v>
      </c>
      <c r="J218" s="49" t="s">
        <v>100</v>
      </c>
      <c r="K218" s="45" t="s">
        <v>18</v>
      </c>
      <c r="L218" s="50" t="s">
        <v>535</v>
      </c>
      <c r="M218" s="51" t="str">
        <f ca="1">IFERROR(__xludf.DUMMYFUNCTION("IF(COUNTA(A218:L218)=0,"""",IFS(AND(H218&lt;&gt;"""",COUNTIF($H$6:$H$504,H218)&gt;1),""Ошибка: повтор URL"",OR(A218="""",B218="""",C218="""",D218="""",E218="""",F218="""",G218="""",H218="""",K218=""""),""Ошибка: обязательные поля"",NOT(REGEXMATCH(H218,""^https?://"&amp;"[^ /]+"")),""Ошибка: некорректная ссылка"",COUNTIF('Справочники'!$A$4:$A$24,C218)=0,""Ошибка: территория вне справочника"",K218=""Недоступен"",""Ошибка: ссылка недоступна"",E218=""Неофициальный источник"",IF(K218=""Активен"",""Готово"",""Проверить: активн"&amp;"ость""),I218&lt;&gt;""Подтверждено"",""Проверить: официальность / комментарий"",K218&lt;&gt;""Активен"",""Проверить: активность"",AND(ISNUMBER(J218),J218&lt;TODAY()-30),""Проверить: публикации старше 30 дней"",TRUE,""Готово""))"),"Готово")</f>
        <v>Готово</v>
      </c>
    </row>
    <row r="219" spans="1:13" ht="25.5" customHeight="1">
      <c r="A219" s="45" t="s">
        <v>530</v>
      </c>
      <c r="B219" s="46">
        <v>46267</v>
      </c>
      <c r="C219" s="45" t="s">
        <v>85</v>
      </c>
      <c r="D219" s="47" t="s">
        <v>183</v>
      </c>
      <c r="E219" s="45" t="s">
        <v>36</v>
      </c>
      <c r="F219" s="45" t="s">
        <v>14</v>
      </c>
      <c r="G219" s="47" t="s">
        <v>183</v>
      </c>
      <c r="H219" s="48" t="s">
        <v>581</v>
      </c>
      <c r="I219" s="47" t="s">
        <v>17</v>
      </c>
      <c r="J219" s="49"/>
      <c r="K219" s="45" t="s">
        <v>18</v>
      </c>
      <c r="L219" s="50" t="s">
        <v>103</v>
      </c>
      <c r="M219" s="51" t="str">
        <f ca="1">IFERROR(__xludf.DUMMYFUNCTION("IF(COUNTA(A219:L219)=0,"""",IFS(AND(H219&lt;&gt;"""",COUNTIF($H$6:$H$504,H219)&gt;1),""Ошибка: повтор URL"",OR(A219="""",B219="""",C219="""",D219="""",E219="""",F219="""",G219="""",H219="""",K219=""""),""Ошибка: обязательные поля"",NOT(REGEXMATCH(H219,""^https?://"&amp;"[^ /]+"")),""Ошибка: некорректная ссылка"",COUNTIF('Справочники'!$A$4:$A$24,C219)=0,""Ошибка: территория вне справочника"",K219=""Недоступен"",""Ошибка: ссылка недоступна"",E219=""Неофициальный источник"",IF(K219=""Активен"",""Готово"",""Проверить: активн"&amp;"ость""),I219&lt;&gt;""Подтверждено"",""Проверить: официальность / комментарий"",K219&lt;&gt;""Активен"",""Проверить: активность"",AND(ISNUMBER(J219),J219&lt;TODAY()-30),""Проверить: публикации старше 30 дней"",TRUE,""Готово""))"),"Готово")</f>
        <v>Готово</v>
      </c>
    </row>
    <row r="220" spans="1:13" ht="25.5" customHeight="1">
      <c r="A220" s="27" t="s">
        <v>530</v>
      </c>
      <c r="B220" s="28">
        <v>46267</v>
      </c>
      <c r="C220" s="27" t="s">
        <v>101</v>
      </c>
      <c r="D220" s="29" t="s">
        <v>123</v>
      </c>
      <c r="E220" s="27" t="s">
        <v>69</v>
      </c>
      <c r="F220" s="27" t="s">
        <v>14</v>
      </c>
      <c r="G220" s="29" t="s">
        <v>123</v>
      </c>
      <c r="H220" s="44" t="s">
        <v>582</v>
      </c>
      <c r="I220" s="29" t="s">
        <v>17</v>
      </c>
      <c r="J220" s="28"/>
      <c r="K220" s="27" t="s">
        <v>18</v>
      </c>
      <c r="L220" s="29"/>
      <c r="M220" s="25" t="str">
        <f ca="1">IFERROR(__xludf.DUMMYFUNCTION("IF(COUNTA(A220:L220)=0,"""",IFS(AND(H220&lt;&gt;"""",COUNTIF($H$6:$H$504,H220)&gt;1),""Ошибка: повтор URL"",OR(A220="""",B220="""",C220="""",D220="""",E220="""",F220="""",G220="""",H220="""",K220=""""),""Ошибка: обязательные поля"",NOT(REGEXMATCH(H220,""^https?://"&amp;"[^ /]+"")),""Ошибка: некорректная ссылка"",COUNTIF('Справочники'!$A$4:$A$24,C220)=0,""Ошибка: территория вне справочника"",K220=""Недоступен"",""Ошибка: ссылка недоступна"",E220=""Неофициальный источник"",IF(K220=""Активен"",""Готово"",""Проверить: активн"&amp;"ость""),I220&lt;&gt;""Подтверждено"",""Проверить: официальность / комментарий"",K220&lt;&gt;""Активен"",""Проверить: активность"",AND(ISNUMBER(J220),J220&lt;TODAY()-30),""Проверить: публикации старше 30 дней"",TRUE,""Готово""))"),"Готово")</f>
        <v>Готово</v>
      </c>
    </row>
    <row r="221" spans="1:13" ht="25.5" customHeight="1">
      <c r="A221" s="45" t="s">
        <v>530</v>
      </c>
      <c r="B221" s="46">
        <v>46267</v>
      </c>
      <c r="C221" s="45" t="s">
        <v>98</v>
      </c>
      <c r="D221" s="47" t="s">
        <v>197</v>
      </c>
      <c r="E221" s="45" t="s">
        <v>75</v>
      </c>
      <c r="F221" s="45" t="s">
        <v>14</v>
      </c>
      <c r="G221" s="47" t="s">
        <v>197</v>
      </c>
      <c r="H221" s="48" t="s">
        <v>583</v>
      </c>
      <c r="I221" s="47" t="s">
        <v>100</v>
      </c>
      <c r="J221" s="49" t="s">
        <v>100</v>
      </c>
      <c r="K221" s="45" t="s">
        <v>18</v>
      </c>
      <c r="L221" s="50" t="s">
        <v>535</v>
      </c>
      <c r="M221" s="51" t="str">
        <f ca="1">IFERROR(__xludf.DUMMYFUNCTION("IF(COUNTA(A221:L221)=0,"""",IFS(AND(H221&lt;&gt;"""",COUNTIF($H$6:$H$504,H221)&gt;1),""Ошибка: повтор URL"",OR(A221="""",B221="""",C221="""",D221="""",E221="""",F221="""",G221="""",H221="""",K221=""""),""Ошибка: обязательные поля"",NOT(REGEXMATCH(H221,""^https?://"&amp;"[^ /]+"")),""Ошибка: некорректная ссылка"",COUNTIF('Справочники'!$A$4:$A$24,C221)=0,""Ошибка: территория вне справочника"",K221=""Недоступен"",""Ошибка: ссылка недоступна"",E221=""Неофициальный источник"",IF(K221=""Активен"",""Готово"",""Проверить: активн"&amp;"ость""),I221&lt;&gt;""Подтверждено"",""Проверить: официальность / комментарий"",K221&lt;&gt;""Активен"",""Проверить: активность"",AND(ISNUMBER(J221),J221&lt;TODAY()-30),""Проверить: публикации старше 30 дней"",TRUE,""Готово""))"),"Готово")</f>
        <v>Готово</v>
      </c>
    </row>
    <row r="222" spans="1:13" ht="25.5" customHeight="1">
      <c r="A222" s="27" t="s">
        <v>530</v>
      </c>
      <c r="B222" s="28">
        <v>46267</v>
      </c>
      <c r="C222" s="27" t="s">
        <v>84</v>
      </c>
      <c r="D222" s="29" t="s">
        <v>231</v>
      </c>
      <c r="E222" s="27" t="s">
        <v>75</v>
      </c>
      <c r="F222" s="27" t="s">
        <v>14</v>
      </c>
      <c r="G222" s="29" t="s">
        <v>231</v>
      </c>
      <c r="H222" s="44" t="s">
        <v>584</v>
      </c>
      <c r="I222" s="29" t="s">
        <v>100</v>
      </c>
      <c r="J222" s="28" t="s">
        <v>100</v>
      </c>
      <c r="K222" s="27" t="s">
        <v>18</v>
      </c>
      <c r="L222" s="29" t="s">
        <v>535</v>
      </c>
      <c r="M222" s="25" t="str">
        <f ca="1">IFERROR(__xludf.DUMMYFUNCTION("IF(COUNTA(A222:L222)=0,"""",IFS(AND(H222&lt;&gt;"""",COUNTIF($H$6:$H$504,H222)&gt;1),""Ошибка: повтор URL"",OR(A222="""",B222="""",C222="""",D222="""",E222="""",F222="""",G222="""",H222="""",K222=""""),""Ошибка: обязательные поля"",NOT(REGEXMATCH(H222,""^https?://"&amp;"[^ /]+"")),""Ошибка: некорректная ссылка"",COUNTIF('Справочники'!$A$4:$A$24,C222)=0,""Ошибка: территория вне справочника"",K222=""Недоступен"",""Ошибка: ссылка недоступна"",E222=""Неофициальный источник"",IF(K222=""Активен"",""Готово"",""Проверить: активн"&amp;"ость""),I222&lt;&gt;""Подтверждено"",""Проверить: официальность / комментарий"",K222&lt;&gt;""Активен"",""Проверить: активность"",AND(ISNUMBER(J222),J222&lt;TODAY()-30),""Проверить: публикации старше 30 дней"",TRUE,""Готово""))"),"Готово")</f>
        <v>Готово</v>
      </c>
    </row>
    <row r="223" spans="1:13" ht="25.5" customHeight="1">
      <c r="A223" s="45" t="s">
        <v>530</v>
      </c>
      <c r="B223" s="46">
        <v>46267</v>
      </c>
      <c r="C223" s="45" t="s">
        <v>98</v>
      </c>
      <c r="D223" s="47" t="s">
        <v>199</v>
      </c>
      <c r="E223" s="45" t="s">
        <v>75</v>
      </c>
      <c r="F223" s="45" t="s">
        <v>14</v>
      </c>
      <c r="G223" s="47" t="s">
        <v>199</v>
      </c>
      <c r="H223" s="48" t="s">
        <v>585</v>
      </c>
      <c r="I223" s="47" t="s">
        <v>100</v>
      </c>
      <c r="J223" s="49" t="s">
        <v>100</v>
      </c>
      <c r="K223" s="45" t="s">
        <v>18</v>
      </c>
      <c r="L223" s="50" t="s">
        <v>535</v>
      </c>
      <c r="M223" s="51" t="str">
        <f ca="1">IFERROR(__xludf.DUMMYFUNCTION("IF(COUNTA(A223:L223)=0,"""",IFS(AND(H223&lt;&gt;"""",COUNTIF($H$6:$H$504,H223)&gt;1),""Ошибка: повтор URL"",OR(A223="""",B223="""",C223="""",D223="""",E223="""",F223="""",G223="""",H223="""",K223=""""),""Ошибка: обязательные поля"",NOT(REGEXMATCH(H223,""^https?://"&amp;"[^ /]+"")),""Ошибка: некорректная ссылка"",COUNTIF('Справочники'!$A$4:$A$24,C223)=0,""Ошибка: территория вне справочника"",K223=""Недоступен"",""Ошибка: ссылка недоступна"",E223=""Неофициальный источник"",IF(K223=""Активен"",""Готово"",""Проверить: активн"&amp;"ость""),I223&lt;&gt;""Подтверждено"",""Проверить: официальность / комментарий"",K223&lt;&gt;""Активен"",""Проверить: активность"",AND(ISNUMBER(J223),J223&lt;TODAY()-30),""Проверить: публикации старше 30 дней"",TRUE,""Готово""))"),"Готово")</f>
        <v>Готово</v>
      </c>
    </row>
    <row r="224" spans="1:13" ht="25.5" customHeight="1">
      <c r="A224" s="45" t="s">
        <v>530</v>
      </c>
      <c r="B224" s="46">
        <v>46267</v>
      </c>
      <c r="C224" s="45" t="s">
        <v>101</v>
      </c>
      <c r="D224" s="47" t="s">
        <v>134</v>
      </c>
      <c r="E224" s="45" t="s">
        <v>75</v>
      </c>
      <c r="F224" s="45" t="s">
        <v>14</v>
      </c>
      <c r="G224" s="47" t="s">
        <v>134</v>
      </c>
      <c r="H224" s="48" t="s">
        <v>586</v>
      </c>
      <c r="I224" s="47" t="s">
        <v>100</v>
      </c>
      <c r="J224" s="49" t="s">
        <v>100</v>
      </c>
      <c r="K224" s="45" t="s">
        <v>18</v>
      </c>
      <c r="L224" s="50" t="s">
        <v>535</v>
      </c>
      <c r="M224" s="51" t="str">
        <f ca="1">IFERROR(__xludf.DUMMYFUNCTION("IF(COUNTA(A224:L224)=0,"""",IFS(AND(H224&lt;&gt;"""",COUNTIF($H$6:$H$504,H224)&gt;1),""Ошибка: повтор URL"",OR(A224="""",B224="""",C224="""",D224="""",E224="""",F224="""",G224="""",H224="""",K224=""""),""Ошибка: обязательные поля"",NOT(REGEXMATCH(H224,""^https?://"&amp;"[^ /]+"")),""Ошибка: некорректная ссылка"",COUNTIF('Справочники'!$A$4:$A$24,C224)=0,""Ошибка: территория вне справочника"",K224=""Недоступен"",""Ошибка: ссылка недоступна"",E224=""Неофициальный источник"",IF(K224=""Активен"",""Готово"",""Проверить: активн"&amp;"ость""),I224&lt;&gt;""Подтверждено"",""Проверить: официальность / комментарий"",K224&lt;&gt;""Активен"",""Проверить: активность"",AND(ISNUMBER(J224),J224&lt;TODAY()-30),""Проверить: публикации старше 30 дней"",TRUE,""Готово""))"),"Готово")</f>
        <v>Готово</v>
      </c>
    </row>
    <row r="225" spans="1:25" ht="25.5" customHeight="1">
      <c r="A225" s="27" t="s">
        <v>530</v>
      </c>
      <c r="B225" s="28">
        <v>46267</v>
      </c>
      <c r="C225" s="27" t="s">
        <v>6</v>
      </c>
      <c r="D225" s="29" t="s">
        <v>107</v>
      </c>
      <c r="E225" s="27" t="s">
        <v>69</v>
      </c>
      <c r="F225" s="27" t="s">
        <v>14</v>
      </c>
      <c r="G225" s="29" t="s">
        <v>107</v>
      </c>
      <c r="H225" s="44" t="s">
        <v>587</v>
      </c>
      <c r="I225" s="29" t="s">
        <v>17</v>
      </c>
      <c r="J225" s="28"/>
      <c r="K225" s="27" t="s">
        <v>18</v>
      </c>
      <c r="L225" s="29" t="s">
        <v>103</v>
      </c>
      <c r="M225" s="25" t="str">
        <f ca="1">IFERROR(__xludf.DUMMYFUNCTION("IF(COUNTA(A225:L225)=0,"""",IFS(AND(H225&lt;&gt;"""",COUNTIF($H$6:$H$504,H225)&gt;1),""Ошибка: повтор URL"",OR(A225="""",B225="""",C225="""",D225="""",E225="""",F225="""",G225="""",H225="""",K225=""""),""Ошибка: обязательные поля"",NOT(REGEXMATCH(H225,""^https?://"&amp;"[^ /]+"")),""Ошибка: некорректная ссылка"",COUNTIF('Справочники'!$A$4:$A$24,C225)=0,""Ошибка: территория вне справочника"",K225=""Недоступен"",""Ошибка: ссылка недоступна"",E225=""Неофициальный источник"",IF(K225=""Активен"",""Готово"",""Проверить: активн"&amp;"ость""),I225&lt;&gt;""Подтверждено"",""Проверить: официальность / комментарий"",K225&lt;&gt;""Активен"",""Проверить: активность"",AND(ISNUMBER(J225),J225&lt;TODAY()-30),""Проверить: публикации старше 30 дней"",TRUE,""Готово""))"),"Готово")</f>
        <v>Готово</v>
      </c>
    </row>
    <row r="226" spans="1:25" ht="25.5" customHeight="1">
      <c r="A226" s="27" t="s">
        <v>530</v>
      </c>
      <c r="B226" s="28">
        <v>46267</v>
      </c>
      <c r="C226" s="27" t="s">
        <v>6</v>
      </c>
      <c r="D226" s="29" t="s">
        <v>88</v>
      </c>
      <c r="E226" s="27" t="s">
        <v>60</v>
      </c>
      <c r="F226" s="27" t="s">
        <v>14</v>
      </c>
      <c r="G226" s="29" t="s">
        <v>88</v>
      </c>
      <c r="H226" s="44" t="s">
        <v>588</v>
      </c>
      <c r="I226" s="29" t="s">
        <v>17</v>
      </c>
      <c r="J226" s="28"/>
      <c r="K226" s="27" t="s">
        <v>18</v>
      </c>
      <c r="L226" s="29" t="s">
        <v>103</v>
      </c>
      <c r="M226" s="25" t="str">
        <f ca="1">IFERROR(__xludf.DUMMYFUNCTION("IF(COUNTA(A226:L226)=0,"""",IFS(AND(H226&lt;&gt;"""",COUNTIF($H$6:$H$504,H226)&gt;1),""Ошибка: повтор URL"",OR(A226="""",B226="""",C226="""",D226="""",E226="""",F226="""",G226="""",H226="""",K226=""""),""Ошибка: обязательные поля"",NOT(REGEXMATCH(H226,""^https?://"&amp;"[^ /]+"")),""Ошибка: некорректная ссылка"",COUNTIF('Справочники'!$A$4:$A$24,C226)=0,""Ошибка: территория вне справочника"",K226=""Недоступен"",""Ошибка: ссылка недоступна"",E226=""Неофициальный источник"",IF(K226=""Активен"",""Готово"",""Проверить: активн"&amp;"ость""),I226&lt;&gt;""Подтверждено"",""Проверить: официальность / комментарий"",K226&lt;&gt;""Активен"",""Проверить: активность"",AND(ISNUMBER(J226),J226&lt;TODAY()-30),""Проверить: публикации старше 30 дней"",TRUE,""Готово""))"),"Готово")</f>
        <v>Готово</v>
      </c>
    </row>
    <row r="227" spans="1:25" ht="25.5" customHeight="1">
      <c r="A227" s="27" t="s">
        <v>530</v>
      </c>
      <c r="B227" s="28">
        <v>46267</v>
      </c>
      <c r="C227" s="27" t="s">
        <v>6</v>
      </c>
      <c r="D227" s="29" t="s">
        <v>112</v>
      </c>
      <c r="E227" s="27" t="s">
        <v>69</v>
      </c>
      <c r="F227" s="27" t="s">
        <v>14</v>
      </c>
      <c r="G227" s="29" t="s">
        <v>112</v>
      </c>
      <c r="H227" s="44" t="s">
        <v>589</v>
      </c>
      <c r="I227" s="29" t="s">
        <v>17</v>
      </c>
      <c r="J227" s="28"/>
      <c r="K227" s="27" t="s">
        <v>18</v>
      </c>
      <c r="L227" s="29" t="s">
        <v>103</v>
      </c>
      <c r="M227" s="25" t="str">
        <f ca="1">IFERROR(__xludf.DUMMYFUNCTION("IF(COUNTA(A227:L227)=0,"""",IFS(AND(H227&lt;&gt;"""",COUNTIF($H$6:$H$504,H227)&gt;1),""Ошибка: повтор URL"",OR(A227="""",B227="""",C227="""",D227="""",E227="""",F227="""",G227="""",H227="""",K227=""""),""Ошибка: обязательные поля"",NOT(REGEXMATCH(H227,""^https?://"&amp;"[^ /]+"")),""Ошибка: некорректная ссылка"",COUNTIF('Справочники'!$A$4:$A$24,C227)=0,""Ошибка: территория вне справочника"",K227=""Недоступен"",""Ошибка: ссылка недоступна"",E227=""Неофициальный источник"",IF(K227=""Активен"",""Готово"",""Проверить: активн"&amp;"ость""),I227&lt;&gt;""Подтверждено"",""Проверить: официальность / комментарий"",K227&lt;&gt;""Активен"",""Проверить: активность"",AND(ISNUMBER(J227),J227&lt;TODAY()-30),""Проверить: публикации старше 30 дней"",TRUE,""Готово""))"),"Готово")</f>
        <v>Готово</v>
      </c>
    </row>
    <row r="228" spans="1:25" ht="25.5" customHeight="1">
      <c r="A228" s="27" t="s">
        <v>530</v>
      </c>
      <c r="B228" s="28">
        <v>46267</v>
      </c>
      <c r="C228" s="27" t="s">
        <v>6</v>
      </c>
      <c r="D228" s="29" t="s">
        <v>97</v>
      </c>
      <c r="E228" s="27" t="s">
        <v>75</v>
      </c>
      <c r="F228" s="27" t="s">
        <v>14</v>
      </c>
      <c r="G228" s="29" t="s">
        <v>97</v>
      </c>
      <c r="H228" s="44" t="s">
        <v>590</v>
      </c>
      <c r="I228" s="29" t="s">
        <v>100</v>
      </c>
      <c r="J228" s="28" t="s">
        <v>100</v>
      </c>
      <c r="K228" s="27" t="s">
        <v>18</v>
      </c>
      <c r="L228" s="29" t="s">
        <v>535</v>
      </c>
      <c r="M228" s="25" t="str">
        <f ca="1">IFERROR(__xludf.DUMMYFUNCTION("IF(COUNTA(A228:L228)=0,"""",IFS(AND(H228&lt;&gt;"""",COUNTIF($H$6:$H$504,H228)&gt;1),""Ошибка: повтор URL"",OR(A228="""",B228="""",C228="""",D228="""",E228="""",F228="""",G228="""",H228="""",K228=""""),""Ошибка: обязательные поля"",NOT(REGEXMATCH(H228,""^https?://"&amp;"[^ /]+"")),""Ошибка: некорректная ссылка"",COUNTIF('Справочники'!$A$4:$A$24,C228)=0,""Ошибка: территория вне справочника"",K228=""Недоступен"",""Ошибка: ссылка недоступна"",E228=""Неофициальный источник"",IF(K228=""Активен"",""Готово"",""Проверить: активн"&amp;"ость""),I228&lt;&gt;""Подтверждено"",""Проверить: официальность / комментарий"",K228&lt;&gt;""Активен"",""Проверить: активность"",AND(ISNUMBER(J228),J228&lt;TODAY()-30),""Проверить: публикации старше 30 дней"",TRUE,""Готово""))"),"Готово")</f>
        <v>Готово</v>
      </c>
    </row>
    <row r="229" spans="1:25" ht="25.5" customHeight="1">
      <c r="A229" s="45" t="s">
        <v>530</v>
      </c>
      <c r="B229" s="46">
        <v>46267</v>
      </c>
      <c r="C229" s="45" t="s">
        <v>81</v>
      </c>
      <c r="D229" s="47" t="s">
        <v>157</v>
      </c>
      <c r="E229" s="45" t="s">
        <v>60</v>
      </c>
      <c r="F229" s="45" t="s">
        <v>14</v>
      </c>
      <c r="G229" s="47" t="s">
        <v>157</v>
      </c>
      <c r="H229" s="48" t="s">
        <v>591</v>
      </c>
      <c r="I229" s="47" t="s">
        <v>17</v>
      </c>
      <c r="J229" s="49"/>
      <c r="K229" s="45" t="s">
        <v>18</v>
      </c>
      <c r="L229" s="50"/>
      <c r="M229" s="51" t="str">
        <f ca="1">IFERROR(__xludf.DUMMYFUNCTION("IF(COUNTA(A229:L229)=0,"""",IFS(AND(H229&lt;&gt;"""",COUNTIF($H$6:$H$504,H229)&gt;1),""Ошибка: повтор URL"",OR(A229="""",B229="""",C229="""",D229="""",E229="""",F229="""",G229="""",H229="""",K229=""""),""Ошибка: обязательные поля"",NOT(REGEXMATCH(H229,""^https?://"&amp;"[^ /]+"")),""Ошибка: некорректная ссылка"",COUNTIF('Справочники'!$A$4:$A$24,C229)=0,""Ошибка: территория вне справочника"",K229=""Недоступен"",""Ошибка: ссылка недоступна"",E229=""Неофициальный источник"",IF(K229=""Активен"",""Готово"",""Проверить: активн"&amp;"ость""),I229&lt;&gt;""Подтверждено"",""Проверить: официальность / комментарий"",K229&lt;&gt;""Активен"",""Проверить: активность"",AND(ISNUMBER(J229),J229&lt;TODAY()-30),""Проверить: публикации старше 30 дней"",TRUE,""Готово""))"),"Готово")</f>
        <v>Готово</v>
      </c>
    </row>
    <row r="230" spans="1:25" ht="25.5" customHeight="1">
      <c r="A230" s="45" t="s">
        <v>530</v>
      </c>
      <c r="B230" s="46">
        <v>46267</v>
      </c>
      <c r="C230" s="45" t="s">
        <v>98</v>
      </c>
      <c r="D230" s="47" t="s">
        <v>201</v>
      </c>
      <c r="E230" s="45" t="s">
        <v>75</v>
      </c>
      <c r="F230" s="45" t="s">
        <v>14</v>
      </c>
      <c r="G230" s="47" t="s">
        <v>201</v>
      </c>
      <c r="H230" s="48" t="s">
        <v>592</v>
      </c>
      <c r="I230" s="47" t="s">
        <v>100</v>
      </c>
      <c r="J230" s="49" t="s">
        <v>100</v>
      </c>
      <c r="K230" s="45" t="s">
        <v>18</v>
      </c>
      <c r="L230" s="50" t="s">
        <v>535</v>
      </c>
      <c r="M230" s="51" t="str">
        <f ca="1">IFERROR(__xludf.DUMMYFUNCTION("IF(COUNTA(A230:L230)=0,"""",IFS(AND(H230&lt;&gt;"""",COUNTIF($H$6:$H$504,H230)&gt;1),""Ошибка: повтор URL"",OR(A230="""",B230="""",C230="""",D230="""",E230="""",F230="""",G230="""",H230="""",K230=""""),""Ошибка: обязательные поля"",NOT(REGEXMATCH(H230,""^https?://"&amp;"[^ /]+"")),""Ошибка: некорректная ссылка"",COUNTIF('Справочники'!$A$4:$A$24,C230)=0,""Ошибка: территория вне справочника"",K230=""Недоступен"",""Ошибка: ссылка недоступна"",E230=""Неофициальный источник"",IF(K230=""Активен"",""Готово"",""Проверить: активн"&amp;"ость""),I230&lt;&gt;""Подтверждено"",""Проверить: официальность / комментарий"",K230&lt;&gt;""Активен"",""Проверить: активность"",AND(ISNUMBER(J230),J230&lt;TODAY()-30),""Проверить: публикации старше 30 дней"",TRUE,""Готово""))"),"Готово")</f>
        <v>Готово</v>
      </c>
    </row>
    <row r="231" spans="1:25" ht="25.5" customHeight="1">
      <c r="A231" s="45" t="s">
        <v>530</v>
      </c>
      <c r="B231" s="46">
        <v>46267</v>
      </c>
      <c r="C231" s="45" t="s">
        <v>101</v>
      </c>
      <c r="D231" s="47" t="s">
        <v>135</v>
      </c>
      <c r="E231" s="45" t="s">
        <v>75</v>
      </c>
      <c r="F231" s="45" t="s">
        <v>14</v>
      </c>
      <c r="G231" s="47" t="s">
        <v>135</v>
      </c>
      <c r="H231" s="48" t="s">
        <v>593</v>
      </c>
      <c r="I231" s="47" t="s">
        <v>100</v>
      </c>
      <c r="J231" s="49" t="s">
        <v>100</v>
      </c>
      <c r="K231" s="45" t="s">
        <v>18</v>
      </c>
      <c r="L231" s="50" t="s">
        <v>535</v>
      </c>
      <c r="M231" s="51" t="str">
        <f ca="1">IFERROR(__xludf.DUMMYFUNCTION("IF(COUNTA(A231:L231)=0,"""",IFS(AND(H231&lt;&gt;"""",COUNTIF($H$6:$H$504,H231)&gt;1),""Ошибка: повтор URL"",OR(A231="""",B231="""",C231="""",D231="""",E231="""",F231="""",G231="""",H231="""",K231=""""),""Ошибка: обязательные поля"",NOT(REGEXMATCH(H231,""^https?://"&amp;"[^ /]+"")),""Ошибка: некорректная ссылка"",COUNTIF('Справочники'!$A$4:$A$24,C231)=0,""Ошибка: территория вне справочника"",K231=""Недоступен"",""Ошибка: ссылка недоступна"",E231=""Неофициальный источник"",IF(K231=""Активен"",""Готово"",""Проверить: активн"&amp;"ость""),I231&lt;&gt;""Подтверждено"",""Проверить: официальность / комментарий"",K231&lt;&gt;""Активен"",""Проверить: активность"",AND(ISNUMBER(J231),J231&lt;TODAY()-30),""Проверить: публикации старше 30 дней"",TRUE,""Готово""))"),"Готово")</f>
        <v>Готово</v>
      </c>
    </row>
    <row r="232" spans="1:25" ht="25.5" customHeight="1">
      <c r="A232" s="45" t="s">
        <v>530</v>
      </c>
      <c r="B232" s="46">
        <v>46267</v>
      </c>
      <c r="C232" s="45" t="s">
        <v>81</v>
      </c>
      <c r="D232" s="47" t="s">
        <v>161</v>
      </c>
      <c r="E232" s="45" t="s">
        <v>75</v>
      </c>
      <c r="F232" s="45" t="s">
        <v>14</v>
      </c>
      <c r="G232" s="47" t="s">
        <v>161</v>
      </c>
      <c r="H232" s="48" t="s">
        <v>594</v>
      </c>
      <c r="I232" s="47" t="s">
        <v>100</v>
      </c>
      <c r="J232" s="49" t="s">
        <v>100</v>
      </c>
      <c r="K232" s="45" t="s">
        <v>18</v>
      </c>
      <c r="L232" s="50" t="s">
        <v>535</v>
      </c>
      <c r="M232" s="51" t="str">
        <f ca="1">IFERROR(__xludf.DUMMYFUNCTION("IF(COUNTA(A232:L232)=0,"""",IFS(AND(H232&lt;&gt;"""",COUNTIF($H$6:$H$504,H232)&gt;1),""Ошибка: повтор URL"",OR(A232="""",B232="""",C232="""",D232="""",E232="""",F232="""",G232="""",H232="""",K232=""""),""Ошибка: обязательные поля"",NOT(REGEXMATCH(H232,""^https?://"&amp;"[^ /]+"")),""Ошибка: некорректная ссылка"",COUNTIF('Справочники'!$A$4:$A$24,C232)=0,""Ошибка: территория вне справочника"",K232=""Недоступен"",""Ошибка: ссылка недоступна"",E232=""Неофициальный источник"",IF(K232=""Активен"",""Готово"",""Проверить: активн"&amp;"ость""),I232&lt;&gt;""Подтверждено"",""Проверить: официальность / комментарий"",K232&lt;&gt;""Активен"",""Проверить: активность"",AND(ISNUMBER(J232),J232&lt;TODAY()-30),""Проверить: публикации старше 30 дней"",TRUE,""Готово""))"),"Готово")</f>
        <v>Готово</v>
      </c>
    </row>
    <row r="233" spans="1:25" ht="25.5" customHeight="1">
      <c r="A233" s="27" t="s">
        <v>530</v>
      </c>
      <c r="B233" s="28">
        <v>46267</v>
      </c>
      <c r="C233" s="27" t="s">
        <v>6</v>
      </c>
      <c r="D233" s="29" t="s">
        <v>109</v>
      </c>
      <c r="E233" s="27" t="s">
        <v>69</v>
      </c>
      <c r="F233" s="27" t="s">
        <v>14</v>
      </c>
      <c r="G233" s="29" t="s">
        <v>109</v>
      </c>
      <c r="H233" s="30" t="s">
        <v>595</v>
      </c>
      <c r="I233" s="29" t="s">
        <v>17</v>
      </c>
      <c r="J233" s="28"/>
      <c r="K233" s="27" t="s">
        <v>18</v>
      </c>
      <c r="L233" s="29" t="s">
        <v>103</v>
      </c>
      <c r="M233" s="25" t="str">
        <f ca="1">IFERROR(__xludf.DUMMYFUNCTION("IF(COUNTA(A233:L233)=0,"""",IFS(AND(H233&lt;&gt;"""",COUNTIF($H$6:$H$504,H233)&gt;1),""Ошибка: повтор URL"",OR(A233="""",B233="""",C233="""",D233="""",E233="""",F233="""",G233="""",H233="""",K233=""""),""Ошибка: обязательные поля"",NOT(REGEXMATCH(H233,""^https?://"&amp;"[^ /]+"")),""Ошибка: некорректная ссылка"",COUNTIF('Справочники'!$A$4:$A$24,C233)=0,""Ошибка: территория вне справочника"",K233=""Недоступен"",""Ошибка: ссылка недоступна"",E233=""Неофициальный источник"",IF(K233=""Активен"",""Готово"",""Проверить: активн"&amp;"ость""),I233&lt;&gt;""Подтверждено"",""Проверить: официальность / комментарий"",K233&lt;&gt;""Активен"",""Проверить: активность"",AND(ISNUMBER(J233),J233&lt;TODAY()-30),""Проверить: публикации старше 30 дней"",TRUE,""Готово""))"),"Готово")</f>
        <v>Готово</v>
      </c>
    </row>
    <row r="234" spans="1:25" ht="25.5" customHeight="1">
      <c r="A234" s="45" t="s">
        <v>530</v>
      </c>
      <c r="B234" s="46">
        <v>46267</v>
      </c>
      <c r="C234" s="45" t="s">
        <v>81</v>
      </c>
      <c r="D234" s="47" t="s">
        <v>163</v>
      </c>
      <c r="E234" s="45" t="s">
        <v>45</v>
      </c>
      <c r="F234" s="45" t="s">
        <v>14</v>
      </c>
      <c r="G234" s="47" t="s">
        <v>163</v>
      </c>
      <c r="H234" s="48" t="s">
        <v>596</v>
      </c>
      <c r="I234" s="47" t="s">
        <v>17</v>
      </c>
      <c r="J234" s="49"/>
      <c r="K234" s="45" t="s">
        <v>18</v>
      </c>
      <c r="L234" s="50" t="s">
        <v>103</v>
      </c>
      <c r="M234" s="51" t="str">
        <f ca="1">IFERROR(__xludf.DUMMYFUNCTION("IF(COUNTA(A234:L234)=0,"""",IFS(AND(H234&lt;&gt;"""",COUNTIF($H$6:$H$504,H234)&gt;1),""Ошибка: повтор URL"",OR(A234="""",B234="""",C234="""",D234="""",E234="""",F234="""",G234="""",H234="""",K234=""""),""Ошибка: обязательные поля"",NOT(REGEXMATCH(H234,""^https?://"&amp;"[^ /]+"")),""Ошибка: некорректная ссылка"",COUNTIF('Справочники'!$A$4:$A$24,C234)=0,""Ошибка: территория вне справочника"",K234=""Недоступен"",""Ошибка: ссылка недоступна"",E234=""Неофициальный источник"",IF(K234=""Активен"",""Готово"",""Проверить: активн"&amp;"ость""),I234&lt;&gt;""Подтверждено"",""Проверить: официальность / комментарий"",K234&lt;&gt;""Активен"",""Проверить: активность"",AND(ISNUMBER(J234),J234&lt;TODAY()-30),""Проверить: публикации старше 30 дней"",TRUE,""Готово""))"),"Готово")</f>
        <v>Готово</v>
      </c>
    </row>
    <row r="235" spans="1:25" ht="25.5" customHeight="1">
      <c r="A235" s="52" t="s">
        <v>530</v>
      </c>
      <c r="B235" s="53">
        <v>46267</v>
      </c>
      <c r="C235" s="54" t="s">
        <v>101</v>
      </c>
      <c r="D235" s="55" t="s">
        <v>139</v>
      </c>
      <c r="E235" s="54" t="s">
        <v>16</v>
      </c>
      <c r="F235" s="54" t="s">
        <v>14</v>
      </c>
      <c r="G235" s="55" t="s">
        <v>139</v>
      </c>
      <c r="H235" s="56" t="s">
        <v>597</v>
      </c>
      <c r="I235" s="55" t="s">
        <v>17</v>
      </c>
      <c r="J235" s="57"/>
      <c r="K235" s="54" t="s">
        <v>18</v>
      </c>
      <c r="L235" s="58" t="s">
        <v>103</v>
      </c>
      <c r="M235" s="59" t="str">
        <f ca="1">IFERROR(__xludf.DUMMYFUNCTION("IF(COUNTA(A235:L235)=0,"""",IFS(AND(H235&lt;&gt;"""",COUNTIF($H$6:$H$504,H235)&gt;1),""Ошибка: повтор URL"",OR(A235="""",B235="""",C235="""",D235="""",E235="""",F235="""",G235="""",H235="""",K235=""""),""Ошибка: обязательные поля"",NOT(REGEXMATCH(H235,""^https?://"&amp;"[^ /]+"")),""Ошибка: некорректная ссылка"",COUNTIF('Справочники'!$A$4:$A$24,C235)=0,""Ошибка: территория вне справочника"",K235=""Недоступен"",""Ошибка: ссылка недоступна"",E235=""Неофициальный источник"",IF(K235=""Активен"",""Готово"",""Проверить: активн"&amp;"ость""),I235&lt;&gt;""Подтверждено"",""Проверить: официальность / комментарий"",K235&lt;&gt;""Активен"",""Проверить: активность"",AND(ISNUMBER(J235),J235&lt;TODAY()-30),""Проверить: публикации старше 30 дней"",TRUE,""Готово""))"),"Готово")</f>
        <v>Готово</v>
      </c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 spans="1:25" ht="25.5" customHeight="1">
      <c r="A236" s="52" t="s">
        <v>530</v>
      </c>
      <c r="B236" s="53">
        <v>46267</v>
      </c>
      <c r="C236" s="54" t="s">
        <v>64</v>
      </c>
      <c r="D236" s="55" t="s">
        <v>224</v>
      </c>
      <c r="E236" s="54" t="s">
        <v>45</v>
      </c>
      <c r="F236" s="54" t="s">
        <v>14</v>
      </c>
      <c r="G236" s="55" t="s">
        <v>224</v>
      </c>
      <c r="H236" s="56" t="s">
        <v>598</v>
      </c>
      <c r="I236" s="55" t="s">
        <v>17</v>
      </c>
      <c r="J236" s="57"/>
      <c r="K236" s="54" t="s">
        <v>18</v>
      </c>
      <c r="L236" s="58" t="s">
        <v>103</v>
      </c>
      <c r="M236" s="59" t="str">
        <f ca="1">IFERROR(__xludf.DUMMYFUNCTION("IF(COUNTA(A236:L236)=0,"""",IFS(AND(H236&lt;&gt;"""",COUNTIF($H$6:$H$504,H236)&gt;1),""Ошибка: повтор URL"",OR(A236="""",B236="""",C236="""",D236="""",E236="""",F236="""",G236="""",H236="""",K236=""""),""Ошибка: обязательные поля"",NOT(REGEXMATCH(H236,""^https?://"&amp;"[^ /]+"")),""Ошибка: некорректная ссылка"",COUNTIF('Справочники'!$A$4:$A$24,C236)=0,""Ошибка: территория вне справочника"",K236=""Недоступен"",""Ошибка: ссылка недоступна"",E236=""Неофициальный источник"",IF(K236=""Активен"",""Готово"",""Проверить: активн"&amp;"ость""),I236&lt;&gt;""Подтверждено"",""Проверить: официальность / комментарий"",K236&lt;&gt;""Активен"",""Проверить: активность"",AND(ISNUMBER(J236),J236&lt;TODAY()-30),""Проверить: публикации старше 30 дней"",TRUE,""Готово""))"),"Готово")</f>
        <v>Готово</v>
      </c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 spans="1:25" ht="25.5" customHeight="1">
      <c r="A237" s="52" t="s">
        <v>530</v>
      </c>
      <c r="B237" s="53">
        <v>46267</v>
      </c>
      <c r="C237" s="54" t="s">
        <v>85</v>
      </c>
      <c r="D237" s="55" t="s">
        <v>181</v>
      </c>
      <c r="E237" s="54" t="s">
        <v>45</v>
      </c>
      <c r="F237" s="54" t="s">
        <v>14</v>
      </c>
      <c r="G237" s="55" t="s">
        <v>181</v>
      </c>
      <c r="H237" s="56" t="s">
        <v>599</v>
      </c>
      <c r="I237" s="55" t="s">
        <v>17</v>
      </c>
      <c r="J237" s="57"/>
      <c r="K237" s="54" t="s">
        <v>18</v>
      </c>
      <c r="L237" s="58" t="s">
        <v>103</v>
      </c>
      <c r="M237" s="59" t="str">
        <f ca="1">IFERROR(__xludf.DUMMYFUNCTION("IF(COUNTA(A237:L237)=0,"""",IFS(AND(H237&lt;&gt;"""",COUNTIF($H$6:$H$504,H237)&gt;1),""Ошибка: повтор URL"",OR(A237="""",B237="""",C237="""",D237="""",E237="""",F237="""",G237="""",H237="""",K237=""""),""Ошибка: обязательные поля"",NOT(REGEXMATCH(H237,""^https?://"&amp;"[^ /]+"")),""Ошибка: некорректная ссылка"",COUNTIF('Справочники'!$A$4:$A$24,C237)=0,""Ошибка: территория вне справочника"",K237=""Недоступен"",""Ошибка: ссылка недоступна"",E237=""Неофициальный источник"",IF(K237=""Активен"",""Готово"",""Проверить: активн"&amp;"ость""),I237&lt;&gt;""Подтверждено"",""Проверить: официальность / комментарий"",K237&lt;&gt;""Активен"",""Проверить: активность"",AND(ISNUMBER(J237),J237&lt;TODAY()-30),""Проверить: публикации старше 30 дней"",TRUE,""Готово""))"),"Готово")</f>
        <v>Готово</v>
      </c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 spans="1:25" ht="25.5" customHeight="1">
      <c r="A238" s="52" t="s">
        <v>530</v>
      </c>
      <c r="B238" s="53">
        <v>46267</v>
      </c>
      <c r="C238" s="54" t="s">
        <v>98</v>
      </c>
      <c r="D238" s="55" t="s">
        <v>203</v>
      </c>
      <c r="E238" s="54" t="s">
        <v>75</v>
      </c>
      <c r="F238" s="54" t="s">
        <v>14</v>
      </c>
      <c r="G238" s="55" t="s">
        <v>203</v>
      </c>
      <c r="H238" s="56" t="s">
        <v>600</v>
      </c>
      <c r="I238" s="55" t="s">
        <v>100</v>
      </c>
      <c r="J238" s="57" t="s">
        <v>100</v>
      </c>
      <c r="K238" s="54" t="s">
        <v>18</v>
      </c>
      <c r="L238" s="58" t="s">
        <v>535</v>
      </c>
      <c r="M238" s="59" t="str">
        <f ca="1">IFERROR(__xludf.DUMMYFUNCTION("IF(COUNTA(A238:L238)=0,"""",IFS(AND(H238&lt;&gt;"""",COUNTIF($H$6:$H$504,H238)&gt;1),""Ошибка: повтор URL"",OR(A238="""",B238="""",C238="""",D238="""",E238="""",F238="""",G238="""",H238="""",K238=""""),""Ошибка: обязательные поля"",NOT(REGEXMATCH(H238,""^https?://"&amp;"[^ /]+"")),""Ошибка: некорректная ссылка"",COUNTIF('Справочники'!$A$4:$A$24,C238)=0,""Ошибка: территория вне справочника"",K238=""Недоступен"",""Ошибка: ссылка недоступна"",E238=""Неофициальный источник"",IF(K238=""Активен"",""Готово"",""Проверить: активн"&amp;"ость""),I238&lt;&gt;""Подтверждено"",""Проверить: официальность / комментарий"",K238&lt;&gt;""Активен"",""Проверить: активность"",AND(ISNUMBER(J238),J238&lt;TODAY()-30),""Проверить: публикации старше 30 дней"",TRUE,""Готово""))"),"Готово")</f>
        <v>Готово</v>
      </c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 spans="1:25" ht="25.5" customHeight="1">
      <c r="A239" s="52" t="s">
        <v>530</v>
      </c>
      <c r="B239" s="53">
        <v>46267</v>
      </c>
      <c r="C239" s="54" t="s">
        <v>98</v>
      </c>
      <c r="D239" s="55" t="s">
        <v>206</v>
      </c>
      <c r="E239" s="54" t="s">
        <v>75</v>
      </c>
      <c r="F239" s="54" t="s">
        <v>14</v>
      </c>
      <c r="G239" s="55" t="s">
        <v>206</v>
      </c>
      <c r="H239" s="56" t="s">
        <v>601</v>
      </c>
      <c r="I239" s="55" t="s">
        <v>100</v>
      </c>
      <c r="J239" s="57" t="s">
        <v>100</v>
      </c>
      <c r="K239" s="54" t="s">
        <v>18</v>
      </c>
      <c r="L239" s="58" t="s">
        <v>535</v>
      </c>
      <c r="M239" s="59" t="str">
        <f ca="1">IFERROR(__xludf.DUMMYFUNCTION("IF(COUNTA(A239:L239)=0,"""",IFS(AND(H239&lt;&gt;"""",COUNTIF($H$6:$H$504,H239)&gt;1),""Ошибка: повтор URL"",OR(A239="""",B239="""",C239="""",D239="""",E239="""",F239="""",G239="""",H239="""",K239=""""),""Ошибка: обязательные поля"",NOT(REGEXMATCH(H239,""^https?://"&amp;"[^ /]+"")),""Ошибка: некорректная ссылка"",COUNTIF('Справочники'!$A$4:$A$24,C239)=0,""Ошибка: территория вне справочника"",K239=""Недоступен"",""Ошибка: ссылка недоступна"",E239=""Неофициальный источник"",IF(K239=""Активен"",""Готово"",""Проверить: активн"&amp;"ость""),I239&lt;&gt;""Подтверждено"",""Проверить: официальность / комментарий"",K239&lt;&gt;""Активен"",""Проверить: активность"",AND(ISNUMBER(J239),J239&lt;TODAY()-30),""Проверить: публикации старше 30 дней"",TRUE,""Готово""))"),"Готово")</f>
        <v>Готово</v>
      </c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 spans="1:25" ht="25.5" customHeight="1">
      <c r="A240" s="52" t="s">
        <v>530</v>
      </c>
      <c r="B240" s="53">
        <v>46267</v>
      </c>
      <c r="C240" s="54" t="s">
        <v>98</v>
      </c>
      <c r="D240" s="55" t="s">
        <v>212</v>
      </c>
      <c r="E240" s="54" t="s">
        <v>75</v>
      </c>
      <c r="F240" s="54" t="s">
        <v>14</v>
      </c>
      <c r="G240" s="55" t="s">
        <v>212</v>
      </c>
      <c r="H240" s="56" t="s">
        <v>602</v>
      </c>
      <c r="I240" s="55" t="s">
        <v>100</v>
      </c>
      <c r="J240" s="57" t="s">
        <v>100</v>
      </c>
      <c r="K240" s="54" t="s">
        <v>18</v>
      </c>
      <c r="L240" s="58" t="s">
        <v>535</v>
      </c>
      <c r="M240" s="59" t="str">
        <f ca="1">IFERROR(__xludf.DUMMYFUNCTION("IF(COUNTA(A240:L240)=0,"""",IFS(AND(H240&lt;&gt;"""",COUNTIF($H$6:$H$504,H240)&gt;1),""Ошибка: повтор URL"",OR(A240="""",B240="""",C240="""",D240="""",E240="""",F240="""",G240="""",H240="""",K240=""""),""Ошибка: обязательные поля"",NOT(REGEXMATCH(H240,""^https?://"&amp;"[^ /]+"")),""Ошибка: некорректная ссылка"",COUNTIF('Справочники'!$A$4:$A$24,C240)=0,""Ошибка: территория вне справочника"",K240=""Недоступен"",""Ошибка: ссылка недоступна"",E240=""Неофициальный источник"",IF(K240=""Активен"",""Готово"",""Проверить: активн"&amp;"ость""),I240&lt;&gt;""Подтверждено"",""Проверить: официальность / комментарий"",K240&lt;&gt;""Активен"",""Проверить: активность"",AND(ISNUMBER(J240),J240&lt;TODAY()-30),""Проверить: публикации старше 30 дней"",TRUE,""Готово""))"),"Готово")</f>
        <v>Готово</v>
      </c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 spans="1:25" ht="25.5" customHeight="1">
      <c r="A241" s="52" t="s">
        <v>530</v>
      </c>
      <c r="B241" s="53">
        <v>46267</v>
      </c>
      <c r="C241" s="54" t="s">
        <v>98</v>
      </c>
      <c r="D241" s="55" t="s">
        <v>208</v>
      </c>
      <c r="E241" s="54" t="s">
        <v>75</v>
      </c>
      <c r="F241" s="54" t="s">
        <v>14</v>
      </c>
      <c r="G241" s="55" t="s">
        <v>208</v>
      </c>
      <c r="H241" s="56" t="s">
        <v>603</v>
      </c>
      <c r="I241" s="55" t="s">
        <v>100</v>
      </c>
      <c r="J241" s="57" t="s">
        <v>100</v>
      </c>
      <c r="K241" s="54" t="s">
        <v>18</v>
      </c>
      <c r="L241" s="58" t="s">
        <v>535</v>
      </c>
      <c r="M241" s="59" t="str">
        <f ca="1">IFERROR(__xludf.DUMMYFUNCTION("IF(COUNTA(A241:L241)=0,"""",IFS(AND(H241&lt;&gt;"""",COUNTIF($H$6:$H$504,H241)&gt;1),""Ошибка: повтор URL"",OR(A241="""",B241="""",C241="""",D241="""",E241="""",F241="""",G241="""",H241="""",K241=""""),""Ошибка: обязательные поля"",NOT(REGEXMATCH(H241,""^https?://"&amp;"[^ /]+"")),""Ошибка: некорректная ссылка"",COUNTIF('Справочники'!$A$4:$A$24,C241)=0,""Ошибка: территория вне справочника"",K241=""Недоступен"",""Ошибка: ссылка недоступна"",E241=""Неофициальный источник"",IF(K241=""Активен"",""Готово"",""Проверить: активн"&amp;"ость""),I241&lt;&gt;""Подтверждено"",""Проверить: официальность / комментарий"",K241&lt;&gt;""Активен"",""Проверить: активность"",AND(ISNUMBER(J241),J241&lt;TODAY()-30),""Проверить: публикации старше 30 дней"",TRUE,""Готово""))"),"Готово")</f>
        <v>Готово</v>
      </c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 spans="1:25" ht="25.5" customHeight="1">
      <c r="A242" s="52" t="s">
        <v>530</v>
      </c>
      <c r="B242" s="53">
        <v>46267</v>
      </c>
      <c r="C242" s="54" t="s">
        <v>98</v>
      </c>
      <c r="D242" s="55" t="s">
        <v>211</v>
      </c>
      <c r="E242" s="54" t="s">
        <v>75</v>
      </c>
      <c r="F242" s="54" t="s">
        <v>14</v>
      </c>
      <c r="G242" s="55" t="s">
        <v>211</v>
      </c>
      <c r="H242" s="56" t="s">
        <v>604</v>
      </c>
      <c r="I242" s="55" t="s">
        <v>100</v>
      </c>
      <c r="J242" s="57" t="s">
        <v>100</v>
      </c>
      <c r="K242" s="54" t="s">
        <v>18</v>
      </c>
      <c r="L242" s="58" t="s">
        <v>535</v>
      </c>
      <c r="M242" s="59" t="str">
        <f ca="1">IFERROR(__xludf.DUMMYFUNCTION("IF(COUNTA(A242:L242)=0,"""",IFS(AND(H242&lt;&gt;"""",COUNTIF($H$6:$H$504,H242)&gt;1),""Ошибка: повтор URL"",OR(A242="""",B242="""",C242="""",D242="""",E242="""",F242="""",G242="""",H242="""",K242=""""),""Ошибка: обязательные поля"",NOT(REGEXMATCH(H242,""^https?://"&amp;"[^ /]+"")),""Ошибка: некорректная ссылка"",COUNTIF('Справочники'!$A$4:$A$24,C242)=0,""Ошибка: территория вне справочника"",K242=""Недоступен"",""Ошибка: ссылка недоступна"",E242=""Неофициальный источник"",IF(K242=""Активен"",""Готово"",""Проверить: активн"&amp;"ость""),I242&lt;&gt;""Подтверждено"",""Проверить: официальность / комментарий"",K242&lt;&gt;""Активен"",""Проверить: активность"",AND(ISNUMBER(J242),J242&lt;TODAY()-30),""Проверить: публикации старше 30 дней"",TRUE,""Готово""))"),"Готово")</f>
        <v>Готово</v>
      </c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 spans="1:25" ht="25.5" customHeight="1">
      <c r="A243" s="61" t="s">
        <v>530</v>
      </c>
      <c r="B243" s="62">
        <v>46267</v>
      </c>
      <c r="C243" s="63" t="s">
        <v>6</v>
      </c>
      <c r="D243" s="64" t="s">
        <v>8</v>
      </c>
      <c r="E243" s="63" t="s">
        <v>16</v>
      </c>
      <c r="F243" s="63" t="s">
        <v>34</v>
      </c>
      <c r="G243" s="64" t="s">
        <v>8</v>
      </c>
      <c r="H243" s="65" t="s">
        <v>605</v>
      </c>
      <c r="I243" s="64" t="s">
        <v>17</v>
      </c>
      <c r="J243" s="62"/>
      <c r="K243" s="63" t="s">
        <v>18</v>
      </c>
      <c r="L243" s="64" t="s">
        <v>103</v>
      </c>
      <c r="M243" s="66" t="str">
        <f ca="1">IFERROR(__xludf.DUMMYFUNCTION("IF(COUNTA(A243:L243)=0,"""",IFS(AND(H243&lt;&gt;"""",COUNTIF($H$6:$H$504,H243)&gt;1),""Ошибка: повтор URL"",OR(A243="""",B243="""",C243="""",D243="""",E243="""",F243="""",G243="""",H243="""",K243=""""),""Ошибка: обязательные поля"",NOT(REGEXMATCH(H243,""^https?://"&amp;"[^ /]+"")),""Ошибка: некорректная ссылка"",COUNTIF('Справочники'!$A$4:$A$24,C243)=0,""Ошибка: территория вне справочника"",K243=""Недоступен"",""Ошибка: ссылка недоступна"",E243=""Неофициальный источник"",IF(K243=""Активен"",""Готово"",""Проверить: активн"&amp;"ость""),I243&lt;&gt;""Подтверждено"",""Проверить: официальность / комментарий"",K243&lt;&gt;""Активен"",""Проверить: активность"",AND(ISNUMBER(J243),J243&lt;TODAY()-30),""Проверить: публикации старше 30 дней"",TRUE,""Готово""))"),"Готово")</f>
        <v>Готово</v>
      </c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 spans="1:25" ht="25.5" customHeight="1">
      <c r="A244" s="52" t="s">
        <v>530</v>
      </c>
      <c r="B244" s="53">
        <v>46267</v>
      </c>
      <c r="C244" s="54" t="s">
        <v>85</v>
      </c>
      <c r="D244" s="55" t="s">
        <v>171</v>
      </c>
      <c r="E244" s="54" t="s">
        <v>16</v>
      </c>
      <c r="F244" s="54" t="s">
        <v>34</v>
      </c>
      <c r="G244" s="55" t="s">
        <v>171</v>
      </c>
      <c r="H244" s="56" t="s">
        <v>606</v>
      </c>
      <c r="I244" s="55" t="s">
        <v>17</v>
      </c>
      <c r="J244" s="57"/>
      <c r="K244" s="54" t="s">
        <v>18</v>
      </c>
      <c r="L244" s="58" t="s">
        <v>103</v>
      </c>
      <c r="M244" s="59" t="str">
        <f ca="1">IFERROR(__xludf.DUMMYFUNCTION("IF(COUNTA(A244:L244)=0,"""",IFS(AND(H244&lt;&gt;"""",COUNTIF($H$6:$H$504,H244)&gt;1),""Ошибка: повтор URL"",OR(A244="""",B244="""",C244="""",D244="""",E244="""",F244="""",G244="""",H244="""",K244=""""),""Ошибка: обязательные поля"",NOT(REGEXMATCH(H244,""^https?://"&amp;"[^ /]+"")),""Ошибка: некорректная ссылка"",COUNTIF('Справочники'!$A$4:$A$24,C244)=0,""Ошибка: территория вне справочника"",K244=""Недоступен"",""Ошибка: ссылка недоступна"",E244=""Неофициальный источник"",IF(K244=""Активен"",""Готово"",""Проверить: активн"&amp;"ость""),I244&lt;&gt;""Подтверждено"",""Проверить: официальность / комментарий"",K244&lt;&gt;""Активен"",""Проверить: активность"",AND(ISNUMBER(J244),J244&lt;TODAY()-30),""Проверить: публикации старше 30 дней"",TRUE,""Готово""))"),"Готово")</f>
        <v>Готово</v>
      </c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 spans="1:25" ht="25.5" customHeight="1">
      <c r="A245" s="52" t="s">
        <v>530</v>
      </c>
      <c r="B245" s="53">
        <v>46267</v>
      </c>
      <c r="C245" s="54" t="s">
        <v>81</v>
      </c>
      <c r="D245" s="55" t="s">
        <v>150</v>
      </c>
      <c r="E245" s="54" t="s">
        <v>75</v>
      </c>
      <c r="F245" s="54" t="s">
        <v>34</v>
      </c>
      <c r="G245" s="55" t="s">
        <v>150</v>
      </c>
      <c r="H245" s="56" t="s">
        <v>607</v>
      </c>
      <c r="I245" s="55" t="s">
        <v>100</v>
      </c>
      <c r="J245" s="57" t="s">
        <v>100</v>
      </c>
      <c r="K245" s="54" t="s">
        <v>18</v>
      </c>
      <c r="L245" s="58" t="s">
        <v>535</v>
      </c>
      <c r="M245" s="59" t="str">
        <f ca="1">IFERROR(__xludf.DUMMYFUNCTION("IF(COUNTA(A245:L245)=0,"""",IFS(AND(H245&lt;&gt;"""",COUNTIF($H$6:$H$504,H245)&gt;1),""Ошибка: повтор URL"",OR(A245="""",B245="""",C245="""",D245="""",E245="""",F245="""",G245="""",H245="""",K245=""""),""Ошибка: обязательные поля"",NOT(REGEXMATCH(H245,""^https?://"&amp;"[^ /]+"")),""Ошибка: некорректная ссылка"",COUNTIF('Справочники'!$A$4:$A$24,C245)=0,""Ошибка: территория вне справочника"",K245=""Недоступен"",""Ошибка: ссылка недоступна"",E245=""Неофициальный источник"",IF(K245=""Активен"",""Готово"",""Проверить: активн"&amp;"ость""),I245&lt;&gt;""Подтверждено"",""Проверить: официальность / комментарий"",K245&lt;&gt;""Активен"",""Проверить: активность"",AND(ISNUMBER(J245),J245&lt;TODAY()-30),""Проверить: публикации старше 30 дней"",TRUE,""Готово""))"),"Готово")</f>
        <v>Готово</v>
      </c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 spans="1:25" ht="25.5" customHeight="1">
      <c r="A246" s="61" t="s">
        <v>530</v>
      </c>
      <c r="B246" s="62">
        <v>46267</v>
      </c>
      <c r="C246" s="63" t="s">
        <v>84</v>
      </c>
      <c r="D246" s="64" t="s">
        <v>118</v>
      </c>
      <c r="E246" s="63" t="s">
        <v>75</v>
      </c>
      <c r="F246" s="63" t="s">
        <v>34</v>
      </c>
      <c r="G246" s="64" t="s">
        <v>118</v>
      </c>
      <c r="H246" s="67" t="s">
        <v>608</v>
      </c>
      <c r="I246" s="64" t="s">
        <v>100</v>
      </c>
      <c r="J246" s="62" t="s">
        <v>100</v>
      </c>
      <c r="K246" s="63" t="s">
        <v>18</v>
      </c>
      <c r="L246" s="64" t="s">
        <v>535</v>
      </c>
      <c r="M246" s="66" t="str">
        <f ca="1">IFERROR(__xludf.DUMMYFUNCTION("IF(COUNTA(A246:L246)=0,"""",IFS(AND(H246&lt;&gt;"""",COUNTIF($H$6:$H$504,H246)&gt;1),""Ошибка: повтор URL"",OR(A246="""",B246="""",C246="""",D246="""",E246="""",F246="""",G246="""",H246="""",K246=""""),""Ошибка: обязательные поля"",NOT(REGEXMATCH(H246,""^https?://"&amp;"[^ /]+"")),""Ошибка: некорректная ссылка"",COUNTIF('Справочники'!$A$4:$A$24,C246)=0,""Ошибка: территория вне справочника"",K246=""Недоступен"",""Ошибка: ссылка недоступна"",E246=""Неофициальный источник"",IF(K246=""Активен"",""Готово"",""Проверить: активн"&amp;"ость""),I246&lt;&gt;""Подтверждено"",""Проверить: официальность / комментарий"",K246&lt;&gt;""Активен"",""Проверить: активность"",AND(ISNUMBER(J246),J246&lt;TODAY()-30),""Проверить: публикации старше 30 дней"",TRUE,""Готово""))"),"Готово")</f>
        <v>Готово</v>
      </c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 spans="1:25" ht="25.5" customHeight="1">
      <c r="A247" s="52" t="s">
        <v>530</v>
      </c>
      <c r="B247" s="53">
        <v>46267</v>
      </c>
      <c r="C247" s="54" t="s">
        <v>81</v>
      </c>
      <c r="D247" s="55" t="s">
        <v>154</v>
      </c>
      <c r="E247" s="54" t="s">
        <v>75</v>
      </c>
      <c r="F247" s="54" t="s">
        <v>34</v>
      </c>
      <c r="G247" s="55" t="s">
        <v>154</v>
      </c>
      <c r="H247" s="56" t="s">
        <v>609</v>
      </c>
      <c r="I247" s="55" t="s">
        <v>100</v>
      </c>
      <c r="J247" s="57" t="s">
        <v>100</v>
      </c>
      <c r="K247" s="54" t="s">
        <v>18</v>
      </c>
      <c r="L247" s="58" t="s">
        <v>535</v>
      </c>
      <c r="M247" s="59" t="str">
        <f ca="1">IFERROR(__xludf.DUMMYFUNCTION("IF(COUNTA(A247:L247)=0,"""",IFS(AND(H247&lt;&gt;"""",COUNTIF($H$6:$H$504,H247)&gt;1),""Ошибка: повтор URL"",OR(A247="""",B247="""",C247="""",D247="""",E247="""",F247="""",G247="""",H247="""",K247=""""),""Ошибка: обязательные поля"",NOT(REGEXMATCH(H247,""^https?://"&amp;"[^ /]+"")),""Ошибка: некорректная ссылка"",COUNTIF('Справочники'!$A$4:$A$24,C247)=0,""Ошибка: территория вне справочника"",K247=""Недоступен"",""Ошибка: ссылка недоступна"",E247=""Неофициальный источник"",IF(K247=""Активен"",""Готово"",""Проверить: активн"&amp;"ость""),I247&lt;&gt;""Подтверждено"",""Проверить: официальность / комментарий"",K247&lt;&gt;""Активен"",""Проверить: активность"",AND(ISNUMBER(J247),J247&lt;TODAY()-30),""Проверить: публикации старше 30 дней"",TRUE,""Готово""))"),"Готово")</f>
        <v>Готово</v>
      </c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 spans="1:25" ht="25.5" customHeight="1">
      <c r="A248" s="52" t="s">
        <v>530</v>
      </c>
      <c r="B248" s="53">
        <v>46267</v>
      </c>
      <c r="C248" s="54" t="s">
        <v>81</v>
      </c>
      <c r="D248" s="55" t="s">
        <v>154</v>
      </c>
      <c r="E248" s="54" t="s">
        <v>75</v>
      </c>
      <c r="F248" s="54" t="s">
        <v>34</v>
      </c>
      <c r="G248" s="55" t="s">
        <v>154</v>
      </c>
      <c r="H248" s="56" t="s">
        <v>610</v>
      </c>
      <c r="I248" s="55" t="s">
        <v>100</v>
      </c>
      <c r="J248" s="57" t="s">
        <v>100</v>
      </c>
      <c r="K248" s="54" t="s">
        <v>18</v>
      </c>
      <c r="L248" s="58" t="s">
        <v>535</v>
      </c>
      <c r="M248" s="59" t="str">
        <f ca="1">IFERROR(__xludf.DUMMYFUNCTION("IF(COUNTA(A248:L248)=0,"""",IFS(AND(H248&lt;&gt;"""",COUNTIF($H$6:$H$504,H248)&gt;1),""Ошибка: повтор URL"",OR(A248="""",B248="""",C248="""",D248="""",E248="""",F248="""",G248="""",H248="""",K248=""""),""Ошибка: обязательные поля"",NOT(REGEXMATCH(H248,""^https?://"&amp;"[^ /]+"")),""Ошибка: некорректная ссылка"",COUNTIF('Справочники'!$A$4:$A$24,C248)=0,""Ошибка: территория вне справочника"",K248=""Недоступен"",""Ошибка: ссылка недоступна"",E248=""Неофициальный источник"",IF(K248=""Активен"",""Готово"",""Проверить: активн"&amp;"ость""),I248&lt;&gt;""Подтверждено"",""Проверить: официальность / комментарий"",K248&lt;&gt;""Активен"",""Проверить: активность"",AND(ISNUMBER(J248),J248&lt;TODAY()-30),""Проверить: публикации старше 30 дней"",TRUE,""Готово""))"),"Готово")</f>
        <v>Готово</v>
      </c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 spans="1:25" ht="25.5" customHeight="1">
      <c r="A249" s="61" t="s">
        <v>530</v>
      </c>
      <c r="B249" s="62">
        <v>46267</v>
      </c>
      <c r="C249" s="63" t="s">
        <v>64</v>
      </c>
      <c r="D249" s="64" t="s">
        <v>220</v>
      </c>
      <c r="E249" s="63" t="s">
        <v>75</v>
      </c>
      <c r="F249" s="63" t="s">
        <v>34</v>
      </c>
      <c r="G249" s="64" t="s">
        <v>220</v>
      </c>
      <c r="H249" s="67" t="s">
        <v>611</v>
      </c>
      <c r="I249" s="64" t="s">
        <v>100</v>
      </c>
      <c r="J249" s="62" t="s">
        <v>100</v>
      </c>
      <c r="K249" s="63" t="s">
        <v>18</v>
      </c>
      <c r="L249" s="64" t="s">
        <v>535</v>
      </c>
      <c r="M249" s="66" t="str">
        <f ca="1">IFERROR(__xludf.DUMMYFUNCTION("IF(COUNTA(A249:L249)=0,"""",IFS(AND(H249&lt;&gt;"""",COUNTIF($H$6:$H$504,H249)&gt;1),""Ошибка: повтор URL"",OR(A249="""",B249="""",C249="""",D249="""",E249="""",F249="""",G249="""",H249="""",K249=""""),""Ошибка: обязательные поля"",NOT(REGEXMATCH(H249,""^https?://"&amp;"[^ /]+"")),""Ошибка: некорректная ссылка"",COUNTIF('Справочники'!$A$4:$A$24,C249)=0,""Ошибка: территория вне справочника"",K249=""Недоступен"",""Ошибка: ссылка недоступна"",E249=""Неофициальный источник"",IF(K249=""Активен"",""Готово"",""Проверить: активн"&amp;"ость""),I249&lt;&gt;""Подтверждено"",""Проверить: официальность / комментарий"",K249&lt;&gt;""Активен"",""Проверить: активность"",AND(ISNUMBER(J249),J249&lt;TODAY()-30),""Проверить: публикации старше 30 дней"",TRUE,""Готово""))"),"Готово")</f>
        <v>Готово</v>
      </c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 spans="1:25" ht="25.5" customHeight="1">
      <c r="A250" s="52" t="s">
        <v>530</v>
      </c>
      <c r="B250" s="53">
        <v>46267</v>
      </c>
      <c r="C250" s="54" t="s">
        <v>85</v>
      </c>
      <c r="D250" s="55" t="s">
        <v>178</v>
      </c>
      <c r="E250" s="54" t="s">
        <v>75</v>
      </c>
      <c r="F250" s="54" t="s">
        <v>34</v>
      </c>
      <c r="G250" s="55" t="s">
        <v>183</v>
      </c>
      <c r="H250" s="56" t="s">
        <v>612</v>
      </c>
      <c r="I250" s="55" t="s">
        <v>100</v>
      </c>
      <c r="J250" s="57" t="s">
        <v>100</v>
      </c>
      <c r="K250" s="54" t="s">
        <v>18</v>
      </c>
      <c r="L250" s="58" t="s">
        <v>535</v>
      </c>
      <c r="M250" s="59" t="str">
        <f ca="1">IFERROR(__xludf.DUMMYFUNCTION("IF(COUNTA(A250:L250)=0,"""",IFS(AND(H250&lt;&gt;"""",COUNTIF($H$6:$H$504,H250)&gt;1),""Ошибка: повтор URL"",OR(A250="""",B250="""",C250="""",D250="""",E250="""",F250="""",G250="""",H250="""",K250=""""),""Ошибка: обязательные поля"",NOT(REGEXMATCH(H250,""^https?://"&amp;"[^ /]+"")),""Ошибка: некорректная ссылка"",COUNTIF('Справочники'!$A$4:$A$24,C250)=0,""Ошибка: территория вне справочника"",K250=""Недоступен"",""Ошибка: ссылка недоступна"",E250=""Неофициальный источник"",IF(K250=""Активен"",""Готово"",""Проверить: активн"&amp;"ость""),I250&lt;&gt;""Подтверждено"",""Проверить: официальность / комментарий"",K250&lt;&gt;""Активен"",""Проверить: активность"",AND(ISNUMBER(J250),J250&lt;TODAY()-30),""Проверить: публикации старше 30 дней"",TRUE,""Готово""))"),"Готово")</f>
        <v>Готово</v>
      </c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 spans="1:25" ht="25.5" customHeight="1">
      <c r="A251" s="61" t="s">
        <v>530</v>
      </c>
      <c r="B251" s="62">
        <v>46267</v>
      </c>
      <c r="C251" s="63" t="s">
        <v>64</v>
      </c>
      <c r="D251" s="64" t="s">
        <v>221</v>
      </c>
      <c r="E251" s="63" t="s">
        <v>75</v>
      </c>
      <c r="F251" s="63" t="s">
        <v>34</v>
      </c>
      <c r="G251" s="64" t="s">
        <v>221</v>
      </c>
      <c r="H251" s="67" t="s">
        <v>613</v>
      </c>
      <c r="I251" s="64" t="s">
        <v>100</v>
      </c>
      <c r="J251" s="62" t="s">
        <v>100</v>
      </c>
      <c r="K251" s="63" t="s">
        <v>18</v>
      </c>
      <c r="L251" s="64" t="s">
        <v>535</v>
      </c>
      <c r="M251" s="66" t="str">
        <f ca="1">IFERROR(__xludf.DUMMYFUNCTION("IF(COUNTA(A251:L251)=0,"""",IFS(AND(H251&lt;&gt;"""",COUNTIF($H$6:$H$504,H251)&gt;1),""Ошибка: повтор URL"",OR(A251="""",B251="""",C251="""",D251="""",E251="""",F251="""",G251="""",H251="""",K251=""""),""Ошибка: обязательные поля"",NOT(REGEXMATCH(H251,""^https?://"&amp;"[^ /]+"")),""Ошибка: некорректная ссылка"",COUNTIF('Справочники'!$A$4:$A$24,C251)=0,""Ошибка: территория вне справочника"",K251=""Недоступен"",""Ошибка: ссылка недоступна"",E251=""Неофициальный источник"",IF(K251=""Активен"",""Готово"",""Проверить: активн"&amp;"ость""),I251&lt;&gt;""Подтверждено"",""Проверить: официальность / комментарий"",K251&lt;&gt;""Активен"",""Проверить: активность"",AND(ISNUMBER(J251),J251&lt;TODAY()-30),""Проверить: публикации старше 30 дней"",TRUE,""Готово""))"),"Готово")</f>
        <v>Готово</v>
      </c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 spans="1:25" ht="25.5" customHeight="1">
      <c r="A252" s="61" t="s">
        <v>530</v>
      </c>
      <c r="B252" s="62">
        <v>46267</v>
      </c>
      <c r="C252" s="63" t="s">
        <v>64</v>
      </c>
      <c r="D252" s="64" t="s">
        <v>221</v>
      </c>
      <c r="E252" s="63" t="s">
        <v>75</v>
      </c>
      <c r="F252" s="63" t="s">
        <v>34</v>
      </c>
      <c r="G252" s="64" t="s">
        <v>221</v>
      </c>
      <c r="H252" s="67" t="s">
        <v>614</v>
      </c>
      <c r="I252" s="64" t="s">
        <v>100</v>
      </c>
      <c r="J252" s="62" t="s">
        <v>100</v>
      </c>
      <c r="K252" s="63" t="s">
        <v>18</v>
      </c>
      <c r="L252" s="64" t="s">
        <v>535</v>
      </c>
      <c r="M252" s="66" t="str">
        <f ca="1">IFERROR(__xludf.DUMMYFUNCTION("IF(COUNTA(A252:L252)=0,"""",IFS(AND(H252&lt;&gt;"""",COUNTIF($H$6:$H$504,H252)&gt;1),""Ошибка: повтор URL"",OR(A252="""",B252="""",C252="""",D252="""",E252="""",F252="""",G252="""",H252="""",K252=""""),""Ошибка: обязательные поля"",NOT(REGEXMATCH(H252,""^https?://"&amp;"[^ /]+"")),""Ошибка: некорректная ссылка"",COUNTIF('Справочники'!$A$4:$A$24,C252)=0,""Ошибка: территория вне справочника"",K252=""Недоступен"",""Ошибка: ссылка недоступна"",E252=""Неофициальный источник"",IF(K252=""Активен"",""Готово"",""Проверить: активн"&amp;"ость""),I252&lt;&gt;""Подтверждено"",""Проверить: официальность / комментарий"",K252&lt;&gt;""Активен"",""Проверить: активность"",AND(ISNUMBER(J252),J252&lt;TODAY()-30),""Проверить: публикации старше 30 дней"",TRUE,""Готово""))"),"Готово")</f>
        <v>Готово</v>
      </c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 spans="1:25" ht="25.5" customHeight="1">
      <c r="A253" s="52" t="s">
        <v>530</v>
      </c>
      <c r="B253" s="53">
        <v>46267</v>
      </c>
      <c r="C253" s="54" t="s">
        <v>81</v>
      </c>
      <c r="D253" s="55" t="s">
        <v>162</v>
      </c>
      <c r="E253" s="54" t="s">
        <v>75</v>
      </c>
      <c r="F253" s="54" t="s">
        <v>34</v>
      </c>
      <c r="G253" s="55" t="s">
        <v>162</v>
      </c>
      <c r="H253" s="56" t="s">
        <v>615</v>
      </c>
      <c r="I253" s="55" t="s">
        <v>100</v>
      </c>
      <c r="J253" s="57" t="s">
        <v>100</v>
      </c>
      <c r="K253" s="54" t="s">
        <v>18</v>
      </c>
      <c r="L253" s="58" t="s">
        <v>535</v>
      </c>
      <c r="M253" s="59" t="str">
        <f ca="1">IFERROR(__xludf.DUMMYFUNCTION("IF(COUNTA(A253:L253)=0,"""",IFS(AND(H253&lt;&gt;"""",COUNTIF($H$6:$H$504,H253)&gt;1),""Ошибка: повтор URL"",OR(A253="""",B253="""",C253="""",D253="""",E253="""",F253="""",G253="""",H253="""",K253=""""),""Ошибка: обязательные поля"",NOT(REGEXMATCH(H253,""^https?://"&amp;"[^ /]+"")),""Ошибка: некорректная ссылка"",COUNTIF('Справочники'!$A$4:$A$24,C253)=0,""Ошибка: территория вне справочника"",K253=""Недоступен"",""Ошибка: ссылка недоступна"",E253=""Неофициальный источник"",IF(K253=""Активен"",""Готово"",""Проверить: активн"&amp;"ость""),I253&lt;&gt;""Подтверждено"",""Проверить: официальность / комментарий"",K253&lt;&gt;""Активен"",""Проверить: активность"",AND(ISNUMBER(J253),J253&lt;TODAY()-30),""Проверить: публикации старше 30 дней"",TRUE,""Готово""))"),"Готово")</f>
        <v>Готово</v>
      </c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 spans="1:25" ht="25.5" customHeight="1">
      <c r="A254" s="61" t="s">
        <v>530</v>
      </c>
      <c r="B254" s="62">
        <v>46267</v>
      </c>
      <c r="C254" s="63" t="s">
        <v>6</v>
      </c>
      <c r="D254" s="64" t="s">
        <v>106</v>
      </c>
      <c r="E254" s="63" t="s">
        <v>75</v>
      </c>
      <c r="F254" s="63" t="s">
        <v>34</v>
      </c>
      <c r="G254" s="64" t="s">
        <v>106</v>
      </c>
      <c r="H254" s="67" t="s">
        <v>616</v>
      </c>
      <c r="I254" s="64" t="s">
        <v>100</v>
      </c>
      <c r="J254" s="62" t="s">
        <v>100</v>
      </c>
      <c r="K254" s="63" t="s">
        <v>18</v>
      </c>
      <c r="L254" s="64" t="s">
        <v>535</v>
      </c>
      <c r="M254" s="66" t="str">
        <f ca="1">IFERROR(__xludf.DUMMYFUNCTION("IF(COUNTA(A254:L254)=0,"""",IFS(AND(H254&lt;&gt;"""",COUNTIF($H$6:$H$504,H254)&gt;1),""Ошибка: повтор URL"",OR(A254="""",B254="""",C254="""",D254="""",E254="""",F254="""",G254="""",H254="""",K254=""""),""Ошибка: обязательные поля"",NOT(REGEXMATCH(H254,""^https?://"&amp;"[^ /]+"")),""Ошибка: некорректная ссылка"",COUNTIF('Справочники'!$A$4:$A$24,C254)=0,""Ошибка: территория вне справочника"",K254=""Недоступен"",""Ошибка: ссылка недоступна"",E254=""Неофициальный источник"",IF(K254=""Активен"",""Готово"",""Проверить: активн"&amp;"ость""),I254&lt;&gt;""Подтверждено"",""Проверить: официальность / комментарий"",K254&lt;&gt;""Активен"",""Проверить: активность"",AND(ISNUMBER(J254),J254&lt;TODAY()-30),""Проверить: публикации старше 30 дней"",TRUE,""Готово""))"),"Готово")</f>
        <v>Готово</v>
      </c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 spans="1:25" ht="25.5" customHeight="1">
      <c r="A255" s="61" t="s">
        <v>530</v>
      </c>
      <c r="B255" s="62">
        <v>46267</v>
      </c>
      <c r="C255" s="63" t="s">
        <v>6</v>
      </c>
      <c r="D255" s="64" t="s">
        <v>109</v>
      </c>
      <c r="E255" s="63" t="s">
        <v>69</v>
      </c>
      <c r="F255" s="63" t="s">
        <v>34</v>
      </c>
      <c r="G255" s="64" t="s">
        <v>109</v>
      </c>
      <c r="H255" s="67" t="s">
        <v>617</v>
      </c>
      <c r="I255" s="64" t="s">
        <v>17</v>
      </c>
      <c r="J255" s="62"/>
      <c r="K255" s="63" t="s">
        <v>18</v>
      </c>
      <c r="L255" s="64" t="s">
        <v>103</v>
      </c>
      <c r="M255" s="66" t="str">
        <f ca="1">IFERROR(__xludf.DUMMYFUNCTION("IF(COUNTA(A255:L255)=0,"""",IFS(AND(H255&lt;&gt;"""",COUNTIF($H$6:$H$504,H255)&gt;1),""Ошибка: повтор URL"",OR(A255="""",B255="""",C255="""",D255="""",E255="""",F255="""",G255="""",H255="""",K255=""""),""Ошибка: обязательные поля"",NOT(REGEXMATCH(H255,""^https?://"&amp;"[^ /]+"")),""Ошибка: некорректная ссылка"",COUNTIF('Справочники'!$A$4:$A$24,C255)=0,""Ошибка: территория вне справочника"",K255=""Недоступен"",""Ошибка: ссылка недоступна"",E255=""Неофициальный источник"",IF(K255=""Активен"",""Готово"",""Проверить: активн"&amp;"ость""),I255&lt;&gt;""Подтверждено"",""Проверить: официальность / комментарий"",K255&lt;&gt;""Активен"",""Проверить: активность"",AND(ISNUMBER(J255),J255&lt;TODAY()-30),""Проверить: публикации старше 30 дней"",TRUE,""Готово""))"),"Готово")</f>
        <v>Готово</v>
      </c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 spans="1:25" ht="25.5" customHeight="1">
      <c r="A256" s="52" t="s">
        <v>530</v>
      </c>
      <c r="B256" s="53">
        <v>46267</v>
      </c>
      <c r="C256" s="54" t="s">
        <v>98</v>
      </c>
      <c r="D256" s="55" t="s">
        <v>206</v>
      </c>
      <c r="E256" s="54" t="s">
        <v>75</v>
      </c>
      <c r="F256" s="54" t="s">
        <v>34</v>
      </c>
      <c r="G256" s="55" t="s">
        <v>206</v>
      </c>
      <c r="H256" s="56" t="s">
        <v>618</v>
      </c>
      <c r="I256" s="55" t="s">
        <v>100</v>
      </c>
      <c r="J256" s="57" t="s">
        <v>100</v>
      </c>
      <c r="K256" s="54" t="s">
        <v>18</v>
      </c>
      <c r="L256" s="58" t="s">
        <v>535</v>
      </c>
      <c r="M256" s="59" t="str">
        <f ca="1">IFERROR(__xludf.DUMMYFUNCTION("IF(COUNTA(A256:L256)=0,"""",IFS(AND(H256&lt;&gt;"""",COUNTIF($H$6:$H$504,H256)&gt;1),""Ошибка: повтор URL"",OR(A256="""",B256="""",C256="""",D256="""",E256="""",F256="""",G256="""",H256="""",K256=""""),""Ошибка: обязательные поля"",NOT(REGEXMATCH(H256,""^https?://"&amp;"[^ /]+"")),""Ошибка: некорректная ссылка"",COUNTIF('Справочники'!$A$4:$A$24,C256)=0,""Ошибка: территория вне справочника"",K256=""Недоступен"",""Ошибка: ссылка недоступна"",E256=""Неофициальный источник"",IF(K256=""Активен"",""Готово"",""Проверить: активн"&amp;"ость""),I256&lt;&gt;""Подтверждено"",""Проверить: официальность / комментарий"",K256&lt;&gt;""Активен"",""Проверить: активность"",AND(ISNUMBER(J256),J256&lt;TODAY()-30),""Проверить: публикации старше 30 дней"",TRUE,""Готово""))"),"Готово")</f>
        <v>Готово</v>
      </c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 spans="1:25" ht="25.5" customHeight="1">
      <c r="A257" s="52" t="s">
        <v>530</v>
      </c>
      <c r="B257" s="53">
        <v>46267</v>
      </c>
      <c r="C257" s="54" t="s">
        <v>98</v>
      </c>
      <c r="D257" s="55" t="s">
        <v>206</v>
      </c>
      <c r="E257" s="54" t="s">
        <v>75</v>
      </c>
      <c r="F257" s="54" t="s">
        <v>34</v>
      </c>
      <c r="G257" s="55" t="s">
        <v>206</v>
      </c>
      <c r="H257" s="56" t="s">
        <v>619</v>
      </c>
      <c r="I257" s="55" t="s">
        <v>100</v>
      </c>
      <c r="J257" s="57" t="s">
        <v>100</v>
      </c>
      <c r="K257" s="54" t="s">
        <v>18</v>
      </c>
      <c r="L257" s="58" t="s">
        <v>535</v>
      </c>
      <c r="M257" s="59" t="str">
        <f ca="1">IFERROR(__xludf.DUMMYFUNCTION("IF(COUNTA(A257:L257)=0,"""",IFS(AND(H257&lt;&gt;"""",COUNTIF($H$6:$H$504,H257)&gt;1),""Ошибка: повтор URL"",OR(A257="""",B257="""",C257="""",D257="""",E257="""",F257="""",G257="""",H257="""",K257=""""),""Ошибка: обязательные поля"",NOT(REGEXMATCH(H257,""^https?://"&amp;"[^ /]+"")),""Ошибка: некорректная ссылка"",COUNTIF('Справочники'!$A$4:$A$24,C257)=0,""Ошибка: территория вне справочника"",K257=""Недоступен"",""Ошибка: ссылка недоступна"",E257=""Неофициальный источник"",IF(K257=""Активен"",""Готово"",""Проверить: активн"&amp;"ость""),I257&lt;&gt;""Подтверждено"",""Проверить: официальность / комментарий"",K257&lt;&gt;""Активен"",""Проверить: активность"",AND(ISNUMBER(J257),J257&lt;TODAY()-30),""Проверить: публикации старше 30 дней"",TRUE,""Готово""))"),"Готово")</f>
        <v>Готово</v>
      </c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 spans="1:25" ht="25.5" customHeight="1">
      <c r="A258" s="52" t="s">
        <v>530</v>
      </c>
      <c r="B258" s="53">
        <v>46267</v>
      </c>
      <c r="C258" s="54" t="s">
        <v>98</v>
      </c>
      <c r="D258" s="55" t="s">
        <v>210</v>
      </c>
      <c r="E258" s="54" t="s">
        <v>75</v>
      </c>
      <c r="F258" s="54" t="s">
        <v>34</v>
      </c>
      <c r="G258" s="55" t="s">
        <v>210</v>
      </c>
      <c r="H258" s="56" t="s">
        <v>620</v>
      </c>
      <c r="I258" s="55" t="s">
        <v>100</v>
      </c>
      <c r="J258" s="57" t="s">
        <v>100</v>
      </c>
      <c r="K258" s="54" t="s">
        <v>18</v>
      </c>
      <c r="L258" s="58" t="s">
        <v>535</v>
      </c>
      <c r="M258" s="59" t="str">
        <f ca="1">IFERROR(__xludf.DUMMYFUNCTION("IF(COUNTA(A258:L258)=0,"""",IFS(AND(H258&lt;&gt;"""",COUNTIF($H$6:$H$504,H258)&gt;1),""Ошибка: повтор URL"",OR(A258="""",B258="""",C258="""",D258="""",E258="""",F258="""",G258="""",H258="""",K258=""""),""Ошибка: обязательные поля"",NOT(REGEXMATCH(H258,""^https?://"&amp;"[^ /]+"")),""Ошибка: некорректная ссылка"",COUNTIF('Справочники'!$A$4:$A$24,C258)=0,""Ошибка: территория вне справочника"",K258=""Недоступен"",""Ошибка: ссылка недоступна"",E258=""Неофициальный источник"",IF(K258=""Активен"",""Готово"",""Проверить: активн"&amp;"ость""),I258&lt;&gt;""Подтверждено"",""Проверить: официальность / комментарий"",K258&lt;&gt;""Активен"",""Проверить: активность"",AND(ISNUMBER(J258),J258&lt;TODAY()-30),""Проверить: публикации старше 30 дней"",TRUE,""Готово""))"),"Готово")</f>
        <v>Готово</v>
      </c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 spans="1:25" ht="25.5" customHeight="1">
      <c r="A259" s="52" t="s">
        <v>530</v>
      </c>
      <c r="B259" s="53">
        <v>46267</v>
      </c>
      <c r="C259" s="54" t="s">
        <v>98</v>
      </c>
      <c r="D259" s="55" t="s">
        <v>210</v>
      </c>
      <c r="E259" s="54" t="s">
        <v>75</v>
      </c>
      <c r="F259" s="54" t="s">
        <v>34</v>
      </c>
      <c r="G259" s="55" t="s">
        <v>210</v>
      </c>
      <c r="H259" s="56" t="s">
        <v>621</v>
      </c>
      <c r="I259" s="55" t="s">
        <v>100</v>
      </c>
      <c r="J259" s="57" t="s">
        <v>100</v>
      </c>
      <c r="K259" s="54" t="s">
        <v>18</v>
      </c>
      <c r="L259" s="58" t="s">
        <v>535</v>
      </c>
      <c r="M259" s="59" t="str">
        <f ca="1">IFERROR(__xludf.DUMMYFUNCTION("IF(COUNTA(A259:L259)=0,"""",IFS(AND(H259&lt;&gt;"""",COUNTIF($H$6:$H$504,H259)&gt;1),""Ошибка: повтор URL"",OR(A259="""",B259="""",C259="""",D259="""",E259="""",F259="""",G259="""",H259="""",K259=""""),""Ошибка: обязательные поля"",NOT(REGEXMATCH(H259,""^https?://"&amp;"[^ /]+"")),""Ошибка: некорректная ссылка"",COUNTIF('Справочники'!$A$4:$A$24,C259)=0,""Ошибка: территория вне справочника"",K259=""Недоступен"",""Ошибка: ссылка недоступна"",E259=""Неофициальный источник"",IF(K259=""Активен"",""Готово"",""Проверить: активн"&amp;"ость""),I259&lt;&gt;""Подтверждено"",""Проверить: официальность / комментарий"",K259&lt;&gt;""Активен"",""Проверить: активность"",AND(ISNUMBER(J259),J259&lt;TODAY()-30),""Проверить: публикации старше 30 дней"",TRUE,""Готово""))"),"Готово")</f>
        <v>Готово</v>
      </c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 spans="1:25" ht="25.5" customHeight="1">
      <c r="A260" s="61" t="s">
        <v>622</v>
      </c>
      <c r="B260" s="62">
        <v>46267</v>
      </c>
      <c r="C260" s="63" t="s">
        <v>47</v>
      </c>
      <c r="D260" s="64" t="s">
        <v>623</v>
      </c>
      <c r="E260" s="63" t="s">
        <v>16</v>
      </c>
      <c r="F260" s="63" t="s">
        <v>14</v>
      </c>
      <c r="G260" s="64" t="s">
        <v>623</v>
      </c>
      <c r="H260" s="68" t="s">
        <v>624</v>
      </c>
      <c r="I260" s="64" t="s">
        <v>17</v>
      </c>
      <c r="J260" s="62">
        <v>46271</v>
      </c>
      <c r="K260" s="63" t="s">
        <v>18</v>
      </c>
      <c r="L260" s="64" t="s">
        <v>625</v>
      </c>
      <c r="M260" s="66" t="str">
        <f ca="1">IFERROR(__xludf.DUMMYFUNCTION("IF(COUNTA(A260:L260)=0,"""",IFS(AND(H260&lt;&gt;"""",COUNTIF($H$6:$H$504,H260)&gt;1),""Ошибка: повтор URL"",OR(A260="""",B260="""",C260="""",D260="""",E260="""",F260="""",G260="""",H260="""",K260=""""),""Ошибка: обязательные поля"",NOT(REGEXMATCH(H260,""^https?://"&amp;"[^ /]+"")),""Ошибка: некорректная ссылка"",COUNTIF('Справочники'!$A$4:$A$24,C260)=0,""Ошибка: территория вне справочника"",K260=""Недоступен"",""Ошибка: ссылка недоступна"",E260=""Неофициальный источник"",IF(K260=""Активен"",""Готово"",""Проверить: активн"&amp;"ость""),I260&lt;&gt;""Подтверждено"",""Проверить: официальность / комментарий"",K260&lt;&gt;""Активен"",""Проверить: активность"",AND(ISNUMBER(J260),J260&lt;TODAY()-30),""Проверить: публикации старше 30 дней"",TRUE,""Готово""))"),"Готово")</f>
        <v>Готово</v>
      </c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 spans="1:25" ht="25.5" customHeight="1">
      <c r="A261" s="52" t="s">
        <v>622</v>
      </c>
      <c r="B261" s="53">
        <v>46267</v>
      </c>
      <c r="C261" s="54" t="s">
        <v>31</v>
      </c>
      <c r="D261" s="54" t="s">
        <v>626</v>
      </c>
      <c r="E261" s="54" t="s">
        <v>16</v>
      </c>
      <c r="F261" s="54" t="s">
        <v>14</v>
      </c>
      <c r="G261" s="54" t="s">
        <v>626</v>
      </c>
      <c r="H261" s="69" t="s">
        <v>627</v>
      </c>
      <c r="I261" s="54" t="s">
        <v>17</v>
      </c>
      <c r="J261" s="70">
        <v>46267</v>
      </c>
      <c r="K261" s="54" t="s">
        <v>18</v>
      </c>
      <c r="L261" s="64" t="s">
        <v>549</v>
      </c>
      <c r="M261" s="66" t="str">
        <f ca="1">IFERROR(__xludf.DUMMYFUNCTION("IF(COUNTA(A261:L261)=0,"""",IFS(AND(H261&lt;&gt;"""",COUNTIF($H$6:$H$504,H261)&gt;1),""Ошибка: повтор URL"",OR(A261="""",B261="""",C261="""",D261="""",E261="""",F261="""",G261="""",H261="""",K261=""""),""Ошибка: обязательные поля"",NOT(REGEXMATCH(H261,""^https?://"&amp;"[^ /]+"")),""Ошибка: некорректная ссылка"",COUNTIF('Справочники'!$A$4:$A$24,C261)=0,""Ошибка: территория вне справочника"",K261=""Недоступен"",""Ошибка: ссылка недоступна"",E261=""Неофициальный источник"",IF(K261=""Активен"",""Готово"",""Проверить: активн"&amp;"ость""),I261&lt;&gt;""Подтверждено"",""Проверить: официальность / комментарий"",K261&lt;&gt;""Активен"",""Проверить: активность"",AND(ISNUMBER(J261),J261&lt;TODAY()-30),""Проверить: публикации старше 30 дней"",TRUE,""Готово""))"),"Готово")</f>
        <v>Готово</v>
      </c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 spans="1:25" ht="25.5" customHeight="1">
      <c r="A262" s="61" t="s">
        <v>622</v>
      </c>
      <c r="B262" s="62">
        <v>46267</v>
      </c>
      <c r="C262" s="63" t="s">
        <v>76</v>
      </c>
      <c r="D262" s="64" t="s">
        <v>628</v>
      </c>
      <c r="E262" s="63" t="s">
        <v>16</v>
      </c>
      <c r="F262" s="63" t="s">
        <v>14</v>
      </c>
      <c r="G262" s="64" t="s">
        <v>628</v>
      </c>
      <c r="H262" s="67" t="s">
        <v>629</v>
      </c>
      <c r="I262" s="64" t="s">
        <v>17</v>
      </c>
      <c r="J262" s="62"/>
      <c r="K262" s="63" t="s">
        <v>18</v>
      </c>
      <c r="L262" s="64" t="s">
        <v>103</v>
      </c>
      <c r="M262" s="66" t="str">
        <f ca="1">IFERROR(__xludf.DUMMYFUNCTION("IF(COUNTA(A262:L262)=0,"""",IFS(AND(H262&lt;&gt;"""",COUNTIF($H$6:$H$504,H262)&gt;1),""Ошибка: повтор URL"",OR(A262="""",B262="""",C262="""",D262="""",E262="""",F262="""",G262="""",H262="""",K262=""""),""Ошибка: обязательные поля"",NOT(REGEXMATCH(H262,""^https?://"&amp;"[^ /]+"")),""Ошибка: некорректная ссылка"",COUNTIF('Справочники'!$A$4:$A$24,C262)=0,""Ошибка: территория вне справочника"",K262=""Недоступен"",""Ошибка: ссылка недоступна"",E262=""Неофициальный источник"",IF(K262=""Активен"",""Готово"",""Проверить: активн"&amp;"ость""),I262&lt;&gt;""Подтверждено"",""Проверить: официальность / комментарий"",K262&lt;&gt;""Активен"",""Проверить: активность"",AND(ISNUMBER(J262),J262&lt;TODAY()-30),""Проверить: публикации старше 30 дней"",TRUE,""Готово""))"),"Готово")</f>
        <v>Готово</v>
      </c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 spans="1:25" ht="25.5" customHeight="1">
      <c r="A263" s="61" t="s">
        <v>622</v>
      </c>
      <c r="B263" s="62">
        <v>46267</v>
      </c>
      <c r="C263" s="63" t="s">
        <v>91</v>
      </c>
      <c r="D263" s="64" t="s">
        <v>630</v>
      </c>
      <c r="E263" s="63" t="s">
        <v>16</v>
      </c>
      <c r="F263" s="63" t="s">
        <v>14</v>
      </c>
      <c r="G263" s="64" t="s">
        <v>630</v>
      </c>
      <c r="H263" s="67" t="s">
        <v>631</v>
      </c>
      <c r="I263" s="64" t="s">
        <v>17</v>
      </c>
      <c r="J263" s="62">
        <v>46265</v>
      </c>
      <c r="K263" s="63" t="s">
        <v>18</v>
      </c>
      <c r="L263" s="64" t="s">
        <v>632</v>
      </c>
      <c r="M263" s="66" t="str">
        <f ca="1">IFERROR(__xludf.DUMMYFUNCTION("IF(COUNTA(A263:L263)=0,"""",IFS(AND(H263&lt;&gt;"""",COUNTIF($H$6:$H$504,H263)&gt;1),""Ошибка: повтор URL"",OR(A263="""",B263="""",C263="""",D263="""",E263="""",F263="""",G263="""",H263="""",K263=""""),""Ошибка: обязательные поля"",NOT(REGEXMATCH(H263,""^https?://"&amp;"[^ /]+"")),""Ошибка: некорректная ссылка"",COUNTIF('Справочники'!$A$4:$A$24,C263)=0,""Ошибка: территория вне справочника"",K263=""Недоступен"",""Ошибка: ссылка недоступна"",E263=""Неофициальный источник"",IF(K263=""Активен"",""Готово"",""Проверить: активн"&amp;"ость""),I263&lt;&gt;""Подтверждено"",""Проверить: официальность / комментарий"",K263&lt;&gt;""Активен"",""Проверить: активность"",AND(ISNUMBER(J263),J263&lt;TODAY()-30),""Проверить: публикации старше 30 дней"",TRUE,""Готово""))"),"Готово")</f>
        <v>Готово</v>
      </c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 spans="1:25" ht="25.5" customHeight="1">
      <c r="A264" s="61" t="s">
        <v>622</v>
      </c>
      <c r="B264" s="62">
        <v>46267</v>
      </c>
      <c r="C264" s="63" t="s">
        <v>96</v>
      </c>
      <c r="D264" s="64" t="s">
        <v>633</v>
      </c>
      <c r="E264" s="63" t="s">
        <v>16</v>
      </c>
      <c r="F264" s="63" t="s">
        <v>14</v>
      </c>
      <c r="G264" s="64" t="s">
        <v>633</v>
      </c>
      <c r="H264" s="67" t="s">
        <v>634</v>
      </c>
      <c r="I264" s="64" t="s">
        <v>17</v>
      </c>
      <c r="J264" s="62">
        <v>46266</v>
      </c>
      <c r="K264" s="63" t="s">
        <v>18</v>
      </c>
      <c r="L264" s="64" t="s">
        <v>330</v>
      </c>
      <c r="M264" s="66" t="str">
        <f ca="1">IFERROR(__xludf.DUMMYFUNCTION("IF(COUNTA(A264:L264)=0,"""",IFS(AND(H264&lt;&gt;"""",COUNTIF($H$6:$H$504,H264)&gt;1),""Ошибка: повтор URL"",OR(A264="""",B264="""",C264="""",D264="""",E264="""",F264="""",G264="""",H264="""",K264=""""),""Ошибка: обязательные поля"",NOT(REGEXMATCH(H264,""^https?://"&amp;"[^ /]+"")),""Ошибка: некорректная ссылка"",COUNTIF('Справочники'!$A$4:$A$24,C264)=0,""Ошибка: территория вне справочника"",K264=""Недоступен"",""Ошибка: ссылка недоступна"",E264=""Неофициальный источник"",IF(K264=""Активен"",""Готово"",""Проверить: активн"&amp;"ость""),I264&lt;&gt;""Подтверждено"",""Проверить: официальность / комментарий"",K264&lt;&gt;""Активен"",""Проверить: активность"",AND(ISNUMBER(J264),J264&lt;TODAY()-30),""Проверить: публикации старше 30 дней"",TRUE,""Готово""))"),"Готово")</f>
        <v>Готово</v>
      </c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 spans="1:25" ht="25.5" customHeight="1">
      <c r="A265" s="61" t="s">
        <v>622</v>
      </c>
      <c r="B265" s="62">
        <v>46267</v>
      </c>
      <c r="C265" s="63" t="s">
        <v>96</v>
      </c>
      <c r="D265" s="64" t="s">
        <v>633</v>
      </c>
      <c r="E265" s="63" t="s">
        <v>16</v>
      </c>
      <c r="F265" s="63" t="s">
        <v>14</v>
      </c>
      <c r="G265" s="64" t="s">
        <v>635</v>
      </c>
      <c r="H265" s="67" t="s">
        <v>636</v>
      </c>
      <c r="I265" s="64" t="s">
        <v>17</v>
      </c>
      <c r="J265" s="62">
        <v>46266</v>
      </c>
      <c r="K265" s="63" t="s">
        <v>18</v>
      </c>
      <c r="L265" s="64" t="s">
        <v>330</v>
      </c>
      <c r="M265" s="66" t="str">
        <f ca="1">IFERROR(__xludf.DUMMYFUNCTION("IF(COUNTA(A265:L265)=0,"""",IFS(AND(H265&lt;&gt;"""",COUNTIF($H$6:$H$504,H265)&gt;1),""Ошибка: повтор URL"",OR(A265="""",B265="""",C265="""",D265="""",E265="""",F265="""",G265="""",H265="""",K265=""""),""Ошибка: обязательные поля"",NOT(REGEXMATCH(H265,""^https?://"&amp;"[^ /]+"")),""Ошибка: некорректная ссылка"",COUNTIF('Справочники'!$A$4:$A$24,C265)=0,""Ошибка: территория вне справочника"",K265=""Недоступен"",""Ошибка: ссылка недоступна"",E265=""Неофициальный источник"",IF(K265=""Активен"",""Готово"",""Проверить: активн"&amp;"ость""),I265&lt;&gt;""Подтверждено"",""Проверить: официальность / комментарий"",K265&lt;&gt;""Активен"",""Проверить: активность"",AND(ISNUMBER(J265),J265&lt;TODAY()-30),""Проверить: публикации старше 30 дней"",TRUE,""Готово""))"),"Готово")</f>
        <v>Готово</v>
      </c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 spans="1:25" ht="25.5" customHeight="1">
      <c r="A266" s="61" t="s">
        <v>622</v>
      </c>
      <c r="B266" s="62">
        <v>46267</v>
      </c>
      <c r="C266" s="63" t="s">
        <v>104</v>
      </c>
      <c r="D266" s="64" t="s">
        <v>637</v>
      </c>
      <c r="E266" s="63" t="s">
        <v>16</v>
      </c>
      <c r="F266" s="63" t="s">
        <v>14</v>
      </c>
      <c r="G266" s="64" t="s">
        <v>637</v>
      </c>
      <c r="H266" s="67" t="s">
        <v>638</v>
      </c>
      <c r="I266" s="64" t="s">
        <v>17</v>
      </c>
      <c r="J266" s="62">
        <v>46271</v>
      </c>
      <c r="K266" s="63" t="s">
        <v>18</v>
      </c>
      <c r="L266" s="64" t="s">
        <v>625</v>
      </c>
      <c r="M266" s="66" t="str">
        <f ca="1">IFERROR(__xludf.DUMMYFUNCTION("IF(COUNTA(A266:L266)=0,"""",IFS(AND(H266&lt;&gt;"""",COUNTIF($H$6:$H$504,H266)&gt;1),""Ошибка: повтор URL"",OR(A266="""",B266="""",C266="""",D266="""",E266="""",F266="""",G266="""",H266="""",K266=""""),""Ошибка: обязательные поля"",NOT(REGEXMATCH(H266,""^https?://"&amp;"[^ /]+"")),""Ошибка: некорректная ссылка"",COUNTIF('Справочники'!$A$4:$A$24,C266)=0,""Ошибка: территория вне справочника"",K266=""Недоступен"",""Ошибка: ссылка недоступна"",E266=""Неофициальный источник"",IF(K266=""Активен"",""Готово"",""Проверить: активн"&amp;"ость""),I266&lt;&gt;""Подтверждено"",""Проверить: официальность / комментарий"",K266&lt;&gt;""Активен"",""Проверить: активность"",AND(ISNUMBER(J266),J266&lt;TODAY()-30),""Проверить: публикации старше 30 дней"",TRUE,""Готово""))"),"Готово")</f>
        <v>Готово</v>
      </c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 spans="1:25" ht="25.5" customHeight="1">
      <c r="A267" s="52" t="s">
        <v>622</v>
      </c>
      <c r="B267" s="53">
        <v>46267</v>
      </c>
      <c r="C267" s="54" t="s">
        <v>93</v>
      </c>
      <c r="D267" s="54" t="s">
        <v>639</v>
      </c>
      <c r="E267" s="54" t="s">
        <v>16</v>
      </c>
      <c r="F267" s="54" t="s">
        <v>14</v>
      </c>
      <c r="G267" s="54" t="s">
        <v>640</v>
      </c>
      <c r="H267" s="69" t="s">
        <v>641</v>
      </c>
      <c r="I267" s="54" t="s">
        <v>17</v>
      </c>
      <c r="J267" s="70">
        <v>46267</v>
      </c>
      <c r="K267" s="54" t="s">
        <v>18</v>
      </c>
      <c r="L267" s="64" t="s">
        <v>549</v>
      </c>
      <c r="M267" s="66" t="str">
        <f ca="1">IFERROR(__xludf.DUMMYFUNCTION("IF(COUNTA(A267:L267)=0,"""",IFS(AND(H267&lt;&gt;"""",COUNTIF($H$6:$H$504,H267)&gt;1),""Ошибка: повтор URL"",OR(A267="""",B267="""",C267="""",D267="""",E267="""",F267="""",G267="""",H267="""",K267=""""),""Ошибка: обязательные поля"",NOT(REGEXMATCH(H267,""^https?://"&amp;"[^ /]+"")),""Ошибка: некорректная ссылка"",COUNTIF('Справочники'!$A$4:$A$24,C267)=0,""Ошибка: территория вне справочника"",K267=""Недоступен"",""Ошибка: ссылка недоступна"",E267=""Неофициальный источник"",IF(K267=""Активен"",""Готово"",""Проверить: активн"&amp;"ость""),I267&lt;&gt;""Подтверждено"",""Проверить: официальность / комментарий"",K267&lt;&gt;""Активен"",""Проверить: активность"",AND(ISNUMBER(J267),J267&lt;TODAY()-30),""Проверить: публикации старше 30 дней"",TRUE,""Готово""))"),"Готово")</f>
        <v>Готово</v>
      </c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 spans="1:25" ht="25.5" customHeight="1">
      <c r="A268" s="61" t="s">
        <v>622</v>
      </c>
      <c r="B268" s="62">
        <v>46267</v>
      </c>
      <c r="C268" s="63" t="s">
        <v>99</v>
      </c>
      <c r="D268" s="64" t="s">
        <v>642</v>
      </c>
      <c r="E268" s="63" t="s">
        <v>16</v>
      </c>
      <c r="F268" s="63" t="s">
        <v>14</v>
      </c>
      <c r="G268" s="64" t="s">
        <v>643</v>
      </c>
      <c r="H268" s="67" t="s">
        <v>644</v>
      </c>
      <c r="I268" s="64" t="s">
        <v>17</v>
      </c>
      <c r="J268" s="62">
        <v>46267</v>
      </c>
      <c r="K268" s="63" t="s">
        <v>18</v>
      </c>
      <c r="L268" s="64" t="s">
        <v>549</v>
      </c>
      <c r="M268" s="66" t="str">
        <f ca="1">IFERROR(__xludf.DUMMYFUNCTION("IF(COUNTA(A268:L268)=0,"""",IFS(AND(H268&lt;&gt;"""",COUNTIF($H$6:$H$504,H268)&gt;1),""Ошибка: повтор URL"",OR(A268="""",B268="""",C268="""",D268="""",E268="""",F268="""",G268="""",H268="""",K268=""""),""Ошибка: обязательные поля"",NOT(REGEXMATCH(H268,""^https?://"&amp;"[^ /]+"")),""Ошибка: некорректная ссылка"",COUNTIF('Справочники'!$A$4:$A$24,C268)=0,""Ошибка: территория вне справочника"",K268=""Недоступен"",""Ошибка: ссылка недоступна"",E268=""Неофициальный источник"",IF(K268=""Активен"",""Готово"",""Проверить: активн"&amp;"ость""),I268&lt;&gt;""Подтверждено"",""Проверить: официальность / комментарий"",K268&lt;&gt;""Активен"",""Проверить: активность"",AND(ISNUMBER(J268),J268&lt;TODAY()-30),""Проверить: публикации старше 30 дней"",TRUE,""Готово""))"),"Готово")</f>
        <v>Готово</v>
      </c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 spans="1:25" ht="25.5" customHeight="1">
      <c r="A269" s="52" t="s">
        <v>622</v>
      </c>
      <c r="B269" s="53">
        <v>46267</v>
      </c>
      <c r="C269" s="54" t="s">
        <v>93</v>
      </c>
      <c r="D269" s="54" t="s">
        <v>645</v>
      </c>
      <c r="E269" s="54" t="s">
        <v>60</v>
      </c>
      <c r="F269" s="54" t="s">
        <v>14</v>
      </c>
      <c r="G269" s="54" t="s">
        <v>646</v>
      </c>
      <c r="H269" s="69" t="s">
        <v>647</v>
      </c>
      <c r="I269" s="54" t="s">
        <v>17</v>
      </c>
      <c r="J269" s="70"/>
      <c r="K269" s="54" t="s">
        <v>18</v>
      </c>
      <c r="L269" s="64" t="s">
        <v>103</v>
      </c>
      <c r="M269" s="66" t="str">
        <f ca="1">IFERROR(__xludf.DUMMYFUNCTION("IF(COUNTA(A269:L269)=0,"""",IFS(AND(H269&lt;&gt;"""",COUNTIF($H$6:$H$504,H269)&gt;1),""Ошибка: повтор URL"",OR(A269="""",B269="""",C269="""",D269="""",E269="""",F269="""",G269="""",H269="""",K269=""""),""Ошибка: обязательные поля"",NOT(REGEXMATCH(H269,""^https?://"&amp;"[^ /]+"")),""Ошибка: некорректная ссылка"",COUNTIF('Справочники'!$A$4:$A$24,C269)=0,""Ошибка: территория вне справочника"",K269=""Недоступен"",""Ошибка: ссылка недоступна"",E269=""Неофициальный источник"",IF(K269=""Активен"",""Готово"",""Проверить: активн"&amp;"ость""),I269&lt;&gt;""Подтверждено"",""Проверить: официальность / комментарий"",K269&lt;&gt;""Активен"",""Проверить: активность"",AND(ISNUMBER(J269),J269&lt;TODAY()-30),""Проверить: публикации старше 30 дней"",TRUE,""Готово""))"),"Готово")</f>
        <v>Готово</v>
      </c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 spans="1:25" ht="25.5" customHeight="1">
      <c r="A270" s="52" t="s">
        <v>622</v>
      </c>
      <c r="B270" s="53">
        <v>46267</v>
      </c>
      <c r="C270" s="54" t="s">
        <v>76</v>
      </c>
      <c r="D270" s="54" t="s">
        <v>648</v>
      </c>
      <c r="E270" s="54" t="s">
        <v>60</v>
      </c>
      <c r="F270" s="54" t="s">
        <v>14</v>
      </c>
      <c r="G270" s="54" t="s">
        <v>649</v>
      </c>
      <c r="H270" s="71" t="s">
        <v>650</v>
      </c>
      <c r="I270" s="54" t="s">
        <v>17</v>
      </c>
      <c r="J270" s="70"/>
      <c r="K270" s="54" t="s">
        <v>18</v>
      </c>
      <c r="L270" s="64" t="s">
        <v>103</v>
      </c>
      <c r="M270" s="66" t="str">
        <f ca="1">IFERROR(__xludf.DUMMYFUNCTION("IF(COUNTA(A270:L270)=0,"""",IFS(AND(H270&lt;&gt;"""",COUNTIF($H$6:$H$504,H270)&gt;1),""Ошибка: повтор URL"",OR(A270="""",B270="""",C270="""",D270="""",E270="""",F270="""",G270="""",H270="""",K270=""""),""Ошибка: обязательные поля"",NOT(REGEXMATCH(H270,""^https?://"&amp;"[^ /]+"")),""Ошибка: некорректная ссылка"",COUNTIF('Справочники'!$A$4:$A$24,C270)=0,""Ошибка: территория вне справочника"",K270=""Недоступен"",""Ошибка: ссылка недоступна"",E270=""Неофициальный источник"",IF(K270=""Активен"",""Готово"",""Проверить: активн"&amp;"ость""),I270&lt;&gt;""Подтверждено"",""Проверить: официальность / комментарий"",K270&lt;&gt;""Активен"",""Проверить: активность"",AND(ISNUMBER(J270),J270&lt;TODAY()-30),""Проверить: публикации старше 30 дней"",TRUE,""Готово""))"),"Готово")</f>
        <v>Готово</v>
      </c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 spans="1:25" ht="25.5" customHeight="1">
      <c r="A271" s="52" t="s">
        <v>622</v>
      </c>
      <c r="B271" s="53">
        <v>46267</v>
      </c>
      <c r="C271" s="54" t="s">
        <v>47</v>
      </c>
      <c r="D271" s="54" t="s">
        <v>651</v>
      </c>
      <c r="E271" s="54" t="s">
        <v>60</v>
      </c>
      <c r="F271" s="54" t="s">
        <v>14</v>
      </c>
      <c r="G271" s="54" t="s">
        <v>652</v>
      </c>
      <c r="H271" s="71" t="s">
        <v>653</v>
      </c>
      <c r="I271" s="54" t="s">
        <v>17</v>
      </c>
      <c r="J271" s="70"/>
      <c r="K271" s="54" t="s">
        <v>18</v>
      </c>
      <c r="L271" s="64" t="s">
        <v>103</v>
      </c>
      <c r="M271" s="66" t="str">
        <f ca="1">IFERROR(__xludf.DUMMYFUNCTION("IF(COUNTA(A271:L271)=0,"""",IFS(AND(H271&lt;&gt;"""",COUNTIF($H$6:$H$504,H271)&gt;1),""Ошибка: повтор URL"",OR(A271="""",B271="""",C271="""",D271="""",E271="""",F271="""",G271="""",H271="""",K271=""""),""Ошибка: обязательные поля"",NOT(REGEXMATCH(H271,""^https?://"&amp;"[^ /]+"")),""Ошибка: некорректная ссылка"",COUNTIF('Справочники'!$A$4:$A$24,C271)=0,""Ошибка: территория вне справочника"",K271=""Недоступен"",""Ошибка: ссылка недоступна"",E271=""Неофициальный источник"",IF(K271=""Активен"",""Готово"",""Проверить: активн"&amp;"ость""),I271&lt;&gt;""Подтверждено"",""Проверить: официальность / комментарий"",K271&lt;&gt;""Активен"",""Проверить: активность"",AND(ISNUMBER(J271),J271&lt;TODAY()-30),""Проверить: публикации старше 30 дней"",TRUE,""Готово""))"),"Готово")</f>
        <v>Готово</v>
      </c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 spans="1:25" ht="25.5" customHeight="1">
      <c r="A272" s="52" t="s">
        <v>622</v>
      </c>
      <c r="B272" s="53">
        <v>46267</v>
      </c>
      <c r="C272" s="54" t="s">
        <v>54</v>
      </c>
      <c r="D272" s="54" t="s">
        <v>654</v>
      </c>
      <c r="E272" s="54" t="s">
        <v>60</v>
      </c>
      <c r="F272" s="54" t="s">
        <v>14</v>
      </c>
      <c r="G272" s="54" t="s">
        <v>654</v>
      </c>
      <c r="H272" s="71" t="s">
        <v>655</v>
      </c>
      <c r="I272" s="54" t="s">
        <v>17</v>
      </c>
      <c r="J272" s="70"/>
      <c r="K272" s="54" t="s">
        <v>18</v>
      </c>
      <c r="L272" s="64" t="s">
        <v>103</v>
      </c>
      <c r="M272" s="66" t="str">
        <f ca="1">IFERROR(__xludf.DUMMYFUNCTION("IF(COUNTA(A272:L272)=0,"""",IFS(AND(H272&lt;&gt;"""",COUNTIF($H$6:$H$504,H272)&gt;1),""Ошибка: повтор URL"",OR(A272="""",B272="""",C272="""",D272="""",E272="""",F272="""",G272="""",H272="""",K272=""""),""Ошибка: обязательные поля"",NOT(REGEXMATCH(H272,""^https?://"&amp;"[^ /]+"")),""Ошибка: некорректная ссылка"",COUNTIF('Справочники'!$A$4:$A$24,C272)=0,""Ошибка: территория вне справочника"",K272=""Недоступен"",""Ошибка: ссылка недоступна"",E272=""Неофициальный источник"",IF(K272=""Активен"",""Готово"",""Проверить: активн"&amp;"ость""),I272&lt;&gt;""Подтверждено"",""Проверить: официальность / комментарий"",K272&lt;&gt;""Активен"",""Проверить: активность"",AND(ISNUMBER(J272),J272&lt;TODAY()-30),""Проверить: публикации старше 30 дней"",TRUE,""Готово""))"),"Готово")</f>
        <v>Готово</v>
      </c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 spans="1:25" ht="25.5" customHeight="1">
      <c r="A273" s="52" t="s">
        <v>622</v>
      </c>
      <c r="B273" s="53">
        <v>46267</v>
      </c>
      <c r="C273" s="54" t="s">
        <v>20</v>
      </c>
      <c r="D273" s="54" t="s">
        <v>656</v>
      </c>
      <c r="E273" s="54" t="s">
        <v>60</v>
      </c>
      <c r="F273" s="54" t="s">
        <v>14</v>
      </c>
      <c r="G273" s="54" t="s">
        <v>656</v>
      </c>
      <c r="H273" s="71" t="s">
        <v>657</v>
      </c>
      <c r="I273" s="54" t="s">
        <v>17</v>
      </c>
      <c r="J273" s="70"/>
      <c r="K273" s="54" t="s">
        <v>18</v>
      </c>
      <c r="L273" s="64" t="s">
        <v>103</v>
      </c>
      <c r="M273" s="66" t="str">
        <f ca="1">IFERROR(__xludf.DUMMYFUNCTION("IF(COUNTA(A273:L273)=0,"""",IFS(AND(H273&lt;&gt;"""",COUNTIF($H$6:$H$504,H273)&gt;1),""Ошибка: повтор URL"",OR(A273="""",B273="""",C273="""",D273="""",E273="""",F273="""",G273="""",H273="""",K273=""""),""Ошибка: обязательные поля"",NOT(REGEXMATCH(H273,""^https?://"&amp;"[^ /]+"")),""Ошибка: некорректная ссылка"",COUNTIF('Справочники'!$A$4:$A$24,C273)=0,""Ошибка: территория вне справочника"",K273=""Недоступен"",""Ошибка: ссылка недоступна"",E273=""Неофициальный источник"",IF(K273=""Активен"",""Готово"",""Проверить: активн"&amp;"ость""),I273&lt;&gt;""Подтверждено"",""Проверить: официальность / комментарий"",K273&lt;&gt;""Активен"",""Проверить: активность"",AND(ISNUMBER(J273),J273&lt;TODAY()-30),""Проверить: публикации старше 30 дней"",TRUE,""Готово""))"),"Готово")</f>
        <v>Готово</v>
      </c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 spans="1:25" ht="25.5" customHeight="1">
      <c r="A274" s="61" t="s">
        <v>622</v>
      </c>
      <c r="B274" s="62">
        <v>46267</v>
      </c>
      <c r="C274" s="63" t="s">
        <v>104</v>
      </c>
      <c r="D274" s="64" t="s">
        <v>658</v>
      </c>
      <c r="E274" s="63" t="s">
        <v>45</v>
      </c>
      <c r="F274" s="63" t="s">
        <v>14</v>
      </c>
      <c r="G274" s="64" t="s">
        <v>658</v>
      </c>
      <c r="H274" s="67" t="s">
        <v>659</v>
      </c>
      <c r="I274" s="64" t="s">
        <v>17</v>
      </c>
      <c r="J274" s="62">
        <v>46258</v>
      </c>
      <c r="K274" s="63" t="s">
        <v>18</v>
      </c>
      <c r="L274" s="64" t="s">
        <v>660</v>
      </c>
      <c r="M274" s="66" t="str">
        <f ca="1">IFERROR(__xludf.DUMMYFUNCTION("IF(COUNTA(A274:L274)=0,"""",IFS(AND(H274&lt;&gt;"""",COUNTIF($H$6:$H$504,H274)&gt;1),""Ошибка: повтор URL"",OR(A274="""",B274="""",C274="""",D274="""",E274="""",F274="""",G274="""",H274="""",K274=""""),""Ошибка: обязательные поля"",NOT(REGEXMATCH(H274,""^https?://"&amp;"[^ /]+"")),""Ошибка: некорректная ссылка"",COUNTIF('Справочники'!$A$4:$A$24,C274)=0,""Ошибка: территория вне справочника"",K274=""Недоступен"",""Ошибка: ссылка недоступна"",E274=""Неофициальный источник"",IF(K274=""Активен"",""Готово"",""Проверить: активн"&amp;"ость""),I274&lt;&gt;""Подтверждено"",""Проверить: официальность / комментарий"",K274&lt;&gt;""Активен"",""Проверить: активность"",AND(ISNUMBER(J274),J274&lt;TODAY()-30),""Проверить: публикации старше 30 дней"",TRUE,""Готово""))"),"Готово")</f>
        <v>Готово</v>
      </c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 spans="1:25" ht="25.5" customHeight="1">
      <c r="A275" s="52" t="s">
        <v>622</v>
      </c>
      <c r="B275" s="53">
        <v>46267</v>
      </c>
      <c r="C275" s="54" t="s">
        <v>40</v>
      </c>
      <c r="D275" s="54" t="s">
        <v>661</v>
      </c>
      <c r="E275" s="54" t="s">
        <v>45</v>
      </c>
      <c r="F275" s="54" t="s">
        <v>14</v>
      </c>
      <c r="G275" s="54" t="s">
        <v>661</v>
      </c>
      <c r="H275" s="71" t="s">
        <v>662</v>
      </c>
      <c r="I275" s="54" t="s">
        <v>17</v>
      </c>
      <c r="J275" s="70"/>
      <c r="K275" s="54" t="s">
        <v>18</v>
      </c>
      <c r="L275" s="64" t="s">
        <v>103</v>
      </c>
      <c r="M275" s="66" t="str">
        <f ca="1">IFERROR(__xludf.DUMMYFUNCTION("IF(COUNTA(A275:L275)=0,"""",IFS(AND(H275&lt;&gt;"""",COUNTIF($H$6:$H$504,H275)&gt;1),""Ошибка: повтор URL"",OR(A275="""",B275="""",C275="""",D275="""",E275="""",F275="""",G275="""",H275="""",K275=""""),""Ошибка: обязательные поля"",NOT(REGEXMATCH(H275,""^https?://"&amp;"[^ /]+"")),""Ошибка: некорректная ссылка"",COUNTIF('Справочники'!$A$4:$A$24,C275)=0,""Ошибка: территория вне справочника"",K275=""Недоступен"",""Ошибка: ссылка недоступна"",E275=""Неофициальный источник"",IF(K275=""Активен"",""Готово"",""Проверить: активн"&amp;"ость""),I275&lt;&gt;""Подтверждено"",""Проверить: официальность / комментарий"",K275&lt;&gt;""Активен"",""Проверить: активность"",AND(ISNUMBER(J275),J275&lt;TODAY()-30),""Проверить: публикации старше 30 дней"",TRUE,""Готово""))"),"Готово")</f>
        <v>Готово</v>
      </c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 spans="1:25" ht="25.5" customHeight="1">
      <c r="A276" s="52" t="s">
        <v>622</v>
      </c>
      <c r="B276" s="53">
        <v>46267</v>
      </c>
      <c r="C276" s="54" t="s">
        <v>84</v>
      </c>
      <c r="D276" s="54" t="s">
        <v>141</v>
      </c>
      <c r="E276" s="54" t="s">
        <v>51</v>
      </c>
      <c r="F276" s="54" t="s">
        <v>14</v>
      </c>
      <c r="G276" s="54" t="s">
        <v>141</v>
      </c>
      <c r="H276" s="71" t="s">
        <v>663</v>
      </c>
      <c r="I276" s="54" t="s">
        <v>17</v>
      </c>
      <c r="J276" s="70"/>
      <c r="K276" s="54" t="s">
        <v>18</v>
      </c>
      <c r="L276" s="64" t="s">
        <v>103</v>
      </c>
      <c r="M276" s="66" t="str">
        <f ca="1">IFERROR(__xludf.DUMMYFUNCTION("IF(COUNTA(A276:L276)=0,"""",IFS(AND(H276&lt;&gt;"""",COUNTIF($H$6:$H$504,H276)&gt;1),""Ошибка: повтор URL"",OR(A276="""",B276="""",C276="""",D276="""",E276="""",F276="""",G276="""",H276="""",K276=""""),""Ошибка: обязательные поля"",NOT(REGEXMATCH(H276,""^https?://"&amp;"[^ /]+"")),""Ошибка: некорректная ссылка"",COUNTIF('Справочники'!$A$4:$A$24,C276)=0,""Ошибка: территория вне справочника"",K276=""Недоступен"",""Ошибка: ссылка недоступна"",E276=""Неофициальный источник"",IF(K276=""Активен"",""Готово"",""Проверить: активн"&amp;"ость""),I276&lt;&gt;""Подтверждено"",""Проверить: официальность / комментарий"",K276&lt;&gt;""Активен"",""Проверить: активность"",AND(ISNUMBER(J276),J276&lt;TODAY()-30),""Проверить: публикации старше 30 дней"",TRUE,""Готово""))"),"Готово")</f>
        <v>Готово</v>
      </c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 spans="1:25" ht="25.5" customHeight="1">
      <c r="A277" s="52" t="s">
        <v>622</v>
      </c>
      <c r="B277" s="53">
        <v>46267</v>
      </c>
      <c r="C277" s="54" t="s">
        <v>84</v>
      </c>
      <c r="D277" s="54" t="s">
        <v>354</v>
      </c>
      <c r="E277" s="54" t="s">
        <v>51</v>
      </c>
      <c r="F277" s="54" t="s">
        <v>14</v>
      </c>
      <c r="G277" s="54" t="s">
        <v>354</v>
      </c>
      <c r="H277" s="71" t="s">
        <v>664</v>
      </c>
      <c r="I277" s="54" t="s">
        <v>17</v>
      </c>
      <c r="J277" s="70"/>
      <c r="K277" s="54" t="s">
        <v>18</v>
      </c>
      <c r="L277" s="64" t="s">
        <v>103</v>
      </c>
      <c r="M277" s="66" t="str">
        <f ca="1">IFERROR(__xludf.DUMMYFUNCTION("IF(COUNTA(A277:L277)=0,"""",IFS(AND(H277&lt;&gt;"""",COUNTIF($H$6:$H$504,H277)&gt;1),""Ошибка: повтор URL"",OR(A277="""",B277="""",C277="""",D277="""",E277="""",F277="""",G277="""",H277="""",K277=""""),""Ошибка: обязательные поля"",NOT(REGEXMATCH(H277,""^https?://"&amp;"[^ /]+"")),""Ошибка: некорректная ссылка"",COUNTIF('Справочники'!$A$4:$A$24,C277)=0,""Ошибка: территория вне справочника"",K277=""Недоступен"",""Ошибка: ссылка недоступна"",E277=""Неофициальный источник"",IF(K277=""Активен"",""Готово"",""Проверить: активн"&amp;"ость""),I277&lt;&gt;""Подтверждено"",""Проверить: официальность / комментарий"",K277&lt;&gt;""Активен"",""Проверить: активность"",AND(ISNUMBER(J277),J277&lt;TODAY()-30),""Проверить: публикации старше 30 дней"",TRUE,""Готово""))"),"Готово")</f>
        <v>Готово</v>
      </c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 spans="1:25" ht="25.5" customHeight="1">
      <c r="A278" s="61" t="s">
        <v>622</v>
      </c>
      <c r="B278" s="62">
        <v>46267</v>
      </c>
      <c r="C278" s="63" t="s">
        <v>84</v>
      </c>
      <c r="D278" s="64" t="s">
        <v>356</v>
      </c>
      <c r="E278" s="63" t="s">
        <v>51</v>
      </c>
      <c r="F278" s="63" t="s">
        <v>14</v>
      </c>
      <c r="G278" s="64" t="s">
        <v>356</v>
      </c>
      <c r="H278" s="72" t="s">
        <v>665</v>
      </c>
      <c r="I278" s="64" t="s">
        <v>17</v>
      </c>
      <c r="J278" s="62"/>
      <c r="K278" s="63" t="s">
        <v>18</v>
      </c>
      <c r="L278" s="64" t="s">
        <v>103</v>
      </c>
      <c r="M278" s="66" t="str">
        <f ca="1">IFERROR(__xludf.DUMMYFUNCTION("IF(COUNTA(A278:L278)=0,"""",IFS(AND(H278&lt;&gt;"""",COUNTIF($H$6:$H$504,H278)&gt;1),""Ошибка: повтор URL"",OR(A278="""",B278="""",C278="""",D278="""",E278="""",F278="""",G278="""",H278="""",K278=""""),""Ошибка: обязательные поля"",NOT(REGEXMATCH(H278,""^https?://"&amp;"[^ /]+"")),""Ошибка: некорректная ссылка"",COUNTIF('Справочники'!$A$4:$A$24,C278)=0,""Ошибка: территория вне справочника"",K278=""Недоступен"",""Ошибка: ссылка недоступна"",E278=""Неофициальный источник"",IF(K278=""Активен"",""Готово"",""Проверить: активн"&amp;"ость""),I278&lt;&gt;""Подтверждено"",""Проверить: официальность / комментарий"",K278&lt;&gt;""Активен"",""Проверить: активность"",AND(ISNUMBER(J278),J278&lt;TODAY()-30),""Проверить: публикации старше 30 дней"",TRUE,""Готово""))"),"Готово")</f>
        <v>Готово</v>
      </c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 spans="1:25" ht="25.5" customHeight="1">
      <c r="A279" s="61" t="s">
        <v>622</v>
      </c>
      <c r="B279" s="62">
        <v>46267</v>
      </c>
      <c r="C279" s="63" t="s">
        <v>84</v>
      </c>
      <c r="D279" s="64" t="s">
        <v>666</v>
      </c>
      <c r="E279" s="63" t="s">
        <v>51</v>
      </c>
      <c r="F279" s="63" t="s">
        <v>14</v>
      </c>
      <c r="G279" s="64" t="s">
        <v>666</v>
      </c>
      <c r="H279" s="72" t="s">
        <v>667</v>
      </c>
      <c r="I279" s="64" t="s">
        <v>17</v>
      </c>
      <c r="J279" s="62"/>
      <c r="K279" s="63" t="s">
        <v>18</v>
      </c>
      <c r="L279" s="64" t="s">
        <v>103</v>
      </c>
      <c r="M279" s="66" t="str">
        <f ca="1">IFERROR(__xludf.DUMMYFUNCTION("IF(COUNTA(A279:L279)=0,"""",IFS(AND(H279&lt;&gt;"""",COUNTIF($H$6:$H$504,H279)&gt;1),""Ошибка: повтор URL"",OR(A279="""",B279="""",C279="""",D279="""",E279="""",F279="""",G279="""",H279="""",K279=""""),""Ошибка: обязательные поля"",NOT(REGEXMATCH(H279,""^https?://"&amp;"[^ /]+"")),""Ошибка: некорректная ссылка"",COUNTIF('Справочники'!$A$4:$A$24,C279)=0,""Ошибка: территория вне справочника"",K279=""Недоступен"",""Ошибка: ссылка недоступна"",E279=""Неофициальный источник"",IF(K279=""Активен"",""Готово"",""Проверить: активн"&amp;"ость""),I279&lt;&gt;""Подтверждено"",""Проверить: официальность / комментарий"",K279&lt;&gt;""Активен"",""Проверить: активность"",AND(ISNUMBER(J279),J279&lt;TODAY()-30),""Проверить: публикации старше 30 дней"",TRUE,""Готово""))"),"Готово")</f>
        <v>Готово</v>
      </c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 spans="1:25" ht="25.5" customHeight="1">
      <c r="A280" s="52" t="s">
        <v>622</v>
      </c>
      <c r="B280" s="53">
        <v>46267</v>
      </c>
      <c r="C280" s="54" t="s">
        <v>84</v>
      </c>
      <c r="D280" s="54" t="s">
        <v>271</v>
      </c>
      <c r="E280" s="54" t="s">
        <v>51</v>
      </c>
      <c r="F280" s="54" t="s">
        <v>14</v>
      </c>
      <c r="G280" s="54" t="s">
        <v>271</v>
      </c>
      <c r="H280" s="71" t="s">
        <v>668</v>
      </c>
      <c r="I280" s="54" t="s">
        <v>17</v>
      </c>
      <c r="J280" s="70"/>
      <c r="K280" s="54" t="s">
        <v>18</v>
      </c>
      <c r="L280" s="64" t="s">
        <v>103</v>
      </c>
      <c r="M280" s="66" t="str">
        <f ca="1">IFERROR(__xludf.DUMMYFUNCTION("IF(COUNTA(A280:L280)=0,"""",IFS(AND(H280&lt;&gt;"""",COUNTIF($H$6:$H$504,H280)&gt;1),""Ошибка: повтор URL"",OR(A280="""",B280="""",C280="""",D280="""",E280="""",F280="""",G280="""",H280="""",K280=""""),""Ошибка: обязательные поля"",NOT(REGEXMATCH(H280,""^https?://"&amp;"[^ /]+"")),""Ошибка: некорректная ссылка"",COUNTIF('Справочники'!$A$4:$A$24,C280)=0,""Ошибка: территория вне справочника"",K280=""Недоступен"",""Ошибка: ссылка недоступна"",E280=""Неофициальный источник"",IF(K280=""Активен"",""Готово"",""Проверить: активн"&amp;"ость""),I280&lt;&gt;""Подтверждено"",""Проверить: официальность / комментарий"",K280&lt;&gt;""Активен"",""Проверить: активность"",AND(ISNUMBER(J280),J280&lt;TODAY()-30),""Проверить: публикации старше 30 дней"",TRUE,""Готово""))"),"Готово")</f>
        <v>Готово</v>
      </c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 spans="1:25" ht="25.5" customHeight="1">
      <c r="A281" s="61" t="s">
        <v>622</v>
      </c>
      <c r="B281" s="62">
        <v>46267</v>
      </c>
      <c r="C281" s="63" t="s">
        <v>84</v>
      </c>
      <c r="D281" s="64" t="s">
        <v>361</v>
      </c>
      <c r="E281" s="63" t="s">
        <v>51</v>
      </c>
      <c r="F281" s="63" t="s">
        <v>14</v>
      </c>
      <c r="G281" s="64" t="s">
        <v>361</v>
      </c>
      <c r="H281" s="72" t="s">
        <v>669</v>
      </c>
      <c r="I281" s="64" t="s">
        <v>17</v>
      </c>
      <c r="J281" s="62"/>
      <c r="K281" s="63" t="s">
        <v>18</v>
      </c>
      <c r="L281" s="64" t="s">
        <v>103</v>
      </c>
      <c r="M281" s="66" t="str">
        <f ca="1">IFERROR(__xludf.DUMMYFUNCTION("IF(COUNTA(A281:L281)=0,"""",IFS(AND(H281&lt;&gt;"""",COUNTIF($H$6:$H$504,H281)&gt;1),""Ошибка: повтор URL"",OR(A281="""",B281="""",C281="""",D281="""",E281="""",F281="""",G281="""",H281="""",K281=""""),""Ошибка: обязательные поля"",NOT(REGEXMATCH(H281,""^https?://"&amp;"[^ /]+"")),""Ошибка: некорректная ссылка"",COUNTIF('Справочники'!$A$4:$A$24,C281)=0,""Ошибка: территория вне справочника"",K281=""Недоступен"",""Ошибка: ссылка недоступна"",E281=""Неофициальный источник"",IF(K281=""Активен"",""Готово"",""Проверить: активн"&amp;"ость""),I281&lt;&gt;""Подтверждено"",""Проверить: официальность / комментарий"",K281&lt;&gt;""Активен"",""Проверить: активность"",AND(ISNUMBER(J281),J281&lt;TODAY()-30),""Проверить: публикации старше 30 дней"",TRUE,""Готово""))"),"Готово")</f>
        <v>Готово</v>
      </c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 spans="1:25" ht="25.5" customHeight="1">
      <c r="A282" s="61" t="s">
        <v>622</v>
      </c>
      <c r="B282" s="62">
        <v>46267</v>
      </c>
      <c r="C282" s="63" t="s">
        <v>84</v>
      </c>
      <c r="D282" s="64" t="s">
        <v>274</v>
      </c>
      <c r="E282" s="63" t="s">
        <v>51</v>
      </c>
      <c r="F282" s="63" t="s">
        <v>14</v>
      </c>
      <c r="G282" s="64" t="s">
        <v>274</v>
      </c>
      <c r="H282" s="72" t="s">
        <v>670</v>
      </c>
      <c r="I282" s="64" t="s">
        <v>17</v>
      </c>
      <c r="J282" s="62"/>
      <c r="K282" s="63" t="s">
        <v>18</v>
      </c>
      <c r="L282" s="64" t="s">
        <v>103</v>
      </c>
      <c r="M282" s="66" t="str">
        <f ca="1">IFERROR(__xludf.DUMMYFUNCTION("IF(COUNTA(A282:L282)=0,"""",IFS(AND(H282&lt;&gt;"""",COUNTIF($H$6:$H$504,H282)&gt;1),""Ошибка: повтор URL"",OR(A282="""",B282="""",C282="""",D282="""",E282="""",F282="""",G282="""",H282="""",K282=""""),""Ошибка: обязательные поля"",NOT(REGEXMATCH(H282,""^https?://"&amp;"[^ /]+"")),""Ошибка: некорректная ссылка"",COUNTIF('Справочники'!$A$4:$A$24,C282)=0,""Ошибка: территория вне справочника"",K282=""Недоступен"",""Ошибка: ссылка недоступна"",E282=""Неофициальный источник"",IF(K282=""Активен"",""Готово"",""Проверить: активн"&amp;"ость""),I282&lt;&gt;""Подтверждено"",""Проверить: официальность / комментарий"",K282&lt;&gt;""Активен"",""Проверить: активность"",AND(ISNUMBER(J282),J282&lt;TODAY()-30),""Проверить: публикации старше 30 дней"",TRUE,""Готово""))"),"Готово")</f>
        <v>Готово</v>
      </c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 spans="1:25" ht="25.5" customHeight="1">
      <c r="A283" s="61" t="s">
        <v>622</v>
      </c>
      <c r="B283" s="62">
        <v>46267</v>
      </c>
      <c r="C283" s="63" t="s">
        <v>84</v>
      </c>
      <c r="D283" s="64" t="s">
        <v>277</v>
      </c>
      <c r="E283" s="63" t="s">
        <v>51</v>
      </c>
      <c r="F283" s="63" t="s">
        <v>14</v>
      </c>
      <c r="G283" s="64" t="s">
        <v>277</v>
      </c>
      <c r="H283" s="67" t="s">
        <v>671</v>
      </c>
      <c r="I283" s="64" t="s">
        <v>17</v>
      </c>
      <c r="J283" s="62"/>
      <c r="K283" s="63" t="s">
        <v>18</v>
      </c>
      <c r="L283" s="64" t="s">
        <v>103</v>
      </c>
      <c r="M283" s="66" t="str">
        <f ca="1">IFERROR(__xludf.DUMMYFUNCTION("IF(COUNTA(A283:L283)=0,"""",IFS(AND(H283&lt;&gt;"""",COUNTIF($H$6:$H$504,H283)&gt;1),""Ошибка: повтор URL"",OR(A283="""",B283="""",C283="""",D283="""",E283="""",F283="""",G283="""",H283="""",K283=""""),""Ошибка: обязательные поля"",NOT(REGEXMATCH(H283,""^https?://"&amp;"[^ /]+"")),""Ошибка: некорректная ссылка"",COUNTIF('Справочники'!$A$4:$A$24,C283)=0,""Ошибка: территория вне справочника"",K283=""Недоступен"",""Ошибка: ссылка недоступна"",E283=""Неофициальный источник"",IF(K283=""Активен"",""Готово"",""Проверить: активн"&amp;"ость""),I283&lt;&gt;""Подтверждено"",""Проверить: официальность / комментарий"",K283&lt;&gt;""Активен"",""Проверить: активность"",AND(ISNUMBER(J283),J283&lt;TODAY()-30),""Проверить: публикации старше 30 дней"",TRUE,""Готово""))"),"Готово")</f>
        <v>Готово</v>
      </c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 spans="1:25" ht="25.5" customHeight="1">
      <c r="A284" s="52" t="s">
        <v>622</v>
      </c>
      <c r="B284" s="53">
        <v>46267</v>
      </c>
      <c r="C284" s="54" t="s">
        <v>40</v>
      </c>
      <c r="D284" s="54" t="s">
        <v>672</v>
      </c>
      <c r="E284" s="54" t="s">
        <v>16</v>
      </c>
      <c r="F284" s="54" t="s">
        <v>14</v>
      </c>
      <c r="G284" s="54" t="s">
        <v>673</v>
      </c>
      <c r="H284" s="73" t="s">
        <v>674</v>
      </c>
      <c r="I284" s="54" t="s">
        <v>17</v>
      </c>
      <c r="J284" s="70"/>
      <c r="K284" s="54" t="s">
        <v>18</v>
      </c>
      <c r="L284" s="64" t="s">
        <v>103</v>
      </c>
      <c r="M284" s="66" t="str">
        <f ca="1">IFERROR(__xludf.DUMMYFUNCTION("IF(COUNTA(A284:L284)=0,"""",IFS(AND(H284&lt;&gt;"""",COUNTIF($H$6:$H$504,H284)&gt;1),""Ошибка: повтор URL"",OR(A284="""",B284="""",C284="""",D284="""",E284="""",F284="""",G284="""",H284="""",K284=""""),""Ошибка: обязательные поля"",NOT(REGEXMATCH(H284,""^https?://"&amp;"[^ /]+"")),""Ошибка: некорректная ссылка"",COUNTIF('Справочники'!$A$4:$A$24,C284)=0,""Ошибка: территория вне справочника"",K284=""Недоступен"",""Ошибка: ссылка недоступна"",E284=""Неофициальный источник"",IF(K284=""Активен"",""Готово"",""Проверить: активн"&amp;"ость""),I284&lt;&gt;""Подтверждено"",""Проверить: официальность / комментарий"",K284&lt;&gt;""Активен"",""Проверить: активность"",AND(ISNUMBER(J284),J284&lt;TODAY()-30),""Проверить: публикации старше 30 дней"",TRUE,""Готово""))"),"Готово")</f>
        <v>Готово</v>
      </c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 spans="1:25" ht="25.5" customHeight="1">
      <c r="A285" s="52" t="s">
        <v>622</v>
      </c>
      <c r="B285" s="53">
        <v>46267</v>
      </c>
      <c r="C285" s="54" t="s">
        <v>84</v>
      </c>
      <c r="D285" s="54" t="s">
        <v>675</v>
      </c>
      <c r="E285" s="54" t="s">
        <v>69</v>
      </c>
      <c r="F285" s="54" t="s">
        <v>14</v>
      </c>
      <c r="G285" s="54" t="s">
        <v>675</v>
      </c>
      <c r="H285" s="71" t="s">
        <v>676</v>
      </c>
      <c r="I285" s="54" t="s">
        <v>17</v>
      </c>
      <c r="J285" s="70"/>
      <c r="K285" s="54" t="s">
        <v>18</v>
      </c>
      <c r="L285" s="64" t="s">
        <v>103</v>
      </c>
      <c r="M285" s="66" t="str">
        <f ca="1">IFERROR(__xludf.DUMMYFUNCTION("IF(COUNTA(A285:L285)=0,"""",IFS(AND(H285&lt;&gt;"""",COUNTIF($H$6:$H$504,H285)&gt;1),""Ошибка: повтор URL"",OR(A285="""",B285="""",C285="""",D285="""",E285="""",F285="""",G285="""",H285="""",K285=""""),""Ошибка: обязательные поля"",NOT(REGEXMATCH(H285,""^https?://"&amp;"[^ /]+"")),""Ошибка: некорректная ссылка"",COUNTIF('Справочники'!$A$4:$A$24,C285)=0,""Ошибка: территория вне справочника"",K285=""Недоступен"",""Ошибка: ссылка недоступна"",E285=""Неофициальный источник"",IF(K285=""Активен"",""Готово"",""Проверить: активн"&amp;"ость""),I285&lt;&gt;""Подтверждено"",""Проверить: официальность / комментарий"",K285&lt;&gt;""Активен"",""Проверить: активность"",AND(ISNUMBER(J285),J285&lt;TODAY()-30),""Проверить: публикации старше 30 дней"",TRUE,""Готово""))"),"Готово")</f>
        <v>Готово</v>
      </c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 spans="1:25" ht="25.5" customHeight="1">
      <c r="A286" s="61" t="s">
        <v>622</v>
      </c>
      <c r="B286" s="62">
        <v>46267</v>
      </c>
      <c r="C286" s="63" t="s">
        <v>96</v>
      </c>
      <c r="D286" s="64" t="s">
        <v>677</v>
      </c>
      <c r="E286" s="63" t="s">
        <v>36</v>
      </c>
      <c r="F286" s="63" t="s">
        <v>14</v>
      </c>
      <c r="G286" s="64" t="s">
        <v>677</v>
      </c>
      <c r="H286" s="67" t="s">
        <v>678</v>
      </c>
      <c r="I286" s="64" t="s">
        <v>17</v>
      </c>
      <c r="J286" s="62"/>
      <c r="K286" s="63" t="s">
        <v>18</v>
      </c>
      <c r="L286" s="64" t="s">
        <v>103</v>
      </c>
      <c r="M286" s="66" t="str">
        <f ca="1">IFERROR(__xludf.DUMMYFUNCTION("IF(COUNTA(A286:L286)=0,"""",IFS(AND(H286&lt;&gt;"""",COUNTIF($H$6:$H$504,H286)&gt;1),""Ошибка: повтор URL"",OR(A286="""",B286="""",C286="""",D286="""",E286="""",F286="""",G286="""",H286="""",K286=""""),""Ошибка: обязательные поля"",NOT(REGEXMATCH(H286,""^https?://"&amp;"[^ /]+"")),""Ошибка: некорректная ссылка"",COUNTIF('Справочники'!$A$4:$A$24,C286)=0,""Ошибка: территория вне справочника"",K286=""Недоступен"",""Ошибка: ссылка недоступна"",E286=""Неофициальный источник"",IF(K286=""Активен"",""Готово"",""Проверить: активн"&amp;"ость""),I286&lt;&gt;""Подтверждено"",""Проверить: официальность / комментарий"",K286&lt;&gt;""Активен"",""Проверить: активность"",AND(ISNUMBER(J286),J286&lt;TODAY()-30),""Проверить: публикации старше 30 дней"",TRUE,""Готово""))"),"Готово")</f>
        <v>Готово</v>
      </c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 spans="1:25" ht="25.5" customHeight="1">
      <c r="A287" s="61" t="s">
        <v>622</v>
      </c>
      <c r="B287" s="62">
        <v>46267</v>
      </c>
      <c r="C287" s="63" t="s">
        <v>99</v>
      </c>
      <c r="D287" s="64" t="s">
        <v>679</v>
      </c>
      <c r="E287" s="63" t="s">
        <v>36</v>
      </c>
      <c r="F287" s="63" t="s">
        <v>14</v>
      </c>
      <c r="G287" s="74" t="s">
        <v>679</v>
      </c>
      <c r="H287" s="67" t="s">
        <v>680</v>
      </c>
      <c r="I287" s="64" t="s">
        <v>17</v>
      </c>
      <c r="J287" s="62"/>
      <c r="K287" s="63" t="s">
        <v>18</v>
      </c>
      <c r="L287" s="64" t="s">
        <v>103</v>
      </c>
      <c r="M287" s="66" t="str">
        <f ca="1">IFERROR(__xludf.DUMMYFUNCTION("IF(COUNTA(A287:L287)=0,"""",IFS(AND(H287&lt;&gt;"""",COUNTIF($H$6:$H$504,H287)&gt;1),""Ошибка: повтор URL"",OR(A287="""",B287="""",C287="""",D287="""",E287="""",F287="""",G287="""",H287="""",K287=""""),""Ошибка: обязательные поля"",NOT(REGEXMATCH(H287,""^https?://"&amp;"[^ /]+"")),""Ошибка: некорректная ссылка"",COUNTIF('Справочники'!$A$4:$A$24,C287)=0,""Ошибка: территория вне справочника"",K287=""Недоступен"",""Ошибка: ссылка недоступна"",E287=""Неофициальный источник"",IF(K287=""Активен"",""Готово"",""Проверить: активн"&amp;"ость""),I287&lt;&gt;""Подтверждено"",""Проверить: официальность / комментарий"",K287&lt;&gt;""Активен"",""Проверить: активность"",AND(ISNUMBER(J287),J287&lt;TODAY()-30),""Проверить: публикации старше 30 дней"",TRUE,""Готово""))"),"Готово")</f>
        <v>Готово</v>
      </c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 spans="1:25" ht="25.5" customHeight="1">
      <c r="A288" s="61" t="s">
        <v>622</v>
      </c>
      <c r="B288" s="62">
        <v>46267</v>
      </c>
      <c r="C288" s="63" t="s">
        <v>91</v>
      </c>
      <c r="D288" s="64" t="s">
        <v>681</v>
      </c>
      <c r="E288" s="63" t="s">
        <v>45</v>
      </c>
      <c r="F288" s="63" t="s">
        <v>14</v>
      </c>
      <c r="G288" s="64" t="s">
        <v>681</v>
      </c>
      <c r="H288" s="72" t="s">
        <v>682</v>
      </c>
      <c r="I288" s="64" t="s">
        <v>17</v>
      </c>
      <c r="J288" s="62"/>
      <c r="K288" s="63" t="s">
        <v>18</v>
      </c>
      <c r="L288" s="64" t="s">
        <v>103</v>
      </c>
      <c r="M288" s="66" t="str">
        <f ca="1">IFERROR(__xludf.DUMMYFUNCTION("IF(COUNTA(A288:L288)=0,"""",IFS(AND(H288&lt;&gt;"""",COUNTIF($H$6:$H$504,H288)&gt;1),""Ошибка: повтор URL"",OR(A288="""",B288="""",C288="""",D288="""",E288="""",F288="""",G288="""",H288="""",K288=""""),""Ошибка: обязательные поля"",NOT(REGEXMATCH(H288,""^https?://"&amp;"[^ /]+"")),""Ошибка: некорректная ссылка"",COUNTIF('Справочники'!$A$4:$A$24,C288)=0,""Ошибка: территория вне справочника"",K288=""Недоступен"",""Ошибка: ссылка недоступна"",E288=""Неофициальный источник"",IF(K288=""Активен"",""Готово"",""Проверить: активн"&amp;"ость""),I288&lt;&gt;""Подтверждено"",""Проверить: официальность / комментарий"",K288&lt;&gt;""Активен"",""Проверить: активность"",AND(ISNUMBER(J288),J288&lt;TODAY()-30),""Проверить: публикации старше 30 дней"",TRUE,""Готово""))"),"Готово")</f>
        <v>Готово</v>
      </c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 spans="1:25" ht="25.5" customHeight="1">
      <c r="A289" s="61" t="s">
        <v>622</v>
      </c>
      <c r="B289" s="62">
        <v>46267</v>
      </c>
      <c r="C289" s="63" t="s">
        <v>99</v>
      </c>
      <c r="D289" s="64" t="s">
        <v>683</v>
      </c>
      <c r="E289" s="63" t="s">
        <v>45</v>
      </c>
      <c r="F289" s="63" t="s">
        <v>14</v>
      </c>
      <c r="G289" s="64" t="s">
        <v>683</v>
      </c>
      <c r="H289" s="67" t="s">
        <v>684</v>
      </c>
      <c r="I289" s="64" t="s">
        <v>17</v>
      </c>
      <c r="J289" s="62"/>
      <c r="K289" s="63" t="s">
        <v>18</v>
      </c>
      <c r="L289" s="64" t="s">
        <v>103</v>
      </c>
      <c r="M289" s="66" t="str">
        <f ca="1">IFERROR(__xludf.DUMMYFUNCTION("IF(COUNTA(A289:L289)=0,"""",IFS(AND(H289&lt;&gt;"""",COUNTIF($H$6:$H$504,H289)&gt;1),""Ошибка: повтор URL"",OR(A289="""",B289="""",C289="""",D289="""",E289="""",F289="""",G289="""",H289="""",K289=""""),""Ошибка: обязательные поля"",NOT(REGEXMATCH(H289,""^https?://"&amp;"[^ /]+"")),""Ошибка: некорректная ссылка"",COUNTIF('Справочники'!$A$4:$A$24,C289)=0,""Ошибка: территория вне справочника"",K289=""Недоступен"",""Ошибка: ссылка недоступна"",E289=""Неофициальный источник"",IF(K289=""Активен"",""Готово"",""Проверить: активн"&amp;"ость""),I289&lt;&gt;""Подтверждено"",""Проверить: официальность / комментарий"",K289&lt;&gt;""Активен"",""Проверить: активность"",AND(ISNUMBER(J289),J289&lt;TODAY()-30),""Проверить: публикации старше 30 дней"",TRUE,""Готово""))"),"Готово")</f>
        <v>Готово</v>
      </c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 spans="1:25" ht="25.5" customHeight="1">
      <c r="A290" s="61" t="s">
        <v>685</v>
      </c>
      <c r="B290" s="62">
        <v>46267</v>
      </c>
      <c r="C290" s="63" t="s">
        <v>31</v>
      </c>
      <c r="D290" s="64" t="s">
        <v>686</v>
      </c>
      <c r="E290" s="63" t="s">
        <v>16</v>
      </c>
      <c r="F290" s="63" t="s">
        <v>14</v>
      </c>
      <c r="G290" s="64" t="s">
        <v>686</v>
      </c>
      <c r="H290" s="75" t="s">
        <v>687</v>
      </c>
      <c r="I290" s="64" t="s">
        <v>17</v>
      </c>
      <c r="J290" s="62"/>
      <c r="K290" s="63" t="s">
        <v>18</v>
      </c>
      <c r="L290" s="64" t="s">
        <v>103</v>
      </c>
      <c r="M290" s="66" t="str">
        <f ca="1">IFERROR(__xludf.DUMMYFUNCTION("IF(COUNTA(A290:L290)=0,"""",IFS(AND(H290&lt;&gt;"""",COUNTIF($H$6:$H$504,H290)&gt;1),""Ошибка: повтор URL"",OR(A290="""",B290="""",C290="""",D290="""",E290="""",F290="""",G290="""",H290="""",K290=""""),""Ошибка: обязательные поля"",NOT(REGEXMATCH(H290,""^https?://"&amp;"[^ /]+"")),""Ошибка: некорректная ссылка"",COUNTIF('Справочники'!$A$4:$A$24,C290)=0,""Ошибка: территория вне справочника"",K290=""Недоступен"",""Ошибка: ссылка недоступна"",E290=""Неофициальный источник"",IF(K290=""Активен"",""Готово"",""Проверить: активн"&amp;"ость""),I290&lt;&gt;""Подтверждено"",""Проверить: официальность / комментарий"",K290&lt;&gt;""Активен"",""Проверить: активность"",AND(ISNUMBER(J290),J290&lt;TODAY()-30),""Проверить: публикации старше 30 дней"",TRUE,""Готово""))"),"Готово")</f>
        <v>Готово</v>
      </c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 spans="1:25" ht="25.5" customHeight="1">
      <c r="A291" s="61" t="s">
        <v>622</v>
      </c>
      <c r="B291" s="62">
        <v>46267</v>
      </c>
      <c r="C291" s="63" t="s">
        <v>76</v>
      </c>
      <c r="D291" s="64" t="s">
        <v>628</v>
      </c>
      <c r="E291" s="63" t="s">
        <v>16</v>
      </c>
      <c r="F291" s="63" t="s">
        <v>14</v>
      </c>
      <c r="G291" s="64" t="s">
        <v>688</v>
      </c>
      <c r="H291" s="67" t="s">
        <v>689</v>
      </c>
      <c r="I291" s="64" t="s">
        <v>17</v>
      </c>
      <c r="J291" s="62"/>
      <c r="K291" s="63" t="s">
        <v>28</v>
      </c>
      <c r="L291" s="64" t="s">
        <v>103</v>
      </c>
      <c r="M291" s="66" t="str">
        <f ca="1">IFERROR(__xludf.DUMMYFUNCTION("IF(COUNTA(A291:L291)=0,"""",IFS(AND(H291&lt;&gt;"""",COUNTIF($H$6:$H$504,H291)&gt;1),""Ошибка: повтор URL"",OR(A291="""",B291="""",C291="""",D291="""",E291="""",F291="""",G291="""",H291="""",K291=""""),""Ошибка: обязательные поля"",NOT(REGEXMATCH(H291,""^https?://"&amp;"[^ /]+"")),""Ошибка: некорректная ссылка"",COUNTIF('Справочники'!$A$4:$A$24,C291)=0,""Ошибка: территория вне справочника"",K291=""Недоступен"",""Ошибка: ссылка недоступна"",E291=""Неофициальный источник"",IF(K291=""Активен"",""Готово"",""Проверить: активн"&amp;"ость""),I291&lt;&gt;""Подтверждено"",""Проверить: официальность / комментарий"",K291&lt;&gt;""Активен"",""Проверить: активность"",AND(ISNUMBER(J291),J291&lt;TODAY()-30),""Проверить: публикации старше 30 дней"",TRUE,""Готово""))"),"Проверить: активность")</f>
        <v>Проверить: активность</v>
      </c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 spans="1:25" ht="25.5" customHeight="1">
      <c r="A292" s="61" t="s">
        <v>622</v>
      </c>
      <c r="B292" s="62">
        <v>46267</v>
      </c>
      <c r="C292" s="63" t="s">
        <v>96</v>
      </c>
      <c r="D292" s="64" t="s">
        <v>633</v>
      </c>
      <c r="E292" s="63" t="s">
        <v>16</v>
      </c>
      <c r="F292" s="63" t="s">
        <v>14</v>
      </c>
      <c r="G292" s="64" t="s">
        <v>690</v>
      </c>
      <c r="H292" s="67" t="s">
        <v>691</v>
      </c>
      <c r="I292" s="64" t="s">
        <v>37</v>
      </c>
      <c r="J292" s="62"/>
      <c r="K292" s="63" t="s">
        <v>28</v>
      </c>
      <c r="L292" s="64" t="s">
        <v>103</v>
      </c>
      <c r="M292" s="66" t="str">
        <f ca="1">IFERROR(__xludf.DUMMYFUNCTION("IF(COUNTA(A292:L292)=0,"""",IFS(AND(H292&lt;&gt;"""",COUNTIF($H$6:$H$504,H292)&gt;1),""Ошибка: повтор URL"",OR(A292="""",B292="""",C292="""",D292="""",E292="""",F292="""",G292="""",H292="""",K292=""""),""Ошибка: обязательные поля"",NOT(REGEXMATCH(H292,""^https?://"&amp;"[^ /]+"")),""Ошибка: некорректная ссылка"",COUNTIF('Справочники'!$A$4:$A$24,C292)=0,""Ошибка: территория вне справочника"",K292=""Недоступен"",""Ошибка: ссылка недоступна"",E292=""Неофициальный источник"",IF(K292=""Активен"",""Готово"",""Проверить: активн"&amp;"ость""),I292&lt;&gt;""Подтверждено"",""Проверить: официальность / комментарий"",K292&lt;&gt;""Активен"",""Проверить: активность"",AND(ISNUMBER(J292),J292&lt;TODAY()-30),""Проверить: публикации старше 30 дней"",TRUE,""Готово""))"),"Проверить: официальность / комментарий")</f>
        <v>Проверить: официальность / комментарий</v>
      </c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 spans="1:25" ht="25.5" customHeight="1">
      <c r="A293" s="61" t="s">
        <v>622</v>
      </c>
      <c r="B293" s="62">
        <v>46267</v>
      </c>
      <c r="C293" s="63" t="s">
        <v>47</v>
      </c>
      <c r="D293" s="64" t="s">
        <v>623</v>
      </c>
      <c r="E293" s="63" t="s">
        <v>16</v>
      </c>
      <c r="F293" s="63" t="s">
        <v>34</v>
      </c>
      <c r="G293" s="64" t="s">
        <v>692</v>
      </c>
      <c r="H293" s="67" t="s">
        <v>693</v>
      </c>
      <c r="I293" s="64" t="s">
        <v>17</v>
      </c>
      <c r="J293" s="62"/>
      <c r="K293" s="63" t="s">
        <v>18</v>
      </c>
      <c r="L293" s="64" t="s">
        <v>103</v>
      </c>
      <c r="M293" s="66" t="str">
        <f ca="1">IFERROR(__xludf.DUMMYFUNCTION("IF(COUNTA(A293:L293)=0,"""",IFS(AND(H293&lt;&gt;"""",COUNTIF($H$6:$H$504,H293)&gt;1),""Ошибка: повтор URL"",OR(A293="""",B293="""",C293="""",D293="""",E293="""",F293="""",G293="""",H293="""",K293=""""),""Ошибка: обязательные поля"",NOT(REGEXMATCH(H293,""^https?://"&amp;"[^ /]+"")),""Ошибка: некорректная ссылка"",COUNTIF('Справочники'!$A$4:$A$24,C293)=0,""Ошибка: территория вне справочника"",K293=""Недоступен"",""Ошибка: ссылка недоступна"",E293=""Неофициальный источник"",IF(K293=""Активен"",""Готово"",""Проверить: активн"&amp;"ость""),I293&lt;&gt;""Подтверждено"",""Проверить: официальность / комментарий"",K293&lt;&gt;""Активен"",""Проверить: активность"",AND(ISNUMBER(J293),J293&lt;TODAY()-30),""Проверить: публикации старше 30 дней"",TRUE,""Готово""))"),"Готово")</f>
        <v>Готово</v>
      </c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 spans="1:25" ht="25.5" customHeight="1">
      <c r="A294" s="45" t="s">
        <v>622</v>
      </c>
      <c r="B294" s="46">
        <v>46267</v>
      </c>
      <c r="C294" s="45" t="s">
        <v>20</v>
      </c>
      <c r="D294" s="45" t="s">
        <v>694</v>
      </c>
      <c r="E294" s="45" t="s">
        <v>16</v>
      </c>
      <c r="F294" s="45" t="s">
        <v>34</v>
      </c>
      <c r="G294" s="45" t="s">
        <v>695</v>
      </c>
      <c r="H294" s="76" t="s">
        <v>696</v>
      </c>
      <c r="I294" s="45" t="s">
        <v>17</v>
      </c>
      <c r="J294" s="77"/>
      <c r="K294" s="45" t="s">
        <v>18</v>
      </c>
      <c r="L294" s="29" t="s">
        <v>103</v>
      </c>
      <c r="M294" s="25" t="str">
        <f ca="1">IFERROR(__xludf.DUMMYFUNCTION("IF(COUNTA(A294:L294)=0,"""",IFS(AND(H294&lt;&gt;"""",COUNTIF($H$6:$H$504,H294)&gt;1),""Ошибка: повтор URL"",OR(A294="""",B294="""",C294="""",D294="""",E294="""",F294="""",G294="""",H294="""",K294=""""),""Ошибка: обязательные поля"",NOT(REGEXMATCH(H294,""^https?://"&amp;"[^ /]+"")),""Ошибка: некорректная ссылка"",COUNTIF('Справочники'!$A$4:$A$24,C294)=0,""Ошибка: территория вне справочника"",K294=""Недоступен"",""Ошибка: ссылка недоступна"",E294=""Неофициальный источник"",IF(K294=""Активен"",""Готово"",""Проверить: активн"&amp;"ость""),I294&lt;&gt;""Подтверждено"",""Проверить: официальность / комментарий"",K294&lt;&gt;""Активен"",""Проверить: активность"",AND(ISNUMBER(J294),J294&lt;TODAY()-30),""Проверить: публикации старше 30 дней"",TRUE,""Готово""))"),"Готово")</f>
        <v>Готово</v>
      </c>
    </row>
    <row r="295" spans="1:25" ht="25.5" customHeight="1">
      <c r="A295" s="45" t="s">
        <v>622</v>
      </c>
      <c r="B295" s="46">
        <v>46267</v>
      </c>
      <c r="C295" s="45" t="s">
        <v>40</v>
      </c>
      <c r="D295" s="45" t="s">
        <v>672</v>
      </c>
      <c r="E295" s="45" t="s">
        <v>16</v>
      </c>
      <c r="F295" s="45" t="s">
        <v>34</v>
      </c>
      <c r="G295" s="45" t="s">
        <v>697</v>
      </c>
      <c r="H295" s="76" t="s">
        <v>698</v>
      </c>
      <c r="I295" s="45" t="s">
        <v>17</v>
      </c>
      <c r="J295" s="77"/>
      <c r="K295" s="45" t="s">
        <v>18</v>
      </c>
      <c r="L295" s="29" t="s">
        <v>103</v>
      </c>
      <c r="M295" s="25" t="str">
        <f ca="1">IFERROR(__xludf.DUMMYFUNCTION("IF(COUNTA(A295:L295)=0,"""",IFS(AND(H295&lt;&gt;"""",COUNTIF($H$6:$H$504,H295)&gt;1),""Ошибка: повтор URL"",OR(A295="""",B295="""",C295="""",D295="""",E295="""",F295="""",G295="""",H295="""",K295=""""),""Ошибка: обязательные поля"",NOT(REGEXMATCH(H295,""^https?://"&amp;"[^ /]+"")),""Ошибка: некорректная ссылка"",COUNTIF('Справочники'!$A$4:$A$24,C295)=0,""Ошибка: территория вне справочника"",K295=""Недоступен"",""Ошибка: ссылка недоступна"",E295=""Неофициальный источник"",IF(K295=""Активен"",""Готово"",""Проверить: активн"&amp;"ость""),I295&lt;&gt;""Подтверждено"",""Проверить: официальность / комментарий"",K295&lt;&gt;""Активен"",""Проверить: активность"",AND(ISNUMBER(J295),J295&lt;TODAY()-30),""Проверить: публикации старше 30 дней"",TRUE,""Готово""))"),"Готово")</f>
        <v>Готово</v>
      </c>
    </row>
    <row r="296" spans="1:25" ht="25.5" customHeight="1">
      <c r="A296" s="45" t="s">
        <v>622</v>
      </c>
      <c r="B296" s="46">
        <v>46267</v>
      </c>
      <c r="C296" s="45" t="s">
        <v>54</v>
      </c>
      <c r="D296" s="45" t="s">
        <v>699</v>
      </c>
      <c r="E296" s="45" t="s">
        <v>60</v>
      </c>
      <c r="F296" s="45" t="s">
        <v>34</v>
      </c>
      <c r="G296" s="45" t="s">
        <v>700</v>
      </c>
      <c r="H296" s="76" t="s">
        <v>701</v>
      </c>
      <c r="I296" s="45" t="s">
        <v>17</v>
      </c>
      <c r="J296" s="77"/>
      <c r="K296" s="45" t="s">
        <v>18</v>
      </c>
      <c r="L296" s="29" t="s">
        <v>103</v>
      </c>
      <c r="M296" s="25" t="str">
        <f ca="1">IFERROR(__xludf.DUMMYFUNCTION("IF(COUNTA(A296:L296)=0,"""",IFS(AND(H296&lt;&gt;"""",COUNTIF($H$6:$H$504,H296)&gt;1),""Ошибка: повтор URL"",OR(A296="""",B296="""",C296="""",D296="""",E296="""",F296="""",G296="""",H296="""",K296=""""),""Ошибка: обязательные поля"",NOT(REGEXMATCH(H296,""^https?://"&amp;"[^ /]+"")),""Ошибка: некорректная ссылка"",COUNTIF('Справочники'!$A$4:$A$24,C296)=0,""Ошибка: территория вне справочника"",K296=""Недоступен"",""Ошибка: ссылка недоступна"",E296=""Неофициальный источник"",IF(K296=""Активен"",""Готово"",""Проверить: активн"&amp;"ость""),I296&lt;&gt;""Подтверждено"",""Проверить: официальность / комментарий"",K296&lt;&gt;""Активен"",""Проверить: активность"",AND(ISNUMBER(J296),J296&lt;TODAY()-30),""Проверить: публикации старше 30 дней"",TRUE,""Готово""))"),"Готово")</f>
        <v>Готово</v>
      </c>
    </row>
    <row r="297" spans="1:25" ht="25.5" customHeight="1">
      <c r="A297" s="45" t="s">
        <v>622</v>
      </c>
      <c r="B297" s="46">
        <v>46267</v>
      </c>
      <c r="C297" s="45" t="s">
        <v>99</v>
      </c>
      <c r="D297" s="45" t="s">
        <v>702</v>
      </c>
      <c r="E297" s="45" t="s">
        <v>60</v>
      </c>
      <c r="F297" s="45" t="s">
        <v>34</v>
      </c>
      <c r="G297" s="45" t="s">
        <v>703</v>
      </c>
      <c r="H297" s="76" t="s">
        <v>704</v>
      </c>
      <c r="I297" s="45" t="s">
        <v>17</v>
      </c>
      <c r="J297" s="77"/>
      <c r="K297" s="45" t="s">
        <v>18</v>
      </c>
      <c r="L297" s="29" t="s">
        <v>103</v>
      </c>
      <c r="M297" s="25" t="str">
        <f ca="1">IFERROR(__xludf.DUMMYFUNCTION("IF(COUNTA(A297:L297)=0,"""",IFS(AND(H297&lt;&gt;"""",COUNTIF($H$6:$H$504,H297)&gt;1),""Ошибка: повтор URL"",OR(A297="""",B297="""",C297="""",D297="""",E297="""",F297="""",G297="""",H297="""",K297=""""),""Ошибка: обязательные поля"",NOT(REGEXMATCH(H297,""^https?://"&amp;"[^ /]+"")),""Ошибка: некорректная ссылка"",COUNTIF('Справочники'!$A$4:$A$24,C297)=0,""Ошибка: территория вне справочника"",K297=""Недоступен"",""Ошибка: ссылка недоступна"",E297=""Неофициальный источник"",IF(K297=""Активен"",""Готово"",""Проверить: активн"&amp;"ость""),I297&lt;&gt;""Подтверждено"",""Проверить: официальность / комментарий"",K297&lt;&gt;""Активен"",""Проверить: активность"",AND(ISNUMBER(J297),J297&lt;TODAY()-30),""Проверить: публикации старше 30 дней"",TRUE,""Готово""))"),"Готово")</f>
        <v>Готово</v>
      </c>
    </row>
    <row r="298" spans="1:25" ht="25.5" customHeight="1">
      <c r="A298" s="45" t="s">
        <v>622</v>
      </c>
      <c r="B298" s="46">
        <v>46267</v>
      </c>
      <c r="C298" s="45" t="s">
        <v>96</v>
      </c>
      <c r="D298" s="45" t="s">
        <v>705</v>
      </c>
      <c r="E298" s="45" t="s">
        <v>60</v>
      </c>
      <c r="F298" s="45" t="s">
        <v>34</v>
      </c>
      <c r="G298" s="45" t="s">
        <v>706</v>
      </c>
      <c r="H298" s="76" t="s">
        <v>707</v>
      </c>
      <c r="I298" s="45" t="s">
        <v>17</v>
      </c>
      <c r="J298" s="77"/>
      <c r="K298" s="45" t="s">
        <v>18</v>
      </c>
      <c r="L298" s="29" t="s">
        <v>103</v>
      </c>
      <c r="M298" s="25" t="str">
        <f ca="1">IFERROR(__xludf.DUMMYFUNCTION("IF(COUNTA(A298:L298)=0,"""",IFS(AND(H298&lt;&gt;"""",COUNTIF($H$6:$H$504,H298)&gt;1),""Ошибка: повтор URL"",OR(A298="""",B298="""",C298="""",D298="""",E298="""",F298="""",G298="""",H298="""",K298=""""),""Ошибка: обязательные поля"",NOT(REGEXMATCH(H298,""^https?://"&amp;"[^ /]+"")),""Ошибка: некорректная ссылка"",COUNTIF('Справочники'!$A$4:$A$24,C298)=0,""Ошибка: территория вне справочника"",K298=""Недоступен"",""Ошибка: ссылка недоступна"",E298=""Неофициальный источник"",IF(K298=""Активен"",""Готово"",""Проверить: активн"&amp;"ость""),I298&lt;&gt;""Подтверждено"",""Проверить: официальность / комментарий"",K298&lt;&gt;""Активен"",""Проверить: активность"",AND(ISNUMBER(J298),J298&lt;TODAY()-30),""Проверить: публикации старше 30 дней"",TRUE,""Готово""))"),"Готово")</f>
        <v>Готово</v>
      </c>
    </row>
    <row r="299" spans="1:25" ht="25.5" customHeight="1">
      <c r="A299" s="45" t="s">
        <v>622</v>
      </c>
      <c r="B299" s="46">
        <v>46267</v>
      </c>
      <c r="C299" s="45" t="s">
        <v>104</v>
      </c>
      <c r="D299" s="45" t="s">
        <v>708</v>
      </c>
      <c r="E299" s="45" t="s">
        <v>60</v>
      </c>
      <c r="F299" s="45" t="s">
        <v>34</v>
      </c>
      <c r="G299" s="45" t="s">
        <v>709</v>
      </c>
      <c r="H299" s="76" t="s">
        <v>710</v>
      </c>
      <c r="I299" s="45" t="s">
        <v>17</v>
      </c>
      <c r="J299" s="77"/>
      <c r="K299" s="45" t="s">
        <v>18</v>
      </c>
      <c r="L299" s="29" t="s">
        <v>103</v>
      </c>
      <c r="M299" s="25" t="str">
        <f ca="1">IFERROR(__xludf.DUMMYFUNCTION("IF(COUNTA(A299:L299)=0,"""",IFS(AND(H299&lt;&gt;"""",COUNTIF($H$6:$H$504,H299)&gt;1),""Ошибка: повтор URL"",OR(A299="""",B299="""",C299="""",D299="""",E299="""",F299="""",G299="""",H299="""",K299=""""),""Ошибка: обязательные поля"",NOT(REGEXMATCH(H299,""^https?://"&amp;"[^ /]+"")),""Ошибка: некорректная ссылка"",COUNTIF('Справочники'!$A$4:$A$24,C299)=0,""Ошибка: территория вне справочника"",K299=""Недоступен"",""Ошибка: ссылка недоступна"",E299=""Неофициальный источник"",IF(K299=""Активен"",""Готово"",""Проверить: активн"&amp;"ость""),I299&lt;&gt;""Подтверждено"",""Проверить: официальность / комментарий"",K299&lt;&gt;""Активен"",""Проверить: активность"",AND(ISNUMBER(J299),J299&lt;TODAY()-30),""Проверить: публикации старше 30 дней"",TRUE,""Готово""))"),"Готово")</f>
        <v>Готово</v>
      </c>
    </row>
    <row r="300" spans="1:25" ht="25.5" customHeight="1">
      <c r="A300" s="45" t="s">
        <v>622</v>
      </c>
      <c r="B300" s="46">
        <v>46267</v>
      </c>
      <c r="C300" s="45" t="s">
        <v>91</v>
      </c>
      <c r="D300" s="45" t="s">
        <v>711</v>
      </c>
      <c r="E300" s="45" t="s">
        <v>60</v>
      </c>
      <c r="F300" s="45" t="s">
        <v>34</v>
      </c>
      <c r="G300" s="45" t="s">
        <v>712</v>
      </c>
      <c r="H300" s="78" t="s">
        <v>713</v>
      </c>
      <c r="I300" s="45" t="s">
        <v>17</v>
      </c>
      <c r="J300" s="77"/>
      <c r="K300" s="45" t="s">
        <v>18</v>
      </c>
      <c r="L300" s="29" t="s">
        <v>103</v>
      </c>
      <c r="M300" s="25" t="str">
        <f ca="1">IFERROR(__xludf.DUMMYFUNCTION("IF(COUNTA(A300:L300)=0,"""",IFS(AND(H300&lt;&gt;"""",COUNTIF($H$6:$H$504,H300)&gt;1),""Ошибка: повтор URL"",OR(A300="""",B300="""",C300="""",D300="""",E300="""",F300="""",G300="""",H300="""",K300=""""),""Ошибка: обязательные поля"",NOT(REGEXMATCH(H300,""^https?://"&amp;"[^ /]+"")),""Ошибка: некорректная ссылка"",COUNTIF('Справочники'!$A$4:$A$24,C300)=0,""Ошибка: территория вне справочника"",K300=""Недоступен"",""Ошибка: ссылка недоступна"",E300=""Неофициальный источник"",IF(K300=""Активен"",""Готово"",""Проверить: активн"&amp;"ость""),I300&lt;&gt;""Подтверждено"",""Проверить: официальность / комментарий"",K300&lt;&gt;""Активен"",""Проверить: активность"",AND(ISNUMBER(J300),J300&lt;TODAY()-30),""Проверить: публикации старше 30 дней"",TRUE,""Готово""))"),"Готово")</f>
        <v>Готово</v>
      </c>
    </row>
    <row r="301" spans="1:25" ht="25.5" customHeight="1">
      <c r="A301" s="45" t="s">
        <v>622</v>
      </c>
      <c r="B301" s="46">
        <v>46267</v>
      </c>
      <c r="C301" s="45" t="s">
        <v>31</v>
      </c>
      <c r="D301" s="45" t="s">
        <v>714</v>
      </c>
      <c r="E301" s="45" t="s">
        <v>60</v>
      </c>
      <c r="F301" s="45" t="s">
        <v>34</v>
      </c>
      <c r="G301" s="45" t="s">
        <v>715</v>
      </c>
      <c r="H301" s="76" t="s">
        <v>716</v>
      </c>
      <c r="I301" s="45" t="s">
        <v>17</v>
      </c>
      <c r="J301" s="77"/>
      <c r="K301" s="45" t="s">
        <v>18</v>
      </c>
      <c r="L301" s="29" t="s">
        <v>103</v>
      </c>
      <c r="M301" s="25" t="str">
        <f ca="1">IFERROR(__xludf.DUMMYFUNCTION("IF(COUNTA(A301:L301)=0,"""",IFS(AND(H301&lt;&gt;"""",COUNTIF($H$6:$H$504,H301)&gt;1),""Ошибка: повтор URL"",OR(A301="""",B301="""",C301="""",D301="""",E301="""",F301="""",G301="""",H301="""",K301=""""),""Ошибка: обязательные поля"",NOT(REGEXMATCH(H301,""^https?://"&amp;"[^ /]+"")),""Ошибка: некорректная ссылка"",COUNTIF('Справочники'!$A$4:$A$24,C301)=0,""Ошибка: территория вне справочника"",K301=""Недоступен"",""Ошибка: ссылка недоступна"",E301=""Неофициальный источник"",IF(K301=""Активен"",""Готово"",""Проверить: активн"&amp;"ость""),I301&lt;&gt;""Подтверждено"",""Проверить: официальность / комментарий"",K301&lt;&gt;""Активен"",""Проверить: активность"",AND(ISNUMBER(J301),J301&lt;TODAY()-30),""Проверить: публикации старше 30 дней"",TRUE,""Готово""))"),"Готово")</f>
        <v>Готово</v>
      </c>
    </row>
    <row r="302" spans="1:25" ht="25.5" customHeight="1">
      <c r="A302" s="45" t="s">
        <v>622</v>
      </c>
      <c r="B302" s="46">
        <v>46267</v>
      </c>
      <c r="C302" s="45" t="s">
        <v>20</v>
      </c>
      <c r="D302" s="45" t="s">
        <v>717</v>
      </c>
      <c r="E302" s="45" t="s">
        <v>45</v>
      </c>
      <c r="F302" s="45" t="s">
        <v>34</v>
      </c>
      <c r="G302" s="45" t="s">
        <v>718</v>
      </c>
      <c r="H302" s="76" t="s">
        <v>719</v>
      </c>
      <c r="I302" s="45" t="s">
        <v>17</v>
      </c>
      <c r="J302" s="77"/>
      <c r="K302" s="45" t="s">
        <v>18</v>
      </c>
      <c r="L302" s="29" t="s">
        <v>103</v>
      </c>
      <c r="M302" s="25" t="str">
        <f ca="1">IFERROR(__xludf.DUMMYFUNCTION("IF(COUNTA(A302:L302)=0,"""",IFS(AND(H302&lt;&gt;"""",COUNTIF($H$6:$H$504,H302)&gt;1),""Ошибка: повтор URL"",OR(A302="""",B302="""",C302="""",D302="""",E302="""",F302="""",G302="""",H302="""",K302=""""),""Ошибка: обязательные поля"",NOT(REGEXMATCH(H302,""^https?://"&amp;"[^ /]+"")),""Ошибка: некорректная ссылка"",COUNTIF('Справочники'!$A$4:$A$24,C302)=0,""Ошибка: территория вне справочника"",K302=""Недоступен"",""Ошибка: ссылка недоступна"",E302=""Неофициальный источник"",IF(K302=""Активен"",""Готово"",""Проверить: активн"&amp;"ость""),I302&lt;&gt;""Подтверждено"",""Проверить: официальность / комментарий"",K302&lt;&gt;""Активен"",""Проверить: активность"",AND(ISNUMBER(J302),J302&lt;TODAY()-30),""Проверить: публикации старше 30 дней"",TRUE,""Готово""))"),"Готово")</f>
        <v>Готово</v>
      </c>
    </row>
    <row r="303" spans="1:25" ht="25.5" customHeight="1">
      <c r="A303" s="45" t="s">
        <v>622</v>
      </c>
      <c r="B303" s="46">
        <v>46267</v>
      </c>
      <c r="C303" s="45" t="s">
        <v>40</v>
      </c>
      <c r="D303" s="45" t="s">
        <v>720</v>
      </c>
      <c r="E303" s="45" t="s">
        <v>60</v>
      </c>
      <c r="F303" s="45" t="s">
        <v>34</v>
      </c>
      <c r="G303" s="45" t="s">
        <v>721</v>
      </c>
      <c r="H303" s="76" t="s">
        <v>722</v>
      </c>
      <c r="I303" s="45" t="s">
        <v>17</v>
      </c>
      <c r="J303" s="77"/>
      <c r="K303" s="45" t="s">
        <v>18</v>
      </c>
      <c r="L303" s="29" t="s">
        <v>103</v>
      </c>
      <c r="M303" s="25" t="str">
        <f ca="1">IFERROR(__xludf.DUMMYFUNCTION("IF(COUNTA(A303:L303)=0,"""",IFS(AND(H303&lt;&gt;"""",COUNTIF($H$6:$H$504,H303)&gt;1),""Ошибка: повтор URL"",OR(A303="""",B303="""",C303="""",D303="""",E303="""",F303="""",G303="""",H303="""",K303=""""),""Ошибка: обязательные поля"",NOT(REGEXMATCH(H303,""^https?://"&amp;"[^ /]+"")),""Ошибка: некорректная ссылка"",COUNTIF('Справочники'!$A$4:$A$24,C303)=0,""Ошибка: территория вне справочника"",K303=""Недоступен"",""Ошибка: ссылка недоступна"",E303=""Неофициальный источник"",IF(K303=""Активен"",""Готово"",""Проверить: активн"&amp;"ость""),I303&lt;&gt;""Подтверждено"",""Проверить: официальность / комментарий"",K303&lt;&gt;""Активен"",""Проверить: активность"",AND(ISNUMBER(J303),J303&lt;TODAY()-30),""Проверить: публикации старше 30 дней"",TRUE,""Готово""))"),"Готово")</f>
        <v>Готово</v>
      </c>
    </row>
    <row r="304" spans="1:25" ht="25.5" customHeight="1">
      <c r="A304" s="27"/>
      <c r="B304" s="28"/>
      <c r="C304" s="27"/>
      <c r="D304" s="29"/>
      <c r="E304" s="27"/>
      <c r="F304" s="27"/>
      <c r="G304" s="29"/>
      <c r="H304" s="30"/>
      <c r="I304" s="29"/>
      <c r="J304" s="28"/>
      <c r="K304" s="27"/>
      <c r="L304" s="29"/>
      <c r="M304" s="25"/>
    </row>
    <row r="305" spans="1:13" ht="25.5" customHeight="1">
      <c r="A305" s="27"/>
      <c r="B305" s="28"/>
      <c r="C305" s="27"/>
      <c r="D305" s="29"/>
      <c r="E305" s="27"/>
      <c r="F305" s="27"/>
      <c r="G305" s="29"/>
      <c r="H305" s="30"/>
      <c r="I305" s="29"/>
      <c r="J305" s="28"/>
      <c r="K305" s="27"/>
      <c r="L305" s="29"/>
      <c r="M305" s="25"/>
    </row>
    <row r="306" spans="1:13" ht="25.5" customHeight="1">
      <c r="A306" s="27"/>
      <c r="B306" s="28"/>
      <c r="C306" s="27"/>
      <c r="D306" s="29"/>
      <c r="E306" s="27"/>
      <c r="F306" s="27"/>
      <c r="G306" s="29"/>
      <c r="H306" s="30"/>
      <c r="I306" s="29"/>
      <c r="J306" s="28"/>
      <c r="K306" s="27"/>
      <c r="L306" s="29"/>
      <c r="M306" s="25"/>
    </row>
    <row r="307" spans="1:13" ht="25.5" customHeight="1">
      <c r="A307" s="27"/>
      <c r="B307" s="28"/>
      <c r="C307" s="27"/>
      <c r="D307" s="29"/>
      <c r="E307" s="27"/>
      <c r="F307" s="27"/>
      <c r="G307" s="29"/>
      <c r="H307" s="30"/>
      <c r="I307" s="29"/>
      <c r="J307" s="28"/>
      <c r="K307" s="27"/>
      <c r="L307" s="29"/>
      <c r="M307" s="25"/>
    </row>
    <row r="308" spans="1:13" ht="25.5" customHeight="1">
      <c r="A308" s="27"/>
      <c r="B308" s="28"/>
      <c r="C308" s="27"/>
      <c r="D308" s="29"/>
      <c r="E308" s="27"/>
      <c r="F308" s="27"/>
      <c r="G308" s="29"/>
      <c r="H308" s="30"/>
      <c r="I308" s="29"/>
      <c r="J308" s="28"/>
      <c r="K308" s="27"/>
      <c r="L308" s="29"/>
      <c r="M308" s="25"/>
    </row>
    <row r="309" spans="1:13" ht="25.5" customHeight="1">
      <c r="A309" s="27"/>
      <c r="B309" s="28"/>
      <c r="C309" s="27"/>
      <c r="D309" s="29"/>
      <c r="E309" s="27"/>
      <c r="F309" s="27"/>
      <c r="G309" s="29"/>
      <c r="H309" s="30"/>
      <c r="I309" s="29"/>
      <c r="J309" s="28"/>
      <c r="K309" s="27"/>
      <c r="L309" s="29"/>
      <c r="M309" s="25"/>
    </row>
    <row r="310" spans="1:13" ht="26.25" customHeight="1">
      <c r="A310" s="27"/>
      <c r="B310" s="28"/>
      <c r="C310" s="27"/>
      <c r="D310" s="29"/>
      <c r="E310" s="27"/>
      <c r="F310" s="27"/>
      <c r="G310" s="29"/>
      <c r="H310" s="30"/>
      <c r="I310" s="29"/>
      <c r="J310" s="28"/>
      <c r="K310" s="27"/>
      <c r="L310" s="29"/>
      <c r="M310" s="25"/>
    </row>
    <row r="311" spans="1:13" ht="25.5" customHeight="1">
      <c r="A311" s="27"/>
      <c r="B311" s="28"/>
      <c r="C311" s="27"/>
      <c r="D311" s="29"/>
      <c r="E311" s="27"/>
      <c r="F311" s="27"/>
      <c r="G311" s="29"/>
      <c r="H311" s="30"/>
      <c r="I311" s="29"/>
      <c r="J311" s="28"/>
      <c r="K311" s="27"/>
      <c r="L311" s="29"/>
      <c r="M311" s="25"/>
    </row>
    <row r="312" spans="1:13" ht="25.5" customHeight="1">
      <c r="A312" s="27"/>
      <c r="B312" s="28"/>
      <c r="C312" s="27"/>
      <c r="D312" s="29"/>
      <c r="E312" s="27"/>
      <c r="F312" s="27"/>
      <c r="G312" s="29"/>
      <c r="H312" s="30"/>
      <c r="I312" s="29"/>
      <c r="J312" s="28"/>
      <c r="K312" s="27"/>
      <c r="L312" s="29"/>
      <c r="M312" s="25"/>
    </row>
    <row r="313" spans="1:13" ht="25.5" customHeight="1">
      <c r="A313" s="27"/>
      <c r="B313" s="28"/>
      <c r="C313" s="27"/>
      <c r="D313" s="29"/>
      <c r="E313" s="27"/>
      <c r="F313" s="27"/>
      <c r="G313" s="29"/>
      <c r="H313" s="30"/>
      <c r="I313" s="29"/>
      <c r="J313" s="28"/>
      <c r="K313" s="27"/>
      <c r="L313" s="29"/>
      <c r="M313" s="25"/>
    </row>
    <row r="314" spans="1:13" ht="14.25">
      <c r="C314" s="79"/>
      <c r="E314" s="79"/>
    </row>
    <row r="315" spans="1:13" ht="14.25">
      <c r="C315" s="79"/>
      <c r="E315" s="79"/>
      <c r="M315" s="79" t="str">
        <f ca="1">IFERROR(__xludf.DUMMYFUNCTION("IF(COUNTA(A315:L315)=0,"""",IFS(OR(A315="""",B315="""",C315="""",D315="""",E315="""",F315="""",G315="""",H315="""",K315=""""),""Ошибка: обязательные поля"",NOT(REGEXMATCH(H315,""^https?://[^ /]+"")),""Ошибка: некорректная ссылка"",COUNTIF('Справочники'!$A"&amp;"$4:$A$24,C315)=0,""Ошибка: территория вне справочника"",K315=""Недоступен"",""Ошибка: ссылка недоступна"",E315=""Неофициальный источник"",IF(K315=""Активен"",""Готово"",""Проверить: активность""),COUNTIF($H$6:$H$504,H315)&gt;1,""Проверить: повтор URL"",I315&lt;"&amp;"&gt;""Подтверждено"",""Проверить: официальность / комментарий"",K315&lt;&gt;""Активен"",""Проверить: активность"",AND(ISNUMBER(J315),J315&lt;TODAY()-30),""Проверить: публикации старше 30 дней"",TRUE,""Готово""))"),"")</f>
        <v/>
      </c>
    </row>
    <row r="316" spans="1:13" ht="25.5" customHeight="1">
      <c r="A316" s="27"/>
      <c r="B316" s="28"/>
      <c r="C316" s="27"/>
      <c r="D316" s="29"/>
      <c r="E316" s="27"/>
      <c r="F316" s="27"/>
      <c r="G316" s="29"/>
      <c r="H316" s="30"/>
      <c r="I316" s="29"/>
      <c r="J316" s="28"/>
      <c r="K316" s="27"/>
      <c r="L316" s="29"/>
      <c r="M316" s="25" t="str">
        <f ca="1">IFERROR(__xludf.DUMMYFUNCTION("IF(COUNTA(A316:L316)=0,"""",IFS(OR(A316="""",B316="""",C316="""",D316="""",E316="""",F316="""",G316="""",H316="""",K316=""""),""Ошибка: обязательные поля"",NOT(REGEXMATCH(H316,""^https?://[^ /]+"")),""Ошибка: некорректная ссылка"",COUNTIF('Справочники'!$A"&amp;"$4:$A$24,C316)=0,""Ошибка: территория вне справочника"",K316=""Недоступен"",""Ошибка: ссылка недоступна"",E316=""Неофициальный источник"",IF(K316=""Активен"",""Готово"",""Проверить: активность""),COUNTIF($H$6:$H$504,H316)&gt;1,""Проверить: повтор URL"",I316&lt;"&amp;"&gt;""Подтверждено"",""Проверить: официальность / комментарий"",K316&lt;&gt;""Активен"",""Проверить: активность"",AND(ISNUMBER(J316),J316&lt;TODAY()-30),""Проверить: публикации старше 30 дней"",TRUE,""Готово""))"),"")</f>
        <v/>
      </c>
    </row>
    <row r="317" spans="1:13" ht="25.5" customHeight="1">
      <c r="A317" s="27"/>
      <c r="B317" s="28"/>
      <c r="C317" s="27"/>
      <c r="D317" s="29"/>
      <c r="E317" s="27"/>
      <c r="F317" s="27"/>
      <c r="G317" s="29"/>
      <c r="H317" s="30"/>
      <c r="I317" s="29"/>
      <c r="J317" s="28"/>
      <c r="K317" s="27"/>
      <c r="L317" s="29"/>
      <c r="M317" s="25" t="str">
        <f ca="1">IFERROR(__xludf.DUMMYFUNCTION("IF(COUNTA(A317:L317)=0,"""",IFS(OR(A317="""",B317="""",C317="""",D317="""",E317="""",F317="""",G317="""",H317="""",K317=""""),""Ошибка: обязательные поля"",NOT(REGEXMATCH(H317,""^https?://[^ /]+"")),""Ошибка: некорректная ссылка"",COUNTIF('Справочники'!$A"&amp;"$4:$A$24,C317)=0,""Ошибка: территория вне справочника"",K317=""Недоступен"",""Ошибка: ссылка недоступна"",E317=""Неофициальный источник"",IF(K317=""Активен"",""Готово"",""Проверить: активность""),COUNTIF($H$6:$H$504,H317)&gt;1,""Проверить: повтор URL"",I317&lt;"&amp;"&gt;""Подтверждено"",""Проверить: официальность / комментарий"",K317&lt;&gt;""Активен"",""Проверить: активность"",AND(ISNUMBER(J317),J317&lt;TODAY()-30),""Проверить: публикации старше 30 дней"",TRUE,""Готово""))"),"")</f>
        <v/>
      </c>
    </row>
    <row r="318" spans="1:13" ht="25.5" customHeight="1">
      <c r="A318" s="27"/>
      <c r="B318" s="28"/>
      <c r="C318" s="27"/>
      <c r="D318" s="29"/>
      <c r="E318" s="27"/>
      <c r="F318" s="27"/>
      <c r="G318" s="29"/>
      <c r="H318" s="30"/>
      <c r="I318" s="29"/>
      <c r="J318" s="28"/>
      <c r="K318" s="27"/>
      <c r="L318" s="29"/>
      <c r="M318" s="25" t="str">
        <f ca="1">IFERROR(__xludf.DUMMYFUNCTION("IF(COUNTA(A318:L318)=0,"""",IFS(OR(A318="""",B318="""",C318="""",D318="""",E318="""",F318="""",G318="""",H318="""",K318=""""),""Ошибка: обязательные поля"",NOT(REGEXMATCH(H318,""^https?://[^ /]+"")),""Ошибка: некорректная ссылка"",COUNTIF('Справочники'!$A"&amp;"$4:$A$24,C318)=0,""Ошибка: территория вне справочника"",K318=""Недоступен"",""Ошибка: ссылка недоступна"",E318=""Неофициальный источник"",IF(K318=""Активен"",""Готово"",""Проверить: активность""),COUNTIF($H$6:$H$504,H318)&gt;1,""Проверить: повтор URL"",I318&lt;"&amp;"&gt;""Подтверждено"",""Проверить: официальность / комментарий"",K318&lt;&gt;""Активен"",""Проверить: активность"",AND(ISNUMBER(J318),J318&lt;TODAY()-30),""Проверить: публикации старше 30 дней"",TRUE,""Готово""))"),"")</f>
        <v/>
      </c>
    </row>
    <row r="319" spans="1:13" ht="25.5" customHeight="1">
      <c r="A319" s="27"/>
      <c r="B319" s="28"/>
      <c r="C319" s="27"/>
      <c r="D319" s="29"/>
      <c r="E319" s="27"/>
      <c r="F319" s="27"/>
      <c r="G319" s="29"/>
      <c r="H319" s="30"/>
      <c r="I319" s="29"/>
      <c r="J319" s="28"/>
      <c r="K319" s="27"/>
      <c r="L319" s="29"/>
      <c r="M319" s="25" t="str">
        <f ca="1">IFERROR(__xludf.DUMMYFUNCTION("IF(COUNTA(A319:L319)=0,"""",IFS(OR(A319="""",B319="""",C319="""",D319="""",E319="""",F319="""",G319="""",H319="""",K319=""""),""Ошибка: обязательные поля"",NOT(REGEXMATCH(H319,""^https?://[^ /]+"")),""Ошибка: некорректная ссылка"",COUNTIF('Справочники'!$A"&amp;"$4:$A$24,C319)=0,""Ошибка: территория вне справочника"",K319=""Недоступен"",""Ошибка: ссылка недоступна"",E319=""Неофициальный источник"",IF(K319=""Активен"",""Готово"",""Проверить: активность""),COUNTIF($H$6:$H$504,H319)&gt;1,""Проверить: повтор URL"",I319&lt;"&amp;"&gt;""Подтверждено"",""Проверить: официальность / комментарий"",K319&lt;&gt;""Активен"",""Проверить: активность"",AND(ISNUMBER(J319),J319&lt;TODAY()-30),""Проверить: публикации старше 30 дней"",TRUE,""Готово""))"),"")</f>
        <v/>
      </c>
    </row>
    <row r="320" spans="1:13" ht="25.5" customHeight="1">
      <c r="A320" s="27"/>
      <c r="B320" s="28"/>
      <c r="C320" s="27"/>
      <c r="D320" s="29"/>
      <c r="E320" s="27"/>
      <c r="F320" s="27"/>
      <c r="G320" s="29"/>
      <c r="H320" s="30"/>
      <c r="I320" s="29"/>
      <c r="J320" s="28"/>
      <c r="K320" s="27"/>
      <c r="L320" s="29"/>
      <c r="M320" s="25" t="str">
        <f ca="1">IFERROR(__xludf.DUMMYFUNCTION("IF(COUNTA(A320:L320)=0,"""",IFS(OR(A320="""",B320="""",C320="""",D320="""",E320="""",F320="""",G320="""",H320="""",K320=""""),""Ошибка: обязательные поля"",NOT(REGEXMATCH(H320,""^https?://[^ /]+"")),""Ошибка: некорректная ссылка"",COUNTIF('Справочники'!$A"&amp;"$4:$A$24,C320)=0,""Ошибка: территория вне справочника"",K320=""Недоступен"",""Ошибка: ссылка недоступна"",E320=""Неофициальный источник"",IF(K320=""Активен"",""Готово"",""Проверить: активность""),COUNTIF($H$6:$H$504,H320)&gt;1,""Проверить: повтор URL"",I320&lt;"&amp;"&gt;""Подтверждено"",""Проверить: официальность / комментарий"",K320&lt;&gt;""Активен"",""Проверить: активность"",AND(ISNUMBER(J320),J320&lt;TODAY()-30),""Проверить: публикации старше 30 дней"",TRUE,""Готово""))"),"")</f>
        <v/>
      </c>
    </row>
    <row r="321" spans="1:13" ht="25.5" customHeight="1">
      <c r="A321" s="27"/>
      <c r="B321" s="28"/>
      <c r="C321" s="27"/>
      <c r="D321" s="29"/>
      <c r="E321" s="27"/>
      <c r="F321" s="27"/>
      <c r="G321" s="29"/>
      <c r="H321" s="30"/>
      <c r="I321" s="29"/>
      <c r="J321" s="28"/>
      <c r="K321" s="27"/>
      <c r="L321" s="29"/>
      <c r="M321" s="25" t="str">
        <f ca="1">IFERROR(__xludf.DUMMYFUNCTION("IF(COUNTA(A321:L321)=0,"""",IFS(OR(A321="""",B321="""",C321="""",D321="""",E321="""",F321="""",G321="""",H321="""",K321=""""),""Ошибка: обязательные поля"",NOT(REGEXMATCH(H321,""^https?://[^ /]+"")),""Ошибка: некорректная ссылка"",COUNTIF('Справочники'!$A"&amp;"$4:$A$24,C321)=0,""Ошибка: территория вне справочника"",K321=""Недоступен"",""Ошибка: ссылка недоступна"",E321=""Неофициальный источник"",IF(K321=""Активен"",""Готово"",""Проверить: активность""),COUNTIF($H$6:$H$504,H321)&gt;1,""Проверить: повтор URL"",I321&lt;"&amp;"&gt;""Подтверждено"",""Проверить: официальность / комментарий"",K321&lt;&gt;""Активен"",""Проверить: активность"",AND(ISNUMBER(J321),J321&lt;TODAY()-30),""Проверить: публикации старше 30 дней"",TRUE,""Готово""))"),"")</f>
        <v/>
      </c>
    </row>
    <row r="322" spans="1:13" ht="25.5" customHeight="1">
      <c r="A322" s="27"/>
      <c r="B322" s="28"/>
      <c r="C322" s="27"/>
      <c r="D322" s="29"/>
      <c r="E322" s="27"/>
      <c r="F322" s="27"/>
      <c r="G322" s="29"/>
      <c r="H322" s="30"/>
      <c r="I322" s="29"/>
      <c r="J322" s="28"/>
      <c r="K322" s="27"/>
      <c r="L322" s="29"/>
      <c r="M322" s="25" t="str">
        <f ca="1">IFERROR(__xludf.DUMMYFUNCTION("IF(COUNTA(A322:L322)=0,"""",IFS(OR(A322="""",B322="""",C322="""",D322="""",E322="""",F322="""",G322="""",H322="""",K322=""""),""Ошибка: обязательные поля"",NOT(REGEXMATCH(H322,""^https?://[^ /]+"")),""Ошибка: некорректная ссылка"",COUNTIF('Справочники'!$A"&amp;"$4:$A$24,C322)=0,""Ошибка: территория вне справочника"",K322=""Недоступен"",""Ошибка: ссылка недоступна"",E322=""Неофициальный источник"",IF(K322=""Активен"",""Готово"",""Проверить: активность""),COUNTIF($H$6:$H$504,H322)&gt;1,""Проверить: повтор URL"",I322&lt;"&amp;"&gt;""Подтверждено"",""Проверить: официальность / комментарий"",K322&lt;&gt;""Активен"",""Проверить: активность"",AND(ISNUMBER(J322),J322&lt;TODAY()-30),""Проверить: публикации старше 30 дней"",TRUE,""Готово""))"),"")</f>
        <v/>
      </c>
    </row>
    <row r="323" spans="1:13" ht="25.5" customHeight="1">
      <c r="A323" s="27"/>
      <c r="B323" s="28"/>
      <c r="C323" s="27"/>
      <c r="D323" s="29"/>
      <c r="E323" s="27"/>
      <c r="F323" s="27"/>
      <c r="G323" s="29"/>
      <c r="H323" s="30"/>
      <c r="I323" s="29"/>
      <c r="J323" s="28"/>
      <c r="K323" s="27"/>
      <c r="L323" s="29"/>
      <c r="M323" s="25" t="str">
        <f ca="1">IFERROR(__xludf.DUMMYFUNCTION("IF(COUNTA(A323:L323)=0,"""",IFS(OR(A323="""",B323="""",C323="""",D323="""",E323="""",F323="""",G323="""",H323="""",K323=""""),""Ошибка: обязательные поля"",NOT(REGEXMATCH(H323,""^https?://[^ /]+"")),""Ошибка: некорректная ссылка"",COUNTIF('Справочники'!$A"&amp;"$4:$A$24,C323)=0,""Ошибка: территория вне справочника"",K323=""Недоступен"",""Ошибка: ссылка недоступна"",E323=""Неофициальный источник"",IF(K323=""Активен"",""Готово"",""Проверить: активность""),COUNTIF($H$6:$H$504,H323)&gt;1,""Проверить: повтор URL"",I323&lt;"&amp;"&gt;""Подтверждено"",""Проверить: официальность / комментарий"",K323&lt;&gt;""Активен"",""Проверить: активность"",AND(ISNUMBER(J323),J323&lt;TODAY()-30),""Проверить: публикации старше 30 дней"",TRUE,""Готово""))"),"")</f>
        <v/>
      </c>
    </row>
    <row r="324" spans="1:13" ht="25.5" customHeight="1">
      <c r="A324" s="27"/>
      <c r="B324" s="28"/>
      <c r="C324" s="27"/>
      <c r="D324" s="29"/>
      <c r="E324" s="27"/>
      <c r="F324" s="27"/>
      <c r="G324" s="29"/>
      <c r="H324" s="30"/>
      <c r="I324" s="29"/>
      <c r="J324" s="28"/>
      <c r="K324" s="27"/>
      <c r="L324" s="29"/>
      <c r="M324" s="25" t="str">
        <f ca="1">IFERROR(__xludf.DUMMYFUNCTION("IF(COUNTA(A324:L324)=0,"""",IFS(OR(A324="""",B324="""",C324="""",D324="""",E324="""",F324="""",G324="""",H324="""",K324=""""),""Ошибка: обязательные поля"",NOT(REGEXMATCH(H324,""^https?://[^ /]+"")),""Ошибка: некорректная ссылка"",COUNTIF('Справочники'!$A"&amp;"$4:$A$24,C324)=0,""Ошибка: территория вне справочника"",K324=""Недоступен"",""Ошибка: ссылка недоступна"",E324=""Неофициальный источник"",IF(K324=""Активен"",""Готово"",""Проверить: активность""),COUNTIF($H$6:$H$504,H324)&gt;1,""Проверить: повтор URL"",I324&lt;"&amp;"&gt;""Подтверждено"",""Проверить: официальность / комментарий"",K324&lt;&gt;""Активен"",""Проверить: активность"",AND(ISNUMBER(J324),J324&lt;TODAY()-30),""Проверить: публикации старше 30 дней"",TRUE,""Готово""))"),"")</f>
        <v/>
      </c>
    </row>
    <row r="325" spans="1:13" ht="25.5" customHeight="1">
      <c r="A325" s="27"/>
      <c r="B325" s="28"/>
      <c r="C325" s="27"/>
      <c r="D325" s="29"/>
      <c r="E325" s="27"/>
      <c r="F325" s="27"/>
      <c r="G325" s="29"/>
      <c r="H325" s="30"/>
      <c r="I325" s="29"/>
      <c r="J325" s="28"/>
      <c r="K325" s="27"/>
      <c r="L325" s="29"/>
      <c r="M325" s="25" t="str">
        <f ca="1">IFERROR(__xludf.DUMMYFUNCTION("IF(COUNTA(A325:L325)=0,"""",IFS(OR(A325="""",B325="""",C325="""",D325="""",E325="""",F325="""",G325="""",H325="""",K325=""""),""Ошибка: обязательные поля"",NOT(REGEXMATCH(H325,""^https?://[^ /]+"")),""Ошибка: некорректная ссылка"",COUNTIF('Справочники'!$A"&amp;"$4:$A$24,C325)=0,""Ошибка: территория вне справочника"",K325=""Недоступен"",""Ошибка: ссылка недоступна"",E325=""Неофициальный источник"",IF(K325=""Активен"",""Готово"",""Проверить: активность""),COUNTIF($H$6:$H$504,H325)&gt;1,""Проверить: повтор URL"",I325&lt;"&amp;"&gt;""Подтверждено"",""Проверить: официальность / комментарий"",K325&lt;&gt;""Активен"",""Проверить: активность"",AND(ISNUMBER(J325),J325&lt;TODAY()-30),""Проверить: публикации старше 30 дней"",TRUE,""Готово""))"),"")</f>
        <v/>
      </c>
    </row>
    <row r="326" spans="1:13" ht="25.5" customHeight="1">
      <c r="A326" s="27"/>
      <c r="B326" s="28"/>
      <c r="C326" s="27"/>
      <c r="D326" s="29"/>
      <c r="E326" s="27"/>
      <c r="F326" s="27"/>
      <c r="G326" s="29"/>
      <c r="H326" s="30"/>
      <c r="I326" s="29"/>
      <c r="J326" s="28"/>
      <c r="K326" s="27"/>
      <c r="L326" s="29"/>
      <c r="M326" s="25" t="str">
        <f ca="1">IFERROR(__xludf.DUMMYFUNCTION("IF(COUNTA(A326:L326)=0,"""",IFS(OR(A326="""",B326="""",C326="""",D326="""",E326="""",F326="""",G326="""",H326="""",K326=""""),""Ошибка: обязательные поля"",NOT(REGEXMATCH(H326,""^https?://[^ /]+"")),""Ошибка: некорректная ссылка"",COUNTIF('Справочники'!$A"&amp;"$4:$A$24,C326)=0,""Ошибка: территория вне справочника"",K326=""Недоступен"",""Ошибка: ссылка недоступна"",E326=""Неофициальный источник"",IF(K326=""Активен"",""Готово"",""Проверить: активность""),COUNTIF($H$6:$H$504,H326)&gt;1,""Проверить: повтор URL"",I326&lt;"&amp;"&gt;""Подтверждено"",""Проверить: официальность / комментарий"",K326&lt;&gt;""Активен"",""Проверить: активность"",AND(ISNUMBER(J326),J326&lt;TODAY()-30),""Проверить: публикации старше 30 дней"",TRUE,""Готово""))"),"")</f>
        <v/>
      </c>
    </row>
    <row r="327" spans="1:13" ht="25.5" customHeight="1">
      <c r="A327" s="27"/>
      <c r="B327" s="28"/>
      <c r="C327" s="27"/>
      <c r="D327" s="29"/>
      <c r="E327" s="27"/>
      <c r="F327" s="27"/>
      <c r="G327" s="29"/>
      <c r="H327" s="30"/>
      <c r="I327" s="29"/>
      <c r="J327" s="28"/>
      <c r="K327" s="27"/>
      <c r="L327" s="29"/>
      <c r="M327" s="25" t="str">
        <f ca="1">IFERROR(__xludf.DUMMYFUNCTION("IF(COUNTA(A327:L327)=0,"""",IFS(OR(A327="""",B327="""",C327="""",D327="""",E327="""",F327="""",G327="""",H327="""",K327=""""),""Ошибка: обязательные поля"",NOT(REGEXMATCH(H327,""^https?://[^ /]+"")),""Ошибка: некорректная ссылка"",COUNTIF('Справочники'!$A"&amp;"$4:$A$24,C327)=0,""Ошибка: территория вне справочника"",K327=""Недоступен"",""Ошибка: ссылка недоступна"",E327=""Неофициальный источник"",IF(K327=""Активен"",""Готово"",""Проверить: активность""),COUNTIF($H$6:$H$504,H327)&gt;1,""Проверить: повтор URL"",I327&lt;"&amp;"&gt;""Подтверждено"",""Проверить: официальность / комментарий"",K327&lt;&gt;""Активен"",""Проверить: активность"",AND(ISNUMBER(J327),J327&lt;TODAY()-30),""Проверить: публикации старше 30 дней"",TRUE,""Готово""))"),"")</f>
        <v/>
      </c>
    </row>
    <row r="328" spans="1:13" ht="25.5" customHeight="1">
      <c r="A328" s="27"/>
      <c r="B328" s="28"/>
      <c r="C328" s="27"/>
      <c r="D328" s="29"/>
      <c r="E328" s="27"/>
      <c r="F328" s="27"/>
      <c r="G328" s="29"/>
      <c r="H328" s="30"/>
      <c r="I328" s="29"/>
      <c r="J328" s="28"/>
      <c r="K328" s="27"/>
      <c r="L328" s="29"/>
      <c r="M328" s="25" t="str">
        <f ca="1">IFERROR(__xludf.DUMMYFUNCTION("IF(COUNTA(A328:L328)=0,"""",IFS(OR(A328="""",B328="""",C328="""",D328="""",E328="""",F328="""",G328="""",H328="""",K328=""""),""Ошибка: обязательные поля"",NOT(REGEXMATCH(H328,""^https?://[^ /]+"")),""Ошибка: некорректная ссылка"",COUNTIF('Справочники'!$A"&amp;"$4:$A$24,C328)=0,""Ошибка: территория вне справочника"",K328=""Недоступен"",""Ошибка: ссылка недоступна"",E328=""Неофициальный источник"",IF(K328=""Активен"",""Готово"",""Проверить: активность""),COUNTIF($H$6:$H$504,H328)&gt;1,""Проверить: повтор URL"",I328&lt;"&amp;"&gt;""Подтверждено"",""Проверить: официальность / комментарий"",K328&lt;&gt;""Активен"",""Проверить: активность"",AND(ISNUMBER(J328),J328&lt;TODAY()-30),""Проверить: публикации старше 30 дней"",TRUE,""Готово""))"),"")</f>
        <v/>
      </c>
    </row>
    <row r="329" spans="1:13" ht="25.5" customHeight="1">
      <c r="A329" s="27"/>
      <c r="B329" s="28"/>
      <c r="C329" s="27"/>
      <c r="D329" s="29"/>
      <c r="E329" s="27"/>
      <c r="F329" s="27"/>
      <c r="G329" s="29"/>
      <c r="H329" s="30"/>
      <c r="I329" s="29"/>
      <c r="J329" s="28"/>
      <c r="K329" s="27"/>
      <c r="L329" s="29"/>
      <c r="M329" s="25" t="str">
        <f ca="1">IFERROR(__xludf.DUMMYFUNCTION("IF(COUNTA(A329:L329)=0,"""",IFS(OR(A329="""",B329="""",C329="""",D329="""",E329="""",F329="""",G329="""",H329="""",K329=""""),""Ошибка: обязательные поля"",NOT(REGEXMATCH(H329,""^https?://[^ /]+"")),""Ошибка: некорректная ссылка"",COUNTIF('Справочники'!$A"&amp;"$4:$A$24,C329)=0,""Ошибка: территория вне справочника"",K329=""Недоступен"",""Ошибка: ссылка недоступна"",E329=""Неофициальный источник"",IF(K329=""Активен"",""Готово"",""Проверить: активность""),COUNTIF($H$6:$H$504,H329)&gt;1,""Проверить: повтор URL"",I329&lt;"&amp;"&gt;""Подтверждено"",""Проверить: официальность / комментарий"",K329&lt;&gt;""Активен"",""Проверить: активность"",AND(ISNUMBER(J329),J329&lt;TODAY()-30),""Проверить: публикации старше 30 дней"",TRUE,""Готово""))"),"")</f>
        <v/>
      </c>
    </row>
    <row r="330" spans="1:13" ht="25.5" customHeight="1">
      <c r="A330" s="27"/>
      <c r="B330" s="28"/>
      <c r="C330" s="27"/>
      <c r="D330" s="29"/>
      <c r="E330" s="27"/>
      <c r="F330" s="27"/>
      <c r="G330" s="29"/>
      <c r="H330" s="30"/>
      <c r="I330" s="29"/>
      <c r="J330" s="28"/>
      <c r="K330" s="27"/>
      <c r="L330" s="29"/>
      <c r="M330" s="25" t="str">
        <f ca="1">IFERROR(__xludf.DUMMYFUNCTION("IF(COUNTA(A330:L330)=0,"""",IFS(OR(A330="""",B330="""",C330="""",D330="""",E330="""",F330="""",G330="""",H330="""",K330=""""),""Ошибка: обязательные поля"",NOT(REGEXMATCH(H330,""^https?://[^ /]+"")),""Ошибка: некорректная ссылка"",COUNTIF('Справочники'!$A"&amp;"$4:$A$24,C330)=0,""Ошибка: территория вне справочника"",K330=""Недоступен"",""Ошибка: ссылка недоступна"",E330=""Неофициальный источник"",IF(K330=""Активен"",""Готово"",""Проверить: активность""),COUNTIF($H$6:$H$504,H330)&gt;1,""Проверить: повтор URL"",I330&lt;"&amp;"&gt;""Подтверждено"",""Проверить: официальность / комментарий"",K330&lt;&gt;""Активен"",""Проверить: активность"",AND(ISNUMBER(J330),J330&lt;TODAY()-30),""Проверить: публикации старше 30 дней"",TRUE,""Готово""))"),"")</f>
        <v/>
      </c>
    </row>
    <row r="331" spans="1:13" ht="25.5" customHeight="1">
      <c r="A331" s="27"/>
      <c r="B331" s="28"/>
      <c r="C331" s="27"/>
      <c r="D331" s="29"/>
      <c r="E331" s="27"/>
      <c r="F331" s="27"/>
      <c r="G331" s="29"/>
      <c r="H331" s="30"/>
      <c r="I331" s="29"/>
      <c r="J331" s="28"/>
      <c r="K331" s="27"/>
      <c r="L331" s="29"/>
      <c r="M331" s="25" t="str">
        <f ca="1">IFERROR(__xludf.DUMMYFUNCTION("IF(COUNTA(A331:L331)=0,"""",IFS(OR(A331="""",B331="""",C331="""",D331="""",E331="""",F331="""",G331="""",H331="""",K331=""""),""Ошибка: обязательные поля"",NOT(REGEXMATCH(H331,""^https?://[^ /]+"")),""Ошибка: некорректная ссылка"",COUNTIF('Справочники'!$A"&amp;"$4:$A$24,C331)=0,""Ошибка: территория вне справочника"",K331=""Недоступен"",""Ошибка: ссылка недоступна"",E331=""Неофициальный источник"",IF(K331=""Активен"",""Готово"",""Проверить: активность""),COUNTIF($H$6:$H$504,H331)&gt;1,""Проверить: повтор URL"",I331&lt;"&amp;"&gt;""Подтверждено"",""Проверить: официальность / комментарий"",K331&lt;&gt;""Активен"",""Проверить: активность"",AND(ISNUMBER(J331),J331&lt;TODAY()-30),""Проверить: публикации старше 30 дней"",TRUE,""Готово""))"),"")</f>
        <v/>
      </c>
    </row>
    <row r="332" spans="1:13" ht="25.5" customHeight="1">
      <c r="A332" s="27"/>
      <c r="B332" s="28"/>
      <c r="C332" s="27"/>
      <c r="D332" s="29"/>
      <c r="E332" s="27"/>
      <c r="F332" s="27"/>
      <c r="G332" s="29"/>
      <c r="H332" s="30"/>
      <c r="I332" s="29"/>
      <c r="J332" s="28"/>
      <c r="K332" s="27"/>
      <c r="L332" s="29"/>
      <c r="M332" s="25" t="str">
        <f ca="1">IFERROR(__xludf.DUMMYFUNCTION("IF(COUNTA(A332:L332)=0,"""",IFS(OR(A332="""",B332="""",C332="""",D332="""",E332="""",F332="""",G332="""",H332="""",K332=""""),""Ошибка: обязательные поля"",NOT(REGEXMATCH(H332,""^https?://[^ /]+"")),""Ошибка: некорректная ссылка"",COUNTIF('Справочники'!$A"&amp;"$4:$A$24,C332)=0,""Ошибка: территория вне справочника"",K332=""Недоступен"",""Ошибка: ссылка недоступна"",E332=""Неофициальный источник"",IF(K332=""Активен"",""Готово"",""Проверить: активность""),COUNTIF($H$6:$H$504,H332)&gt;1,""Проверить: повтор URL"",I332&lt;"&amp;"&gt;""Подтверждено"",""Проверить: официальность / комментарий"",K332&lt;&gt;""Активен"",""Проверить: активность"",AND(ISNUMBER(J332),J332&lt;TODAY()-30),""Проверить: публикации старше 30 дней"",TRUE,""Готово""))"),"")</f>
        <v/>
      </c>
    </row>
    <row r="333" spans="1:13" ht="25.5" customHeight="1">
      <c r="A333" s="27"/>
      <c r="B333" s="28"/>
      <c r="C333" s="27"/>
      <c r="D333" s="29"/>
      <c r="E333" s="27"/>
      <c r="F333" s="27"/>
      <c r="G333" s="29"/>
      <c r="H333" s="30"/>
      <c r="I333" s="29"/>
      <c r="J333" s="28"/>
      <c r="K333" s="27"/>
      <c r="L333" s="29"/>
      <c r="M333" s="25" t="str">
        <f ca="1">IFERROR(__xludf.DUMMYFUNCTION("IF(COUNTA(A333:L333)=0,"""",IFS(OR(A333="""",B333="""",C333="""",D333="""",E333="""",F333="""",G333="""",H333="""",K333=""""),""Ошибка: обязательные поля"",NOT(REGEXMATCH(H333,""^https?://[^ /]+"")),""Ошибка: некорректная ссылка"",COUNTIF('Справочники'!$A"&amp;"$4:$A$24,C333)=0,""Ошибка: территория вне справочника"",K333=""Недоступен"",""Ошибка: ссылка недоступна"",E333=""Неофициальный источник"",IF(K333=""Активен"",""Готово"",""Проверить: активность""),COUNTIF($H$6:$H$504,H333)&gt;1,""Проверить: повтор URL"",I333&lt;"&amp;"&gt;""Подтверждено"",""Проверить: официальность / комментарий"",K333&lt;&gt;""Активен"",""Проверить: активность"",AND(ISNUMBER(J333),J333&lt;TODAY()-30),""Проверить: публикации старше 30 дней"",TRUE,""Готово""))"),"")</f>
        <v/>
      </c>
    </row>
    <row r="334" spans="1:13" ht="25.5" customHeight="1">
      <c r="A334" s="27"/>
      <c r="B334" s="28"/>
      <c r="C334" s="27"/>
      <c r="D334" s="29"/>
      <c r="E334" s="27"/>
      <c r="F334" s="27"/>
      <c r="G334" s="29"/>
      <c r="H334" s="30"/>
      <c r="I334" s="29"/>
      <c r="J334" s="28"/>
      <c r="K334" s="27"/>
      <c r="L334" s="29"/>
      <c r="M334" s="25" t="str">
        <f ca="1">IFERROR(__xludf.DUMMYFUNCTION("IF(COUNTA(A334:L334)=0,"""",IFS(OR(A334="""",B334="""",C334="""",D334="""",E334="""",F334="""",G334="""",H334="""",K334=""""),""Ошибка: обязательные поля"",NOT(REGEXMATCH(H334,""^https?://[^ /]+"")),""Ошибка: некорректная ссылка"",COUNTIF('Справочники'!$A"&amp;"$4:$A$24,C334)=0,""Ошибка: территория вне справочника"",K334=""Недоступен"",""Ошибка: ссылка недоступна"",E334=""Неофициальный источник"",IF(K334=""Активен"",""Готово"",""Проверить: активность""),COUNTIF($H$6:$H$504,H334)&gt;1,""Проверить: повтор URL"",I334&lt;"&amp;"&gt;""Подтверждено"",""Проверить: официальность / комментарий"",K334&lt;&gt;""Активен"",""Проверить: активность"",AND(ISNUMBER(J334),J334&lt;TODAY()-30),""Проверить: публикации старше 30 дней"",TRUE,""Готово""))"),"")</f>
        <v/>
      </c>
    </row>
    <row r="335" spans="1:13" ht="25.5" customHeight="1">
      <c r="A335" s="27"/>
      <c r="B335" s="28"/>
      <c r="C335" s="27"/>
      <c r="D335" s="29"/>
      <c r="E335" s="27"/>
      <c r="F335" s="27"/>
      <c r="G335" s="29"/>
      <c r="H335" s="30"/>
      <c r="I335" s="29"/>
      <c r="J335" s="28"/>
      <c r="K335" s="27"/>
      <c r="L335" s="29"/>
      <c r="M335" s="25" t="str">
        <f ca="1">IFERROR(__xludf.DUMMYFUNCTION("IF(COUNTA(A335:L335)=0,"""",IFS(OR(A335="""",B335="""",C335="""",D335="""",E335="""",F335="""",G335="""",H335="""",K335=""""),""Ошибка: обязательные поля"",NOT(REGEXMATCH(H335,""^https?://[^ /]+"")),""Ошибка: некорректная ссылка"",COUNTIF('Справочники'!$A"&amp;"$4:$A$24,C335)=0,""Ошибка: территория вне справочника"",K335=""Недоступен"",""Ошибка: ссылка недоступна"",E335=""Неофициальный источник"",IF(K335=""Активен"",""Готово"",""Проверить: активность""),COUNTIF($H$6:$H$504,H335)&gt;1,""Проверить: повтор URL"",I335&lt;"&amp;"&gt;""Подтверждено"",""Проверить: официальность / комментарий"",K335&lt;&gt;""Активен"",""Проверить: активность"",AND(ISNUMBER(J335),J335&lt;TODAY()-30),""Проверить: публикации старше 30 дней"",TRUE,""Готово""))"),"")</f>
        <v/>
      </c>
    </row>
    <row r="336" spans="1:13" ht="25.5" customHeight="1">
      <c r="A336" s="27"/>
      <c r="B336" s="28"/>
      <c r="C336" s="27"/>
      <c r="D336" s="29"/>
      <c r="E336" s="27"/>
      <c r="F336" s="27"/>
      <c r="G336" s="29"/>
      <c r="H336" s="30"/>
      <c r="I336" s="29"/>
      <c r="J336" s="28"/>
      <c r="K336" s="27"/>
      <c r="L336" s="29"/>
      <c r="M336" s="25" t="str">
        <f ca="1">IFERROR(__xludf.DUMMYFUNCTION("IF(COUNTA(A336:L336)=0,"""",IFS(OR(A336="""",B336="""",C336="""",D336="""",E336="""",F336="""",G336="""",H336="""",K336=""""),""Ошибка: обязательные поля"",NOT(REGEXMATCH(H336,""^https?://[^ /]+"")),""Ошибка: некорректная ссылка"",COUNTIF('Справочники'!$A"&amp;"$4:$A$24,C336)=0,""Ошибка: территория вне справочника"",K336=""Недоступен"",""Ошибка: ссылка недоступна"",E336=""Неофициальный источник"",IF(K336=""Активен"",""Готово"",""Проверить: активность""),COUNTIF($H$6:$H$504,H336)&gt;1,""Проверить: повтор URL"",I336&lt;"&amp;"&gt;""Подтверждено"",""Проверить: официальность / комментарий"",K336&lt;&gt;""Активен"",""Проверить: активность"",AND(ISNUMBER(J336),J336&lt;TODAY()-30),""Проверить: публикации старше 30 дней"",TRUE,""Готово""))"),"")</f>
        <v/>
      </c>
    </row>
    <row r="337" spans="1:13" ht="25.5" customHeight="1">
      <c r="A337" s="27"/>
      <c r="B337" s="28"/>
      <c r="C337" s="27"/>
      <c r="D337" s="29"/>
      <c r="E337" s="27"/>
      <c r="F337" s="27"/>
      <c r="G337" s="29"/>
      <c r="H337" s="30"/>
      <c r="I337" s="29"/>
      <c r="J337" s="28"/>
      <c r="K337" s="27"/>
      <c r="L337" s="29"/>
      <c r="M337" s="25" t="str">
        <f ca="1">IFERROR(__xludf.DUMMYFUNCTION("IF(COUNTA(A337:L337)=0,"""",IFS(OR(A337="""",B337="""",C337="""",D337="""",E337="""",F337="""",G337="""",H337="""",K337=""""),""Ошибка: обязательные поля"",NOT(REGEXMATCH(H337,""^https?://[^ /]+"")),""Ошибка: некорректная ссылка"",COUNTIF('Справочники'!$A"&amp;"$4:$A$24,C337)=0,""Ошибка: территория вне справочника"",K337=""Недоступен"",""Ошибка: ссылка недоступна"",E337=""Неофициальный источник"",IF(K337=""Активен"",""Готово"",""Проверить: активность""),COUNTIF($H$6:$H$504,H337)&gt;1,""Проверить: повтор URL"",I337&lt;"&amp;"&gt;""Подтверждено"",""Проверить: официальность / комментарий"",K337&lt;&gt;""Активен"",""Проверить: активность"",AND(ISNUMBER(J337),J337&lt;TODAY()-30),""Проверить: публикации старше 30 дней"",TRUE,""Готово""))"),"")</f>
        <v/>
      </c>
    </row>
    <row r="338" spans="1:13" ht="25.5" customHeight="1">
      <c r="A338" s="27"/>
      <c r="B338" s="28"/>
      <c r="C338" s="27"/>
      <c r="D338" s="29"/>
      <c r="E338" s="27"/>
      <c r="F338" s="27"/>
      <c r="G338" s="29"/>
      <c r="H338" s="30"/>
      <c r="I338" s="29"/>
      <c r="J338" s="28"/>
      <c r="K338" s="27"/>
      <c r="L338" s="29"/>
      <c r="M338" s="25" t="str">
        <f ca="1">IFERROR(__xludf.DUMMYFUNCTION("IF(COUNTA(A338:L338)=0,"""",IFS(OR(A338="""",B338="""",C338="""",D338="""",E338="""",F338="""",G338="""",H338="""",K338=""""),""Ошибка: обязательные поля"",NOT(REGEXMATCH(H338,""^https?://[^ /]+"")),""Ошибка: некорректная ссылка"",COUNTIF('Справочники'!$A"&amp;"$4:$A$24,C338)=0,""Ошибка: территория вне справочника"",K338=""Недоступен"",""Ошибка: ссылка недоступна"",E338=""Неофициальный источник"",IF(K338=""Активен"",""Готово"",""Проверить: активность""),COUNTIF($H$6:$H$504,H338)&gt;1,""Проверить: повтор URL"",I338&lt;"&amp;"&gt;""Подтверждено"",""Проверить: официальность / комментарий"",K338&lt;&gt;""Активен"",""Проверить: активность"",AND(ISNUMBER(J338),J338&lt;TODAY()-30),""Проверить: публикации старше 30 дней"",TRUE,""Готово""))"),"")</f>
        <v/>
      </c>
    </row>
    <row r="339" spans="1:13" ht="25.5" customHeight="1">
      <c r="A339" s="27"/>
      <c r="B339" s="28"/>
      <c r="C339" s="27"/>
      <c r="D339" s="29"/>
      <c r="E339" s="27"/>
      <c r="F339" s="27"/>
      <c r="G339" s="29"/>
      <c r="H339" s="30"/>
      <c r="I339" s="29"/>
      <c r="J339" s="28"/>
      <c r="K339" s="27"/>
      <c r="L339" s="29"/>
      <c r="M339" s="25" t="str">
        <f ca="1">IFERROR(__xludf.DUMMYFUNCTION("IF(COUNTA(A339:L339)=0,"""",IFS(OR(A339="""",B339="""",C339="""",D339="""",E339="""",F339="""",G339="""",H339="""",K339=""""),""Ошибка: обязательные поля"",NOT(REGEXMATCH(H339,""^https?://[^ /]+"")),""Ошибка: некорректная ссылка"",COUNTIF('Справочники'!$A"&amp;"$4:$A$24,C339)=0,""Ошибка: территория вне справочника"",K339=""Недоступен"",""Ошибка: ссылка недоступна"",E339=""Неофициальный источник"",IF(K339=""Активен"",""Готово"",""Проверить: активность""),COUNTIF($H$6:$H$504,H339)&gt;1,""Проверить: повтор URL"",I339&lt;"&amp;"&gt;""Подтверждено"",""Проверить: официальность / комментарий"",K339&lt;&gt;""Активен"",""Проверить: активность"",AND(ISNUMBER(J339),J339&lt;TODAY()-30),""Проверить: публикации старше 30 дней"",TRUE,""Готово""))"),"")</f>
        <v/>
      </c>
    </row>
    <row r="340" spans="1:13" ht="25.5" customHeight="1">
      <c r="A340" s="27"/>
      <c r="B340" s="28"/>
      <c r="C340" s="27"/>
      <c r="D340" s="29"/>
      <c r="E340" s="27"/>
      <c r="F340" s="27"/>
      <c r="G340" s="29"/>
      <c r="H340" s="30"/>
      <c r="I340" s="29"/>
      <c r="J340" s="28"/>
      <c r="K340" s="27"/>
      <c r="L340" s="29"/>
      <c r="M340" s="25" t="str">
        <f ca="1">IFERROR(__xludf.DUMMYFUNCTION("IF(COUNTA(A340:L340)=0,"""",IFS(OR(A340="""",B340="""",C340="""",D340="""",E340="""",F340="""",G340="""",H340="""",K340=""""),""Ошибка: обязательные поля"",NOT(REGEXMATCH(H340,""^https?://[^ /]+"")),""Ошибка: некорректная ссылка"",COUNTIF('Справочники'!$A"&amp;"$4:$A$24,C340)=0,""Ошибка: территория вне справочника"",K340=""Недоступен"",""Ошибка: ссылка недоступна"",E340=""Неофициальный источник"",IF(K340=""Активен"",""Готово"",""Проверить: активность""),COUNTIF($H$6:$H$504,H340)&gt;1,""Проверить: повтор URL"",I340&lt;"&amp;"&gt;""Подтверждено"",""Проверить: официальность / комментарий"",K340&lt;&gt;""Активен"",""Проверить: активность"",AND(ISNUMBER(J340),J340&lt;TODAY()-30),""Проверить: публикации старше 30 дней"",TRUE,""Готово""))"),"")</f>
        <v/>
      </c>
    </row>
    <row r="341" spans="1:13" ht="25.5" customHeight="1">
      <c r="A341" s="27"/>
      <c r="B341" s="28"/>
      <c r="C341" s="27"/>
      <c r="D341" s="29"/>
      <c r="E341" s="27"/>
      <c r="F341" s="27"/>
      <c r="G341" s="29"/>
      <c r="H341" s="30"/>
      <c r="I341" s="29"/>
      <c r="J341" s="28"/>
      <c r="K341" s="27"/>
      <c r="L341" s="29"/>
      <c r="M341" s="25" t="str">
        <f ca="1">IFERROR(__xludf.DUMMYFUNCTION("IF(COUNTA(A341:L341)=0,"""",IFS(OR(A341="""",B341="""",C341="""",D341="""",E341="""",F341="""",G341="""",H341="""",K341=""""),""Ошибка: обязательные поля"",NOT(REGEXMATCH(H341,""^https?://[^ /]+"")),""Ошибка: некорректная ссылка"",COUNTIF('Справочники'!$A"&amp;"$4:$A$24,C341)=0,""Ошибка: территория вне справочника"",K341=""Недоступен"",""Ошибка: ссылка недоступна"",E341=""Неофициальный источник"",IF(K341=""Активен"",""Готово"",""Проверить: активность""),COUNTIF($H$6:$H$504,H341)&gt;1,""Проверить: повтор URL"",I341&lt;"&amp;"&gt;""Подтверждено"",""Проверить: официальность / комментарий"",K341&lt;&gt;""Активен"",""Проверить: активность"",AND(ISNUMBER(J341),J341&lt;TODAY()-30),""Проверить: публикации старше 30 дней"",TRUE,""Готово""))"),"")</f>
        <v/>
      </c>
    </row>
    <row r="342" spans="1:13" ht="25.5" customHeight="1">
      <c r="A342" s="27"/>
      <c r="B342" s="28"/>
      <c r="C342" s="27"/>
      <c r="D342" s="29"/>
      <c r="E342" s="27"/>
      <c r="F342" s="27"/>
      <c r="G342" s="29"/>
      <c r="H342" s="30"/>
      <c r="I342" s="29"/>
      <c r="J342" s="28"/>
      <c r="K342" s="27"/>
      <c r="L342" s="29"/>
      <c r="M342" s="25" t="str">
        <f ca="1">IFERROR(__xludf.DUMMYFUNCTION("IF(COUNTA(A342:L342)=0,"""",IFS(OR(A342="""",B342="""",C342="""",D342="""",E342="""",F342="""",G342="""",H342="""",K342=""""),""Ошибка: обязательные поля"",NOT(REGEXMATCH(H342,""^https?://[^ /]+"")),""Ошибка: некорректная ссылка"",COUNTIF('Справочники'!$A"&amp;"$4:$A$24,C342)=0,""Ошибка: территория вне справочника"",K342=""Недоступен"",""Ошибка: ссылка недоступна"",E342=""Неофициальный источник"",IF(K342=""Активен"",""Готово"",""Проверить: активность""),COUNTIF($H$6:$H$504,H342)&gt;1,""Проверить: повтор URL"",I342&lt;"&amp;"&gt;""Подтверждено"",""Проверить: официальность / комментарий"",K342&lt;&gt;""Активен"",""Проверить: активность"",AND(ISNUMBER(J342),J342&lt;TODAY()-30),""Проверить: публикации старше 30 дней"",TRUE,""Готово""))"),"")</f>
        <v/>
      </c>
    </row>
    <row r="343" spans="1:13" ht="25.5" customHeight="1">
      <c r="A343" s="27"/>
      <c r="B343" s="28"/>
      <c r="C343" s="27"/>
      <c r="D343" s="29"/>
      <c r="E343" s="27"/>
      <c r="F343" s="27"/>
      <c r="G343" s="29"/>
      <c r="H343" s="30"/>
      <c r="I343" s="29"/>
      <c r="J343" s="28"/>
      <c r="K343" s="27"/>
      <c r="L343" s="29"/>
      <c r="M343" s="25" t="str">
        <f ca="1">IFERROR(__xludf.DUMMYFUNCTION("IF(COUNTA(A343:L343)=0,"""",IFS(OR(A343="""",B343="""",C343="""",D343="""",E343="""",F343="""",G343="""",H343="""",K343=""""),""Ошибка: обязательные поля"",NOT(REGEXMATCH(H343,""^https?://[^ /]+"")),""Ошибка: некорректная ссылка"",COUNTIF('Справочники'!$A"&amp;"$4:$A$24,C343)=0,""Ошибка: территория вне справочника"",K343=""Недоступен"",""Ошибка: ссылка недоступна"",E343=""Неофициальный источник"",IF(K343=""Активен"",""Готово"",""Проверить: активность""),COUNTIF($H$6:$H$504,H343)&gt;1,""Проверить: повтор URL"",I343&lt;"&amp;"&gt;""Подтверждено"",""Проверить: официальность / комментарий"",K343&lt;&gt;""Активен"",""Проверить: активность"",AND(ISNUMBER(J343),J343&lt;TODAY()-30),""Проверить: публикации старше 30 дней"",TRUE,""Готово""))"),"")</f>
        <v/>
      </c>
    </row>
    <row r="344" spans="1:13" ht="25.5" customHeight="1">
      <c r="A344" s="27"/>
      <c r="B344" s="28"/>
      <c r="C344" s="27"/>
      <c r="D344" s="29"/>
      <c r="E344" s="27"/>
      <c r="F344" s="27"/>
      <c r="G344" s="29"/>
      <c r="H344" s="30"/>
      <c r="I344" s="29"/>
      <c r="J344" s="28"/>
      <c r="K344" s="27"/>
      <c r="L344" s="29"/>
      <c r="M344" s="25" t="str">
        <f ca="1">IFERROR(__xludf.DUMMYFUNCTION("IF(COUNTA(A344:L344)=0,"""",IFS(OR(A344="""",B344="""",C344="""",D344="""",E344="""",F344="""",G344="""",H344="""",K344=""""),""Ошибка: обязательные поля"",NOT(REGEXMATCH(H344,""^https?://[^ /]+"")),""Ошибка: некорректная ссылка"",COUNTIF('Справочники'!$A"&amp;"$4:$A$24,C344)=0,""Ошибка: территория вне справочника"",K344=""Недоступен"",""Ошибка: ссылка недоступна"",E344=""Неофициальный источник"",IF(K344=""Активен"",""Готово"",""Проверить: активность""),COUNTIF($H$6:$H$504,H344)&gt;1,""Проверить: повтор URL"",I344&lt;"&amp;"&gt;""Подтверждено"",""Проверить: официальность / комментарий"",K344&lt;&gt;""Активен"",""Проверить: активность"",AND(ISNUMBER(J344),J344&lt;TODAY()-30),""Проверить: публикации старше 30 дней"",TRUE,""Готово""))"),"")</f>
        <v/>
      </c>
    </row>
    <row r="345" spans="1:13" ht="25.5" customHeight="1">
      <c r="A345" s="27"/>
      <c r="B345" s="28"/>
      <c r="C345" s="27"/>
      <c r="D345" s="29"/>
      <c r="E345" s="27"/>
      <c r="F345" s="27"/>
      <c r="G345" s="29"/>
      <c r="H345" s="30"/>
      <c r="I345" s="29"/>
      <c r="J345" s="28"/>
      <c r="K345" s="27"/>
      <c r="L345" s="29"/>
      <c r="M345" s="25" t="str">
        <f ca="1">IFERROR(__xludf.DUMMYFUNCTION("IF(COUNTA(A345:L345)=0,"""",IFS(OR(A345="""",B345="""",C345="""",D345="""",E345="""",F345="""",G345="""",H345="""",K345=""""),""Ошибка: обязательные поля"",NOT(REGEXMATCH(H345,""^https?://[^ /]+"")),""Ошибка: некорректная ссылка"",COUNTIF('Справочники'!$A"&amp;"$4:$A$24,C345)=0,""Ошибка: территория вне справочника"",K345=""Недоступен"",""Ошибка: ссылка недоступна"",E345=""Неофициальный источник"",IF(K345=""Активен"",""Готово"",""Проверить: активность""),COUNTIF($H$6:$H$504,H345)&gt;1,""Проверить: повтор URL"",I345&lt;"&amp;"&gt;""Подтверждено"",""Проверить: официальность / комментарий"",K345&lt;&gt;""Активен"",""Проверить: активность"",AND(ISNUMBER(J345),J345&lt;TODAY()-30),""Проверить: публикации старше 30 дней"",TRUE,""Готово""))"),"")</f>
        <v/>
      </c>
    </row>
    <row r="346" spans="1:13" ht="25.5" customHeight="1">
      <c r="A346" s="27"/>
      <c r="B346" s="28"/>
      <c r="C346" s="27"/>
      <c r="D346" s="29"/>
      <c r="E346" s="27"/>
      <c r="F346" s="27"/>
      <c r="G346" s="29"/>
      <c r="H346" s="30"/>
      <c r="I346" s="29"/>
      <c r="J346" s="28"/>
      <c r="K346" s="27"/>
      <c r="L346" s="29"/>
      <c r="M346" s="25" t="str">
        <f ca="1">IFERROR(__xludf.DUMMYFUNCTION("IF(COUNTA(A346:L346)=0,"""",IFS(OR(A346="""",B346="""",C346="""",D346="""",E346="""",F346="""",G346="""",H346="""",K346=""""),""Ошибка: обязательные поля"",NOT(REGEXMATCH(H346,""^https?://[^ /]+"")),""Ошибка: некорректная ссылка"",COUNTIF('Справочники'!$A"&amp;"$4:$A$24,C346)=0,""Ошибка: территория вне справочника"",K346=""Недоступен"",""Ошибка: ссылка недоступна"",E346=""Неофициальный источник"",IF(K346=""Активен"",""Готово"",""Проверить: активность""),COUNTIF($H$6:$H$504,H346)&gt;1,""Проверить: повтор URL"",I346&lt;"&amp;"&gt;""Подтверждено"",""Проверить: официальность / комментарий"",K346&lt;&gt;""Активен"",""Проверить: активность"",AND(ISNUMBER(J346),J346&lt;TODAY()-30),""Проверить: публикации старше 30 дней"",TRUE,""Готово""))"),"")</f>
        <v/>
      </c>
    </row>
    <row r="347" spans="1:13" ht="25.5" customHeight="1">
      <c r="A347" s="27"/>
      <c r="B347" s="28"/>
      <c r="C347" s="27"/>
      <c r="D347" s="29"/>
      <c r="E347" s="27"/>
      <c r="F347" s="27"/>
      <c r="G347" s="29"/>
      <c r="H347" s="30"/>
      <c r="I347" s="29"/>
      <c r="J347" s="28"/>
      <c r="K347" s="27"/>
      <c r="L347" s="29"/>
      <c r="M347" s="25" t="str">
        <f ca="1">IFERROR(__xludf.DUMMYFUNCTION("IF(COUNTA(A347:L347)=0,"""",IFS(OR(A347="""",B347="""",C347="""",D347="""",E347="""",F347="""",G347="""",H347="""",K347=""""),""Ошибка: обязательные поля"",NOT(REGEXMATCH(H347,""^https?://[^ /]+"")),""Ошибка: некорректная ссылка"",COUNTIF('Справочники'!$A"&amp;"$4:$A$24,C347)=0,""Ошибка: территория вне справочника"",K347=""Недоступен"",""Ошибка: ссылка недоступна"",E347=""Неофициальный источник"",IF(K347=""Активен"",""Готово"",""Проверить: активность""),COUNTIF($H$6:$H$504,H347)&gt;1,""Проверить: повтор URL"",I347&lt;"&amp;"&gt;""Подтверждено"",""Проверить: официальность / комментарий"",K347&lt;&gt;""Активен"",""Проверить: активность"",AND(ISNUMBER(J347),J347&lt;TODAY()-30),""Проверить: публикации старше 30 дней"",TRUE,""Готово""))"),"")</f>
        <v/>
      </c>
    </row>
    <row r="348" spans="1:13" ht="25.5" customHeight="1">
      <c r="A348" s="27"/>
      <c r="B348" s="28"/>
      <c r="C348" s="27"/>
      <c r="D348" s="29"/>
      <c r="E348" s="27"/>
      <c r="F348" s="27"/>
      <c r="G348" s="29"/>
      <c r="H348" s="30"/>
      <c r="I348" s="29"/>
      <c r="J348" s="28"/>
      <c r="K348" s="27"/>
      <c r="L348" s="29"/>
      <c r="M348" s="25" t="str">
        <f ca="1">IFERROR(__xludf.DUMMYFUNCTION("IF(COUNTA(A348:L348)=0,"""",IFS(OR(A348="""",B348="""",C348="""",D348="""",E348="""",F348="""",G348="""",H348="""",K348=""""),""Ошибка: обязательные поля"",NOT(REGEXMATCH(H348,""^https?://[^ /]+"")),""Ошибка: некорректная ссылка"",COUNTIF('Справочники'!$A"&amp;"$4:$A$24,C348)=0,""Ошибка: территория вне справочника"",K348=""Недоступен"",""Ошибка: ссылка недоступна"",E348=""Неофициальный источник"",IF(K348=""Активен"",""Готово"",""Проверить: активность""),COUNTIF($H$6:$H$504,H348)&gt;1,""Проверить: повтор URL"",I348&lt;"&amp;"&gt;""Подтверждено"",""Проверить: официальность / комментарий"",K348&lt;&gt;""Активен"",""Проверить: активность"",AND(ISNUMBER(J348),J348&lt;TODAY()-30),""Проверить: публикации старше 30 дней"",TRUE,""Готово""))"),"")</f>
        <v/>
      </c>
    </row>
    <row r="349" spans="1:13" ht="25.5" customHeight="1">
      <c r="A349" s="27"/>
      <c r="B349" s="28"/>
      <c r="C349" s="27"/>
      <c r="D349" s="29"/>
      <c r="E349" s="27"/>
      <c r="F349" s="27"/>
      <c r="G349" s="29"/>
      <c r="H349" s="30"/>
      <c r="I349" s="29"/>
      <c r="J349" s="28"/>
      <c r="K349" s="27"/>
      <c r="L349" s="29"/>
      <c r="M349" s="25" t="str">
        <f ca="1">IFERROR(__xludf.DUMMYFUNCTION("IF(COUNTA(A349:L349)=0,"""",IFS(OR(A349="""",B349="""",C349="""",D349="""",E349="""",F349="""",G349="""",H349="""",K349=""""),""Ошибка: обязательные поля"",NOT(REGEXMATCH(H349,""^https?://[^ /]+"")),""Ошибка: некорректная ссылка"",COUNTIF('Справочники'!$A"&amp;"$4:$A$24,C349)=0,""Ошибка: территория вне справочника"",K349=""Недоступен"",""Ошибка: ссылка недоступна"",E349=""Неофициальный источник"",IF(K349=""Активен"",""Готово"",""Проверить: активность""),COUNTIF($H$6:$H$504,H349)&gt;1,""Проверить: повтор URL"",I349&lt;"&amp;"&gt;""Подтверждено"",""Проверить: официальность / комментарий"",K349&lt;&gt;""Активен"",""Проверить: активность"",AND(ISNUMBER(J349),J349&lt;TODAY()-30),""Проверить: публикации старше 30 дней"",TRUE,""Готово""))"),"")</f>
        <v/>
      </c>
    </row>
    <row r="350" spans="1:13" ht="25.5" customHeight="1">
      <c r="A350" s="27"/>
      <c r="B350" s="28"/>
      <c r="C350" s="27"/>
      <c r="D350" s="29"/>
      <c r="E350" s="27"/>
      <c r="F350" s="27"/>
      <c r="G350" s="29"/>
      <c r="H350" s="30"/>
      <c r="I350" s="29"/>
      <c r="J350" s="28"/>
      <c r="K350" s="27"/>
      <c r="L350" s="29"/>
      <c r="M350" s="25" t="str">
        <f ca="1">IFERROR(__xludf.DUMMYFUNCTION("IF(COUNTA(A350:L350)=0,"""",IFS(OR(A350="""",B350="""",C350="""",D350="""",E350="""",F350="""",G350="""",H350="""",K350=""""),""Ошибка: обязательные поля"",NOT(REGEXMATCH(H350,""^https?://[^ /]+"")),""Ошибка: некорректная ссылка"",COUNTIF('Справочники'!$A"&amp;"$4:$A$24,C350)=0,""Ошибка: территория вне справочника"",K350=""Недоступен"",""Ошибка: ссылка недоступна"",E350=""Неофициальный источник"",IF(K350=""Активен"",""Готово"",""Проверить: активность""),COUNTIF($H$6:$H$504,H350)&gt;1,""Проверить: повтор URL"",I350&lt;"&amp;"&gt;""Подтверждено"",""Проверить: официальность / комментарий"",K350&lt;&gt;""Активен"",""Проверить: активность"",AND(ISNUMBER(J350),J350&lt;TODAY()-30),""Проверить: публикации старше 30 дней"",TRUE,""Готово""))"),"")</f>
        <v/>
      </c>
    </row>
    <row r="351" spans="1:13" ht="25.5" customHeight="1">
      <c r="A351" s="27"/>
      <c r="B351" s="28"/>
      <c r="C351" s="27"/>
      <c r="D351" s="29"/>
      <c r="E351" s="27"/>
      <c r="F351" s="27"/>
      <c r="G351" s="29"/>
      <c r="H351" s="30"/>
      <c r="I351" s="29"/>
      <c r="J351" s="28"/>
      <c r="K351" s="27"/>
      <c r="L351" s="29"/>
      <c r="M351" s="25" t="str">
        <f ca="1">IFERROR(__xludf.DUMMYFUNCTION("IF(COUNTA(A351:L351)=0,"""",IFS(OR(A351="""",B351="""",C351="""",D351="""",E351="""",F351="""",G351="""",H351="""",K351=""""),""Ошибка: обязательные поля"",NOT(REGEXMATCH(H351,""^https?://[^ /]+"")),""Ошибка: некорректная ссылка"",COUNTIF('Справочники'!$A"&amp;"$4:$A$24,C351)=0,""Ошибка: территория вне справочника"",K351=""Недоступен"",""Ошибка: ссылка недоступна"",E351=""Неофициальный источник"",IF(K351=""Активен"",""Готово"",""Проверить: активность""),COUNTIF($H$6:$H$504,H351)&gt;1,""Проверить: повтор URL"",I351&lt;"&amp;"&gt;""Подтверждено"",""Проверить: официальность / комментарий"",K351&lt;&gt;""Активен"",""Проверить: активность"",AND(ISNUMBER(J351),J351&lt;TODAY()-30),""Проверить: публикации старше 30 дней"",TRUE,""Готово""))"),"")</f>
        <v/>
      </c>
    </row>
    <row r="352" spans="1:13" ht="25.5" customHeight="1">
      <c r="A352" s="27"/>
      <c r="B352" s="28"/>
      <c r="C352" s="27"/>
      <c r="D352" s="29"/>
      <c r="E352" s="27"/>
      <c r="F352" s="27"/>
      <c r="G352" s="29"/>
      <c r="H352" s="30"/>
      <c r="I352" s="29"/>
      <c r="J352" s="28"/>
      <c r="K352" s="27"/>
      <c r="L352" s="29"/>
      <c r="M352" s="25" t="str">
        <f ca="1">IFERROR(__xludf.DUMMYFUNCTION("IF(COUNTA(A352:L352)=0,"""",IFS(OR(A352="""",B352="""",C352="""",D352="""",E352="""",F352="""",G352="""",H352="""",K352=""""),""Ошибка: обязательные поля"",NOT(REGEXMATCH(H352,""^https?://[^ /]+"")),""Ошибка: некорректная ссылка"",COUNTIF('Справочники'!$A"&amp;"$4:$A$24,C352)=0,""Ошибка: территория вне справочника"",K352=""Недоступен"",""Ошибка: ссылка недоступна"",E352=""Неофициальный источник"",IF(K352=""Активен"",""Готово"",""Проверить: активность""),COUNTIF($H$6:$H$504,H352)&gt;1,""Проверить: повтор URL"",I352&lt;"&amp;"&gt;""Подтверждено"",""Проверить: официальность / комментарий"",K352&lt;&gt;""Активен"",""Проверить: активность"",AND(ISNUMBER(J352),J352&lt;TODAY()-30),""Проверить: публикации старше 30 дней"",TRUE,""Готово""))"),"")</f>
        <v/>
      </c>
    </row>
    <row r="353" spans="1:13" ht="25.5" customHeight="1">
      <c r="A353" s="27"/>
      <c r="B353" s="28"/>
      <c r="C353" s="27"/>
      <c r="D353" s="29"/>
      <c r="E353" s="27"/>
      <c r="F353" s="27"/>
      <c r="G353" s="29"/>
      <c r="H353" s="30"/>
      <c r="I353" s="29"/>
      <c r="J353" s="28"/>
      <c r="K353" s="27"/>
      <c r="L353" s="29"/>
      <c r="M353" s="25" t="str">
        <f ca="1">IFERROR(__xludf.DUMMYFUNCTION("IF(COUNTA(A353:L353)=0,"""",IFS(OR(A353="""",B353="""",C353="""",D353="""",E353="""",F353="""",G353="""",H353="""",K353=""""),""Ошибка: обязательные поля"",NOT(REGEXMATCH(H353,""^https?://[^ /]+"")),""Ошибка: некорректная ссылка"",COUNTIF('Справочники'!$A"&amp;"$4:$A$24,C353)=0,""Ошибка: территория вне справочника"",K353=""Недоступен"",""Ошибка: ссылка недоступна"",E353=""Неофициальный источник"",IF(K353=""Активен"",""Готово"",""Проверить: активность""),COUNTIF($H$6:$H$504,H353)&gt;1,""Проверить: повтор URL"",I353&lt;"&amp;"&gt;""Подтверждено"",""Проверить: официальность / комментарий"",K353&lt;&gt;""Активен"",""Проверить: активность"",AND(ISNUMBER(J353),J353&lt;TODAY()-30),""Проверить: публикации старше 30 дней"",TRUE,""Готово""))"),"")</f>
        <v/>
      </c>
    </row>
    <row r="354" spans="1:13" ht="25.5" customHeight="1">
      <c r="A354" s="27"/>
      <c r="B354" s="28"/>
      <c r="C354" s="27"/>
      <c r="D354" s="29"/>
      <c r="E354" s="27"/>
      <c r="F354" s="27"/>
      <c r="G354" s="29"/>
      <c r="H354" s="30"/>
      <c r="I354" s="29"/>
      <c r="J354" s="28"/>
      <c r="K354" s="27"/>
      <c r="L354" s="29"/>
      <c r="M354" s="25" t="str">
        <f ca="1">IFERROR(__xludf.DUMMYFUNCTION("IF(COUNTA(A354:L354)=0,"""",IFS(OR(A354="""",B354="""",C354="""",D354="""",E354="""",F354="""",G354="""",H354="""",K354=""""),""Ошибка: обязательные поля"",NOT(REGEXMATCH(H354,""^https?://[^ /]+"")),""Ошибка: некорректная ссылка"",COUNTIF('Справочники'!$A"&amp;"$4:$A$24,C354)=0,""Ошибка: территория вне справочника"",K354=""Недоступен"",""Ошибка: ссылка недоступна"",E354=""Неофициальный источник"",IF(K354=""Активен"",""Готово"",""Проверить: активность""),COUNTIF($H$6:$H$504,H354)&gt;1,""Проверить: повтор URL"",I354&lt;"&amp;"&gt;""Подтверждено"",""Проверить: официальность / комментарий"",K354&lt;&gt;""Активен"",""Проверить: активность"",AND(ISNUMBER(J354),J354&lt;TODAY()-30),""Проверить: публикации старше 30 дней"",TRUE,""Готово""))"),"")</f>
        <v/>
      </c>
    </row>
    <row r="355" spans="1:13" ht="25.5" customHeight="1">
      <c r="A355" s="27"/>
      <c r="B355" s="28"/>
      <c r="C355" s="27"/>
      <c r="D355" s="29"/>
      <c r="E355" s="27"/>
      <c r="F355" s="27"/>
      <c r="G355" s="29"/>
      <c r="H355" s="30"/>
      <c r="I355" s="29"/>
      <c r="J355" s="28"/>
      <c r="K355" s="27"/>
      <c r="L355" s="29"/>
      <c r="M355" s="25" t="str">
        <f ca="1">IFERROR(__xludf.DUMMYFUNCTION("IF(COUNTA(A355:L355)=0,"""",IFS(OR(A355="""",B355="""",C355="""",D355="""",E355="""",F355="""",G355="""",H355="""",K355=""""),""Ошибка: обязательные поля"",NOT(REGEXMATCH(H355,""^https?://[^ /]+"")),""Ошибка: некорректная ссылка"",COUNTIF('Справочники'!$A"&amp;"$4:$A$24,C355)=0,""Ошибка: территория вне справочника"",K355=""Недоступен"",""Ошибка: ссылка недоступна"",E355=""Неофициальный источник"",IF(K355=""Активен"",""Готово"",""Проверить: активность""),COUNTIF($H$6:$H$504,H355)&gt;1,""Проверить: повтор URL"",I355&lt;"&amp;"&gt;""Подтверждено"",""Проверить: официальность / комментарий"",K355&lt;&gt;""Активен"",""Проверить: активность"",AND(ISNUMBER(J355),J355&lt;TODAY()-30),""Проверить: публикации старше 30 дней"",TRUE,""Готово""))"),"")</f>
        <v/>
      </c>
    </row>
    <row r="356" spans="1:13" ht="25.5" customHeight="1">
      <c r="A356" s="27"/>
      <c r="B356" s="28"/>
      <c r="C356" s="27"/>
      <c r="D356" s="29"/>
      <c r="E356" s="27"/>
      <c r="F356" s="27"/>
      <c r="G356" s="29"/>
      <c r="H356" s="30"/>
      <c r="I356" s="29"/>
      <c r="J356" s="28"/>
      <c r="K356" s="27"/>
      <c r="L356" s="29"/>
      <c r="M356" s="25" t="str">
        <f ca="1">IFERROR(__xludf.DUMMYFUNCTION("IF(COUNTA(A356:L356)=0,"""",IFS(OR(A356="""",B356="""",C356="""",D356="""",E356="""",F356="""",G356="""",H356="""",K356=""""),""Ошибка: обязательные поля"",NOT(REGEXMATCH(H356,""^https?://[^ /]+"")),""Ошибка: некорректная ссылка"",COUNTIF('Справочники'!$A"&amp;"$4:$A$24,C356)=0,""Ошибка: территория вне справочника"",K356=""Недоступен"",""Ошибка: ссылка недоступна"",E356=""Неофициальный источник"",IF(K356=""Активен"",""Готово"",""Проверить: активность""),COUNTIF($H$6:$H$504,H356)&gt;1,""Проверить: повтор URL"",I356&lt;"&amp;"&gt;""Подтверждено"",""Проверить: официальность / комментарий"",K356&lt;&gt;""Активен"",""Проверить: активность"",AND(ISNUMBER(J356),J356&lt;TODAY()-30),""Проверить: публикации старше 30 дней"",TRUE,""Готово""))"),"")</f>
        <v/>
      </c>
    </row>
    <row r="357" spans="1:13" ht="25.5" customHeight="1">
      <c r="A357" s="27"/>
      <c r="B357" s="28"/>
      <c r="C357" s="27"/>
      <c r="D357" s="29"/>
      <c r="E357" s="27"/>
      <c r="F357" s="27"/>
      <c r="G357" s="29"/>
      <c r="H357" s="30"/>
      <c r="I357" s="29"/>
      <c r="J357" s="28"/>
      <c r="K357" s="27"/>
      <c r="L357" s="29"/>
      <c r="M357" s="25" t="str">
        <f ca="1">IFERROR(__xludf.DUMMYFUNCTION("IF(COUNTA(A357:L357)=0,"""",IFS(OR(A357="""",B357="""",C357="""",D357="""",E357="""",F357="""",G357="""",H357="""",K357=""""),""Ошибка: обязательные поля"",NOT(REGEXMATCH(H357,""^https?://[^ /]+"")),""Ошибка: некорректная ссылка"",COUNTIF('Справочники'!$A"&amp;"$4:$A$24,C357)=0,""Ошибка: территория вне справочника"",K357=""Недоступен"",""Ошибка: ссылка недоступна"",E357=""Неофициальный источник"",IF(K357=""Активен"",""Готово"",""Проверить: активность""),COUNTIF($H$6:$H$504,H357)&gt;1,""Проверить: повтор URL"",I357&lt;"&amp;"&gt;""Подтверждено"",""Проверить: официальность / комментарий"",K357&lt;&gt;""Активен"",""Проверить: активность"",AND(ISNUMBER(J357),J357&lt;TODAY()-30),""Проверить: публикации старше 30 дней"",TRUE,""Готово""))"),"")</f>
        <v/>
      </c>
    </row>
    <row r="358" spans="1:13" ht="25.5" customHeight="1">
      <c r="A358" s="27"/>
      <c r="B358" s="28"/>
      <c r="C358" s="27"/>
      <c r="D358" s="29"/>
      <c r="E358" s="27"/>
      <c r="F358" s="27"/>
      <c r="G358" s="29"/>
      <c r="H358" s="30"/>
      <c r="I358" s="29"/>
      <c r="J358" s="28"/>
      <c r="K358" s="27"/>
      <c r="L358" s="29"/>
      <c r="M358" s="25" t="str">
        <f ca="1">IFERROR(__xludf.DUMMYFUNCTION("IF(COUNTA(A358:L358)=0,"""",IFS(OR(A358="""",B358="""",C358="""",D358="""",E358="""",F358="""",G358="""",H358="""",K358=""""),""Ошибка: обязательные поля"",NOT(REGEXMATCH(H358,""^https?://[^ /]+"")),""Ошибка: некорректная ссылка"",COUNTIF('Справочники'!$A"&amp;"$4:$A$24,C358)=0,""Ошибка: территория вне справочника"",K358=""Недоступен"",""Ошибка: ссылка недоступна"",E358=""Неофициальный источник"",IF(K358=""Активен"",""Готово"",""Проверить: активность""),COUNTIF($H$6:$H$504,H358)&gt;1,""Проверить: повтор URL"",I358&lt;"&amp;"&gt;""Подтверждено"",""Проверить: официальность / комментарий"",K358&lt;&gt;""Активен"",""Проверить: активность"",AND(ISNUMBER(J358),J358&lt;TODAY()-30),""Проверить: публикации старше 30 дней"",TRUE,""Готово""))"),"")</f>
        <v/>
      </c>
    </row>
    <row r="359" spans="1:13" ht="25.5" customHeight="1">
      <c r="A359" s="27"/>
      <c r="B359" s="28"/>
      <c r="C359" s="27"/>
      <c r="D359" s="29"/>
      <c r="E359" s="27"/>
      <c r="F359" s="27"/>
      <c r="G359" s="29"/>
      <c r="H359" s="30"/>
      <c r="I359" s="29"/>
      <c r="J359" s="28"/>
      <c r="K359" s="27"/>
      <c r="L359" s="29"/>
      <c r="M359" s="25" t="str">
        <f ca="1">IFERROR(__xludf.DUMMYFUNCTION("IF(COUNTA(A359:L359)=0,"""",IFS(OR(A359="""",B359="""",C359="""",D359="""",E359="""",F359="""",G359="""",H359="""",K359=""""),""Ошибка: обязательные поля"",NOT(REGEXMATCH(H359,""^https?://[^ /]+"")),""Ошибка: некорректная ссылка"",COUNTIF('Справочники'!$A"&amp;"$4:$A$24,C359)=0,""Ошибка: территория вне справочника"",K359=""Недоступен"",""Ошибка: ссылка недоступна"",E359=""Неофициальный источник"",IF(K359=""Активен"",""Готово"",""Проверить: активность""),COUNTIF($H$6:$H$504,H359)&gt;1,""Проверить: повтор URL"",I359&lt;"&amp;"&gt;""Подтверждено"",""Проверить: официальность / комментарий"",K359&lt;&gt;""Активен"",""Проверить: активность"",AND(ISNUMBER(J359),J359&lt;TODAY()-30),""Проверить: публикации старше 30 дней"",TRUE,""Готово""))"),"")</f>
        <v/>
      </c>
    </row>
    <row r="360" spans="1:13" ht="25.5" customHeight="1">
      <c r="A360" s="27"/>
      <c r="B360" s="28"/>
      <c r="C360" s="27"/>
      <c r="D360" s="29"/>
      <c r="E360" s="27"/>
      <c r="F360" s="27"/>
      <c r="G360" s="29"/>
      <c r="H360" s="30"/>
      <c r="I360" s="29"/>
      <c r="J360" s="28"/>
      <c r="K360" s="27"/>
      <c r="L360" s="29"/>
      <c r="M360" s="25" t="str">
        <f ca="1">IFERROR(__xludf.DUMMYFUNCTION("IF(COUNTA(A360:L360)=0,"""",IFS(OR(A360="""",B360="""",C360="""",D360="""",E360="""",F360="""",G360="""",H360="""",K360=""""),""Ошибка: обязательные поля"",NOT(REGEXMATCH(H360,""^https?://[^ /]+"")),""Ошибка: некорректная ссылка"",COUNTIF('Справочники'!$A"&amp;"$4:$A$24,C360)=0,""Ошибка: территория вне справочника"",K360=""Недоступен"",""Ошибка: ссылка недоступна"",E360=""Неофициальный источник"",IF(K360=""Активен"",""Готово"",""Проверить: активность""),COUNTIF($H$6:$H$504,H360)&gt;1,""Проверить: повтор URL"",I360&lt;"&amp;"&gt;""Подтверждено"",""Проверить: официальность / комментарий"",K360&lt;&gt;""Активен"",""Проверить: активность"",AND(ISNUMBER(J360),J360&lt;TODAY()-30),""Проверить: публикации старше 30 дней"",TRUE,""Готово""))"),"")</f>
        <v/>
      </c>
    </row>
    <row r="361" spans="1:13" ht="25.5" customHeight="1">
      <c r="A361" s="27"/>
      <c r="B361" s="28"/>
      <c r="C361" s="27"/>
      <c r="D361" s="29"/>
      <c r="E361" s="27"/>
      <c r="F361" s="27"/>
      <c r="G361" s="29"/>
      <c r="H361" s="30"/>
      <c r="I361" s="29"/>
      <c r="J361" s="28"/>
      <c r="K361" s="27"/>
      <c r="L361" s="29"/>
      <c r="M361" s="25" t="str">
        <f ca="1">IFERROR(__xludf.DUMMYFUNCTION("IF(COUNTA(A361:L361)=0,"""",IFS(OR(A361="""",B361="""",C361="""",D361="""",E361="""",F361="""",G361="""",H361="""",K361=""""),""Ошибка: обязательные поля"",NOT(REGEXMATCH(H361,""^https?://[^ /]+"")),""Ошибка: некорректная ссылка"",COUNTIF('Справочники'!$A"&amp;"$4:$A$24,C361)=0,""Ошибка: территория вне справочника"",K361=""Недоступен"",""Ошибка: ссылка недоступна"",E361=""Неофициальный источник"",IF(K361=""Активен"",""Готово"",""Проверить: активность""),COUNTIF($H$6:$H$504,H361)&gt;1,""Проверить: повтор URL"",I361&lt;"&amp;"&gt;""Подтверждено"",""Проверить: официальность / комментарий"",K361&lt;&gt;""Активен"",""Проверить: активность"",AND(ISNUMBER(J361),J361&lt;TODAY()-30),""Проверить: публикации старше 30 дней"",TRUE,""Готово""))"),"")</f>
        <v/>
      </c>
    </row>
    <row r="362" spans="1:13" ht="25.5" customHeight="1">
      <c r="A362" s="27"/>
      <c r="B362" s="28"/>
      <c r="C362" s="27"/>
      <c r="D362" s="29"/>
      <c r="E362" s="27"/>
      <c r="F362" s="27"/>
      <c r="G362" s="29"/>
      <c r="H362" s="30"/>
      <c r="I362" s="29"/>
      <c r="J362" s="28"/>
      <c r="K362" s="27"/>
      <c r="L362" s="29"/>
      <c r="M362" s="25" t="str">
        <f ca="1">IFERROR(__xludf.DUMMYFUNCTION("IF(COUNTA(A362:L362)=0,"""",IFS(OR(A362="""",B362="""",C362="""",D362="""",E362="""",F362="""",G362="""",H362="""",K362=""""),""Ошибка: обязательные поля"",NOT(REGEXMATCH(H362,""^https?://[^ /]+"")),""Ошибка: некорректная ссылка"",COUNTIF('Справочники'!$A"&amp;"$4:$A$24,C362)=0,""Ошибка: территория вне справочника"",K362=""Недоступен"",""Ошибка: ссылка недоступна"",E362=""Неофициальный источник"",IF(K362=""Активен"",""Готово"",""Проверить: активность""),COUNTIF($H$6:$H$504,H362)&gt;1,""Проверить: повтор URL"",I362&lt;"&amp;"&gt;""Подтверждено"",""Проверить: официальность / комментарий"",K362&lt;&gt;""Активен"",""Проверить: активность"",AND(ISNUMBER(J362),J362&lt;TODAY()-30),""Проверить: публикации старше 30 дней"",TRUE,""Готово""))"),"")</f>
        <v/>
      </c>
    </row>
    <row r="363" spans="1:13" ht="25.5" customHeight="1">
      <c r="A363" s="27"/>
      <c r="B363" s="28"/>
      <c r="C363" s="27"/>
      <c r="D363" s="29"/>
      <c r="E363" s="27"/>
      <c r="F363" s="27"/>
      <c r="G363" s="29"/>
      <c r="H363" s="30"/>
      <c r="I363" s="29"/>
      <c r="J363" s="28"/>
      <c r="K363" s="27"/>
      <c r="L363" s="29"/>
      <c r="M363" s="25" t="str">
        <f ca="1">IFERROR(__xludf.DUMMYFUNCTION("IF(COUNTA(A363:L363)=0,"""",IFS(OR(A363="""",B363="""",C363="""",D363="""",E363="""",F363="""",G363="""",H363="""",K363=""""),""Ошибка: обязательные поля"",NOT(REGEXMATCH(H363,""^https?://[^ /]+"")),""Ошибка: некорректная ссылка"",COUNTIF('Справочники'!$A"&amp;"$4:$A$24,C363)=0,""Ошибка: территория вне справочника"",K363=""Недоступен"",""Ошибка: ссылка недоступна"",E363=""Неофициальный источник"",IF(K363=""Активен"",""Готово"",""Проверить: активность""),COUNTIF($H$6:$H$504,H363)&gt;1,""Проверить: повтор URL"",I363&lt;"&amp;"&gt;""Подтверждено"",""Проверить: официальность / комментарий"",K363&lt;&gt;""Активен"",""Проверить: активность"",AND(ISNUMBER(J363),J363&lt;TODAY()-30),""Проверить: публикации старше 30 дней"",TRUE,""Готово""))"),"")</f>
        <v/>
      </c>
    </row>
    <row r="364" spans="1:13" ht="25.5" customHeight="1">
      <c r="A364" s="27"/>
      <c r="B364" s="28"/>
      <c r="C364" s="27"/>
      <c r="D364" s="29"/>
      <c r="E364" s="27"/>
      <c r="F364" s="27"/>
      <c r="G364" s="29"/>
      <c r="H364" s="30"/>
      <c r="I364" s="29"/>
      <c r="J364" s="28"/>
      <c r="K364" s="27"/>
      <c r="L364" s="29"/>
      <c r="M364" s="25" t="str">
        <f ca="1">IFERROR(__xludf.DUMMYFUNCTION("IF(COUNTA(A364:L364)=0,"""",IFS(OR(A364="""",B364="""",C364="""",D364="""",E364="""",F364="""",G364="""",H364="""",K364=""""),""Ошибка: обязательные поля"",NOT(REGEXMATCH(H364,""^https?://[^ /]+"")),""Ошибка: некорректная ссылка"",COUNTIF('Справочники'!$A"&amp;"$4:$A$24,C364)=0,""Ошибка: территория вне справочника"",K364=""Недоступен"",""Ошибка: ссылка недоступна"",E364=""Неофициальный источник"",IF(K364=""Активен"",""Готово"",""Проверить: активность""),COUNTIF($H$6:$H$504,H364)&gt;1,""Проверить: повтор URL"",I364&lt;"&amp;"&gt;""Подтверждено"",""Проверить: официальность / комментарий"",K364&lt;&gt;""Активен"",""Проверить: активность"",AND(ISNUMBER(J364),J364&lt;TODAY()-30),""Проверить: публикации старше 30 дней"",TRUE,""Готово""))"),"")</f>
        <v/>
      </c>
    </row>
    <row r="365" spans="1:13" ht="25.5" customHeight="1">
      <c r="A365" s="27"/>
      <c r="B365" s="28"/>
      <c r="C365" s="27"/>
      <c r="D365" s="29"/>
      <c r="E365" s="27"/>
      <c r="F365" s="27"/>
      <c r="G365" s="29"/>
      <c r="H365" s="30"/>
      <c r="I365" s="29"/>
      <c r="J365" s="28"/>
      <c r="K365" s="27"/>
      <c r="L365" s="29"/>
      <c r="M365" s="25" t="str">
        <f ca="1">IFERROR(__xludf.DUMMYFUNCTION("IF(COUNTA(A365:L365)=0,"""",IFS(OR(A365="""",B365="""",C365="""",D365="""",E365="""",F365="""",G365="""",H365="""",K365=""""),""Ошибка: обязательные поля"",NOT(REGEXMATCH(H365,""^https?://[^ /]+"")),""Ошибка: некорректная ссылка"",COUNTIF('Справочники'!$A"&amp;"$4:$A$24,C365)=0,""Ошибка: территория вне справочника"",K365=""Недоступен"",""Ошибка: ссылка недоступна"",E365=""Неофициальный источник"",IF(K365=""Активен"",""Готово"",""Проверить: активность""),COUNTIF($H$6:$H$504,H365)&gt;1,""Проверить: повтор URL"",I365&lt;"&amp;"&gt;""Подтверждено"",""Проверить: официальность / комментарий"",K365&lt;&gt;""Активен"",""Проверить: активность"",AND(ISNUMBER(J365),J365&lt;TODAY()-30),""Проверить: публикации старше 30 дней"",TRUE,""Готово""))"),"")</f>
        <v/>
      </c>
    </row>
    <row r="366" spans="1:13" ht="25.5" customHeight="1">
      <c r="A366" s="27"/>
      <c r="B366" s="28"/>
      <c r="C366" s="27"/>
      <c r="D366" s="29"/>
      <c r="E366" s="27"/>
      <c r="F366" s="27"/>
      <c r="G366" s="29"/>
      <c r="H366" s="30"/>
      <c r="I366" s="29"/>
      <c r="J366" s="28"/>
      <c r="K366" s="27"/>
      <c r="L366" s="29"/>
      <c r="M366" s="25" t="str">
        <f ca="1">IFERROR(__xludf.DUMMYFUNCTION("IF(COUNTA(A366:L366)=0,"""",IFS(OR(A366="""",B366="""",C366="""",D366="""",E366="""",F366="""",G366="""",H366="""",K366=""""),""Ошибка: обязательные поля"",NOT(REGEXMATCH(H366,""^https?://[^ /]+"")),""Ошибка: некорректная ссылка"",COUNTIF('Справочники'!$A"&amp;"$4:$A$24,C366)=0,""Ошибка: территория вне справочника"",K366=""Недоступен"",""Ошибка: ссылка недоступна"",E366=""Неофициальный источник"",IF(K366=""Активен"",""Готово"",""Проверить: активность""),COUNTIF($H$6:$H$504,H366)&gt;1,""Проверить: повтор URL"",I366&lt;"&amp;"&gt;""Подтверждено"",""Проверить: официальность / комментарий"",K366&lt;&gt;""Активен"",""Проверить: активность"",AND(ISNUMBER(J366),J366&lt;TODAY()-30),""Проверить: публикации старше 30 дней"",TRUE,""Готово""))"),"")</f>
        <v/>
      </c>
    </row>
    <row r="367" spans="1:13" ht="25.5" customHeight="1">
      <c r="A367" s="27"/>
      <c r="B367" s="28"/>
      <c r="C367" s="27"/>
      <c r="D367" s="29"/>
      <c r="E367" s="27"/>
      <c r="F367" s="27"/>
      <c r="G367" s="29"/>
      <c r="H367" s="30"/>
      <c r="I367" s="29"/>
      <c r="J367" s="28"/>
      <c r="K367" s="27"/>
      <c r="L367" s="29"/>
      <c r="M367" s="25" t="str">
        <f ca="1">IFERROR(__xludf.DUMMYFUNCTION("IF(COUNTA(A367:L367)=0,"""",IFS(OR(A367="""",B367="""",C367="""",D367="""",E367="""",F367="""",G367="""",H367="""",K367=""""),""Ошибка: обязательные поля"",NOT(REGEXMATCH(H367,""^https?://[^ /]+"")),""Ошибка: некорректная ссылка"",COUNTIF('Справочники'!$A"&amp;"$4:$A$24,C367)=0,""Ошибка: территория вне справочника"",K367=""Недоступен"",""Ошибка: ссылка недоступна"",E367=""Неофициальный источник"",IF(K367=""Активен"",""Готово"",""Проверить: активность""),COUNTIF($H$6:$H$504,H367)&gt;1,""Проверить: повтор URL"",I367&lt;"&amp;"&gt;""Подтверждено"",""Проверить: официальность / комментарий"",K367&lt;&gt;""Активен"",""Проверить: активность"",AND(ISNUMBER(J367),J367&lt;TODAY()-30),""Проверить: публикации старше 30 дней"",TRUE,""Готово""))"),"")</f>
        <v/>
      </c>
    </row>
    <row r="368" spans="1:13" ht="25.5" customHeight="1">
      <c r="A368" s="27"/>
      <c r="B368" s="28"/>
      <c r="C368" s="27"/>
      <c r="D368" s="29"/>
      <c r="E368" s="27"/>
      <c r="F368" s="27"/>
      <c r="G368" s="29"/>
      <c r="H368" s="30"/>
      <c r="I368" s="29"/>
      <c r="J368" s="28"/>
      <c r="K368" s="27"/>
      <c r="L368" s="29"/>
      <c r="M368" s="25" t="str">
        <f ca="1">IFERROR(__xludf.DUMMYFUNCTION("IF(COUNTA(A368:L368)=0,"""",IFS(OR(A368="""",B368="""",C368="""",D368="""",E368="""",F368="""",G368="""",H368="""",K368=""""),""Ошибка: обязательные поля"",NOT(REGEXMATCH(H368,""^https?://[^ /]+"")),""Ошибка: некорректная ссылка"",COUNTIF('Справочники'!$A"&amp;"$4:$A$24,C368)=0,""Ошибка: территория вне справочника"",K368=""Недоступен"",""Ошибка: ссылка недоступна"",E368=""Неофициальный источник"",IF(K368=""Активен"",""Готово"",""Проверить: активность""),COUNTIF($H$6:$H$504,H368)&gt;1,""Проверить: повтор URL"",I368&lt;"&amp;"&gt;""Подтверждено"",""Проверить: официальность / комментарий"",K368&lt;&gt;""Активен"",""Проверить: активность"",AND(ISNUMBER(J368),J368&lt;TODAY()-30),""Проверить: публикации старше 30 дней"",TRUE,""Готово""))"),"")</f>
        <v/>
      </c>
    </row>
    <row r="369" spans="1:13" ht="25.5" customHeight="1">
      <c r="A369" s="27"/>
      <c r="B369" s="28"/>
      <c r="C369" s="27"/>
      <c r="D369" s="29"/>
      <c r="E369" s="27"/>
      <c r="F369" s="27"/>
      <c r="G369" s="29"/>
      <c r="H369" s="30"/>
      <c r="I369" s="29"/>
      <c r="J369" s="28"/>
      <c r="K369" s="27"/>
      <c r="L369" s="29"/>
      <c r="M369" s="25" t="str">
        <f ca="1">IFERROR(__xludf.DUMMYFUNCTION("IF(COUNTA(A369:L369)=0,"""",IFS(OR(A369="""",B369="""",C369="""",D369="""",E369="""",F369="""",G369="""",H369="""",K369=""""),""Ошибка: обязательные поля"",NOT(REGEXMATCH(H369,""^https?://[^ /]+"")),""Ошибка: некорректная ссылка"",COUNTIF('Справочники'!$A"&amp;"$4:$A$24,C369)=0,""Ошибка: территория вне справочника"",K369=""Недоступен"",""Ошибка: ссылка недоступна"",E369=""Неофициальный источник"",IF(K369=""Активен"",""Готово"",""Проверить: активность""),COUNTIF($H$6:$H$504,H369)&gt;1,""Проверить: повтор URL"",I369&lt;"&amp;"&gt;""Подтверждено"",""Проверить: официальность / комментарий"",K369&lt;&gt;""Активен"",""Проверить: активность"",AND(ISNUMBER(J369),J369&lt;TODAY()-30),""Проверить: публикации старше 30 дней"",TRUE,""Готово""))"),"")</f>
        <v/>
      </c>
    </row>
    <row r="370" spans="1:13" ht="25.5" customHeight="1">
      <c r="A370" s="27"/>
      <c r="B370" s="28"/>
      <c r="C370" s="27"/>
      <c r="D370" s="29"/>
      <c r="E370" s="27"/>
      <c r="F370" s="27"/>
      <c r="G370" s="29"/>
      <c r="H370" s="30"/>
      <c r="I370" s="29"/>
      <c r="J370" s="28"/>
      <c r="K370" s="27"/>
      <c r="L370" s="29"/>
      <c r="M370" s="25" t="str">
        <f ca="1">IFERROR(__xludf.DUMMYFUNCTION("IF(COUNTA(A370:L370)=0,"""",IFS(OR(A370="""",B370="""",C370="""",D370="""",E370="""",F370="""",G370="""",H370="""",K370=""""),""Ошибка: обязательные поля"",NOT(REGEXMATCH(H370,""^https?://[^ /]+"")),""Ошибка: некорректная ссылка"",COUNTIF('Справочники'!$A"&amp;"$4:$A$24,C370)=0,""Ошибка: территория вне справочника"",K370=""Недоступен"",""Ошибка: ссылка недоступна"",E370=""Неофициальный источник"",IF(K370=""Активен"",""Готово"",""Проверить: активность""),COUNTIF($H$6:$H$504,H370)&gt;1,""Проверить: повтор URL"",I370&lt;"&amp;"&gt;""Подтверждено"",""Проверить: официальность / комментарий"",K370&lt;&gt;""Активен"",""Проверить: активность"",AND(ISNUMBER(J370),J370&lt;TODAY()-30),""Проверить: публикации старше 30 дней"",TRUE,""Готово""))"),"")</f>
        <v/>
      </c>
    </row>
    <row r="371" spans="1:13" ht="25.5" customHeight="1">
      <c r="A371" s="27"/>
      <c r="B371" s="28"/>
      <c r="C371" s="27"/>
      <c r="D371" s="29"/>
      <c r="E371" s="27"/>
      <c r="F371" s="27"/>
      <c r="G371" s="29"/>
      <c r="H371" s="30"/>
      <c r="I371" s="29"/>
      <c r="J371" s="28"/>
      <c r="K371" s="27"/>
      <c r="L371" s="29"/>
      <c r="M371" s="25" t="str">
        <f ca="1">IFERROR(__xludf.DUMMYFUNCTION("IF(COUNTA(A371:L371)=0,"""",IFS(OR(A371="""",B371="""",C371="""",D371="""",E371="""",F371="""",G371="""",H371="""",K371=""""),""Ошибка: обязательные поля"",NOT(REGEXMATCH(H371,""^https?://[^ /]+"")),""Ошибка: некорректная ссылка"",COUNTIF('Справочники'!$A"&amp;"$4:$A$24,C371)=0,""Ошибка: территория вне справочника"",K371=""Недоступен"",""Ошибка: ссылка недоступна"",E371=""Неофициальный источник"",IF(K371=""Активен"",""Готово"",""Проверить: активность""),COUNTIF($H$6:$H$504,H371)&gt;1,""Проверить: повтор URL"",I371&lt;"&amp;"&gt;""Подтверждено"",""Проверить: официальность / комментарий"",K371&lt;&gt;""Активен"",""Проверить: активность"",AND(ISNUMBER(J371),J371&lt;TODAY()-30),""Проверить: публикации старше 30 дней"",TRUE,""Готово""))"),"")</f>
        <v/>
      </c>
    </row>
    <row r="372" spans="1:13" ht="25.5" customHeight="1">
      <c r="A372" s="27"/>
      <c r="B372" s="28"/>
      <c r="C372" s="27"/>
      <c r="D372" s="29"/>
      <c r="E372" s="27"/>
      <c r="F372" s="27"/>
      <c r="G372" s="29"/>
      <c r="H372" s="30"/>
      <c r="I372" s="29"/>
      <c r="J372" s="28"/>
      <c r="K372" s="27"/>
      <c r="L372" s="29"/>
      <c r="M372" s="25" t="str">
        <f ca="1">IFERROR(__xludf.DUMMYFUNCTION("IF(COUNTA(A372:L372)=0,"""",IFS(OR(A372="""",B372="""",C372="""",D372="""",E372="""",F372="""",G372="""",H372="""",K372=""""),""Ошибка: обязательные поля"",NOT(REGEXMATCH(H372,""^https?://[^ /]+"")),""Ошибка: некорректная ссылка"",COUNTIF('Справочники'!$A"&amp;"$4:$A$24,C372)=0,""Ошибка: территория вне справочника"",K372=""Недоступен"",""Ошибка: ссылка недоступна"",E372=""Неофициальный источник"",IF(K372=""Активен"",""Готово"",""Проверить: активность""),COUNTIF($H$6:$H$504,H372)&gt;1,""Проверить: повтор URL"",I372&lt;"&amp;"&gt;""Подтверждено"",""Проверить: официальность / комментарий"",K372&lt;&gt;""Активен"",""Проверить: активность"",AND(ISNUMBER(J372),J372&lt;TODAY()-30),""Проверить: публикации старше 30 дней"",TRUE,""Готово""))"),"")</f>
        <v/>
      </c>
    </row>
    <row r="373" spans="1:13" ht="25.5" customHeight="1">
      <c r="A373" s="27"/>
      <c r="B373" s="28"/>
      <c r="C373" s="27"/>
      <c r="D373" s="29"/>
      <c r="E373" s="27"/>
      <c r="F373" s="27"/>
      <c r="G373" s="29"/>
      <c r="H373" s="30"/>
      <c r="I373" s="29"/>
      <c r="J373" s="28"/>
      <c r="K373" s="27"/>
      <c r="L373" s="29"/>
      <c r="M373" s="25" t="str">
        <f ca="1">IFERROR(__xludf.DUMMYFUNCTION("IF(COUNTA(A373:L373)=0,"""",IFS(OR(A373="""",B373="""",C373="""",D373="""",E373="""",F373="""",G373="""",H373="""",K373=""""),""Ошибка: обязательные поля"",NOT(REGEXMATCH(H373,""^https?://[^ /]+"")),""Ошибка: некорректная ссылка"",COUNTIF('Справочники'!$A"&amp;"$4:$A$24,C373)=0,""Ошибка: территория вне справочника"",K373=""Недоступен"",""Ошибка: ссылка недоступна"",E373=""Неофициальный источник"",IF(K373=""Активен"",""Готово"",""Проверить: активность""),COUNTIF($H$6:$H$504,H373)&gt;1,""Проверить: повтор URL"",I373&lt;"&amp;"&gt;""Подтверждено"",""Проверить: официальность / комментарий"",K373&lt;&gt;""Активен"",""Проверить: активность"",AND(ISNUMBER(J373),J373&lt;TODAY()-30),""Проверить: публикации старше 30 дней"",TRUE,""Готово""))"),"")</f>
        <v/>
      </c>
    </row>
    <row r="374" spans="1:13" ht="25.5" customHeight="1">
      <c r="A374" s="27"/>
      <c r="B374" s="28"/>
      <c r="C374" s="27"/>
      <c r="D374" s="29"/>
      <c r="E374" s="27"/>
      <c r="F374" s="27"/>
      <c r="G374" s="29"/>
      <c r="H374" s="30"/>
      <c r="I374" s="29"/>
      <c r="J374" s="28"/>
      <c r="K374" s="27"/>
      <c r="L374" s="29"/>
      <c r="M374" s="25" t="str">
        <f ca="1">IFERROR(__xludf.DUMMYFUNCTION("IF(COUNTA(A374:L374)=0,"""",IFS(OR(A374="""",B374="""",C374="""",D374="""",E374="""",F374="""",G374="""",H374="""",K374=""""),""Ошибка: обязательные поля"",NOT(REGEXMATCH(H374,""^https?://[^ /]+"")),""Ошибка: некорректная ссылка"",COUNTIF('Справочники'!$A"&amp;"$4:$A$24,C374)=0,""Ошибка: территория вне справочника"",K374=""Недоступен"",""Ошибка: ссылка недоступна"",E374=""Неофициальный источник"",IF(K374=""Активен"",""Готово"",""Проверить: активность""),COUNTIF($H$6:$H$504,H374)&gt;1,""Проверить: повтор URL"",I374&lt;"&amp;"&gt;""Подтверждено"",""Проверить: официальность / комментарий"",K374&lt;&gt;""Активен"",""Проверить: активность"",AND(ISNUMBER(J374),J374&lt;TODAY()-30),""Проверить: публикации старше 30 дней"",TRUE,""Готово""))"),"")</f>
        <v/>
      </c>
    </row>
    <row r="375" spans="1:13" ht="25.5" customHeight="1">
      <c r="A375" s="27"/>
      <c r="B375" s="28"/>
      <c r="C375" s="27"/>
      <c r="D375" s="29"/>
      <c r="E375" s="27"/>
      <c r="F375" s="27"/>
      <c r="G375" s="29"/>
      <c r="H375" s="30"/>
      <c r="I375" s="29"/>
      <c r="J375" s="28"/>
      <c r="K375" s="27"/>
      <c r="L375" s="29"/>
      <c r="M375" s="25" t="str">
        <f ca="1">IFERROR(__xludf.DUMMYFUNCTION("IF(COUNTA(A375:L375)=0,"""",IFS(OR(A375="""",B375="""",C375="""",D375="""",E375="""",F375="""",G375="""",H375="""",K375=""""),""Ошибка: обязательные поля"",NOT(REGEXMATCH(H375,""^https?://[^ /]+"")),""Ошибка: некорректная ссылка"",COUNTIF('Справочники'!$A"&amp;"$4:$A$24,C375)=0,""Ошибка: территория вне справочника"",K375=""Недоступен"",""Ошибка: ссылка недоступна"",E375=""Неофициальный источник"",IF(K375=""Активен"",""Готово"",""Проверить: активность""),COUNTIF($H$6:$H$504,H375)&gt;1,""Проверить: повтор URL"",I375&lt;"&amp;"&gt;""Подтверждено"",""Проверить: официальность / комментарий"",K375&lt;&gt;""Активен"",""Проверить: активность"",AND(ISNUMBER(J375),J375&lt;TODAY()-30),""Проверить: публикации старше 30 дней"",TRUE,""Готово""))"),"")</f>
        <v/>
      </c>
    </row>
    <row r="376" spans="1:13" ht="25.5" customHeight="1">
      <c r="A376" s="27"/>
      <c r="B376" s="28"/>
      <c r="C376" s="27"/>
      <c r="D376" s="29"/>
      <c r="E376" s="27"/>
      <c r="F376" s="27"/>
      <c r="G376" s="29"/>
      <c r="H376" s="30"/>
      <c r="I376" s="29"/>
      <c r="J376" s="28"/>
      <c r="K376" s="27"/>
      <c r="L376" s="29"/>
      <c r="M376" s="25" t="str">
        <f ca="1">IFERROR(__xludf.DUMMYFUNCTION("IF(COUNTA(A376:L376)=0,"""",IFS(OR(A376="""",B376="""",C376="""",D376="""",E376="""",F376="""",G376="""",H376="""",K376=""""),""Ошибка: обязательные поля"",NOT(REGEXMATCH(H376,""^https?://[^ /]+"")),""Ошибка: некорректная ссылка"",COUNTIF('Справочники'!$A"&amp;"$4:$A$24,C376)=0,""Ошибка: территория вне справочника"",K376=""Недоступен"",""Ошибка: ссылка недоступна"",E376=""Неофициальный источник"",IF(K376=""Активен"",""Готово"",""Проверить: активность""),COUNTIF($H$6:$H$504,H376)&gt;1,""Проверить: повтор URL"",I376&lt;"&amp;"&gt;""Подтверждено"",""Проверить: официальность / комментарий"",K376&lt;&gt;""Активен"",""Проверить: активность"",AND(ISNUMBER(J376),J376&lt;TODAY()-30),""Проверить: публикации старше 30 дней"",TRUE,""Готово""))"),"")</f>
        <v/>
      </c>
    </row>
    <row r="377" spans="1:13" ht="25.5" customHeight="1">
      <c r="A377" s="27"/>
      <c r="B377" s="28"/>
      <c r="C377" s="27"/>
      <c r="D377" s="29"/>
      <c r="E377" s="27"/>
      <c r="F377" s="27"/>
      <c r="G377" s="29"/>
      <c r="H377" s="30"/>
      <c r="I377" s="29"/>
      <c r="J377" s="28"/>
      <c r="K377" s="27"/>
      <c r="L377" s="29"/>
      <c r="M377" s="25" t="str">
        <f ca="1">IFERROR(__xludf.DUMMYFUNCTION("IF(COUNTA(A377:L377)=0,"""",IFS(OR(A377="""",B377="""",C377="""",D377="""",E377="""",F377="""",G377="""",H377="""",K377=""""),""Ошибка: обязательные поля"",NOT(REGEXMATCH(H377,""^https?://[^ /]+"")),""Ошибка: некорректная ссылка"",COUNTIF('Справочники'!$A"&amp;"$4:$A$24,C377)=0,""Ошибка: территория вне справочника"",K377=""Недоступен"",""Ошибка: ссылка недоступна"",E377=""Неофициальный источник"",IF(K377=""Активен"",""Готово"",""Проверить: активность""),COUNTIF($H$6:$H$504,H377)&gt;1,""Проверить: повтор URL"",I377&lt;"&amp;"&gt;""Подтверждено"",""Проверить: официальность / комментарий"",K377&lt;&gt;""Активен"",""Проверить: активность"",AND(ISNUMBER(J377),J377&lt;TODAY()-30),""Проверить: публикации старше 30 дней"",TRUE,""Готово""))"),"")</f>
        <v/>
      </c>
    </row>
    <row r="378" spans="1:13" ht="25.5" customHeight="1">
      <c r="A378" s="27"/>
      <c r="B378" s="28"/>
      <c r="C378" s="27"/>
      <c r="D378" s="29"/>
      <c r="E378" s="27"/>
      <c r="F378" s="27"/>
      <c r="G378" s="29"/>
      <c r="H378" s="30"/>
      <c r="I378" s="29"/>
      <c r="J378" s="28"/>
      <c r="K378" s="27"/>
      <c r="L378" s="29"/>
      <c r="M378" s="25" t="str">
        <f ca="1">IFERROR(__xludf.DUMMYFUNCTION("IF(COUNTA(A378:L378)=0,"""",IFS(OR(A378="""",B378="""",C378="""",D378="""",E378="""",F378="""",G378="""",H378="""",K378=""""),""Ошибка: обязательные поля"",NOT(REGEXMATCH(H378,""^https?://[^ /]+"")),""Ошибка: некорректная ссылка"",COUNTIF('Справочники'!$A"&amp;"$4:$A$24,C378)=0,""Ошибка: территория вне справочника"",K378=""Недоступен"",""Ошибка: ссылка недоступна"",E378=""Неофициальный источник"",IF(K378=""Активен"",""Готово"",""Проверить: активность""),COUNTIF($H$6:$H$504,H378)&gt;1,""Проверить: повтор URL"",I378&lt;"&amp;"&gt;""Подтверждено"",""Проверить: официальность / комментарий"",K378&lt;&gt;""Активен"",""Проверить: активность"",AND(ISNUMBER(J378),J378&lt;TODAY()-30),""Проверить: публикации старше 30 дней"",TRUE,""Готово""))"),"")</f>
        <v/>
      </c>
    </row>
    <row r="379" spans="1:13" ht="25.5" customHeight="1">
      <c r="A379" s="27"/>
      <c r="B379" s="28"/>
      <c r="C379" s="27"/>
      <c r="D379" s="29"/>
      <c r="E379" s="27"/>
      <c r="F379" s="27"/>
      <c r="G379" s="29"/>
      <c r="H379" s="30"/>
      <c r="I379" s="29"/>
      <c r="J379" s="28"/>
      <c r="K379" s="27"/>
      <c r="L379" s="29"/>
      <c r="M379" s="25" t="str">
        <f ca="1">IFERROR(__xludf.DUMMYFUNCTION("IF(COUNTA(A379:L379)=0,"""",IFS(OR(A379="""",B379="""",C379="""",D379="""",E379="""",F379="""",G379="""",H379="""",K379=""""),""Ошибка: обязательные поля"",NOT(REGEXMATCH(H379,""^https?://[^ /]+"")),""Ошибка: некорректная ссылка"",COUNTIF('Справочники'!$A"&amp;"$4:$A$24,C379)=0,""Ошибка: территория вне справочника"",K379=""Недоступен"",""Ошибка: ссылка недоступна"",E379=""Неофициальный источник"",IF(K379=""Активен"",""Готово"",""Проверить: активность""),COUNTIF($H$6:$H$504,H379)&gt;1,""Проверить: повтор URL"",I379&lt;"&amp;"&gt;""Подтверждено"",""Проверить: официальность / комментарий"",K379&lt;&gt;""Активен"",""Проверить: активность"",AND(ISNUMBER(J379),J379&lt;TODAY()-30),""Проверить: публикации старше 30 дней"",TRUE,""Готово""))"),"")</f>
        <v/>
      </c>
    </row>
    <row r="380" spans="1:13" ht="25.5" customHeight="1">
      <c r="A380" s="27"/>
      <c r="B380" s="28"/>
      <c r="C380" s="27"/>
      <c r="D380" s="29"/>
      <c r="E380" s="27"/>
      <c r="F380" s="27"/>
      <c r="G380" s="29"/>
      <c r="H380" s="30"/>
      <c r="I380" s="29"/>
      <c r="J380" s="28"/>
      <c r="K380" s="27"/>
      <c r="L380" s="29"/>
      <c r="M380" s="25" t="str">
        <f ca="1">IFERROR(__xludf.DUMMYFUNCTION("IF(COUNTA(A380:L380)=0,"""",IFS(OR(A380="""",B380="""",C380="""",D380="""",E380="""",F380="""",G380="""",H380="""",K380=""""),""Ошибка: обязательные поля"",NOT(REGEXMATCH(H380,""^https?://[^ /]+"")),""Ошибка: некорректная ссылка"",COUNTIF('Справочники'!$A"&amp;"$4:$A$24,C380)=0,""Ошибка: территория вне справочника"",K380=""Недоступен"",""Ошибка: ссылка недоступна"",E380=""Неофициальный источник"",IF(K380=""Активен"",""Готово"",""Проверить: активность""),COUNTIF($H$6:$H$504,H380)&gt;1,""Проверить: повтор URL"",I380&lt;"&amp;"&gt;""Подтверждено"",""Проверить: официальность / комментарий"",K380&lt;&gt;""Активен"",""Проверить: активность"",AND(ISNUMBER(J380),J380&lt;TODAY()-30),""Проверить: публикации старше 30 дней"",TRUE,""Готово""))"),"")</f>
        <v/>
      </c>
    </row>
    <row r="381" spans="1:13" ht="25.5" customHeight="1">
      <c r="A381" s="27"/>
      <c r="B381" s="28"/>
      <c r="C381" s="27"/>
      <c r="D381" s="29"/>
      <c r="E381" s="27"/>
      <c r="F381" s="27"/>
      <c r="G381" s="29"/>
      <c r="H381" s="30"/>
      <c r="I381" s="29"/>
      <c r="J381" s="28"/>
      <c r="K381" s="27"/>
      <c r="L381" s="29"/>
      <c r="M381" s="25" t="str">
        <f ca="1">IFERROR(__xludf.DUMMYFUNCTION("IF(COUNTA(A381:L381)=0,"""",IFS(OR(A381="""",B381="""",C381="""",D381="""",E381="""",F381="""",G381="""",H381="""",K381=""""),""Ошибка: обязательные поля"",NOT(REGEXMATCH(H381,""^https?://[^ /]+"")),""Ошибка: некорректная ссылка"",COUNTIF('Справочники'!$A"&amp;"$4:$A$24,C381)=0,""Ошибка: территория вне справочника"",K381=""Недоступен"",""Ошибка: ссылка недоступна"",E381=""Неофициальный источник"",IF(K381=""Активен"",""Готово"",""Проверить: активность""),COUNTIF($H$6:$H$504,H381)&gt;1,""Проверить: повтор URL"",I381&lt;"&amp;"&gt;""Подтверждено"",""Проверить: официальность / комментарий"",K381&lt;&gt;""Активен"",""Проверить: активность"",AND(ISNUMBER(J381),J381&lt;TODAY()-30),""Проверить: публикации старше 30 дней"",TRUE,""Готово""))"),"")</f>
        <v/>
      </c>
    </row>
    <row r="382" spans="1:13" ht="25.5" customHeight="1">
      <c r="A382" s="27"/>
      <c r="B382" s="28"/>
      <c r="C382" s="27"/>
      <c r="D382" s="29"/>
      <c r="E382" s="27"/>
      <c r="F382" s="27"/>
      <c r="G382" s="29"/>
      <c r="H382" s="30"/>
      <c r="I382" s="29"/>
      <c r="J382" s="28"/>
      <c r="K382" s="27"/>
      <c r="L382" s="29"/>
      <c r="M382" s="25" t="str">
        <f ca="1">IFERROR(__xludf.DUMMYFUNCTION("IF(COUNTA(A382:L382)=0,"""",IFS(OR(A382="""",B382="""",C382="""",D382="""",E382="""",F382="""",G382="""",H382="""",K382=""""),""Ошибка: обязательные поля"",NOT(REGEXMATCH(H382,""^https?://[^ /]+"")),""Ошибка: некорректная ссылка"",COUNTIF('Справочники'!$A"&amp;"$4:$A$24,C382)=0,""Ошибка: территория вне справочника"",K382=""Недоступен"",""Ошибка: ссылка недоступна"",E382=""Неофициальный источник"",IF(K382=""Активен"",""Готово"",""Проверить: активность""),COUNTIF($H$6:$H$504,H382)&gt;1,""Проверить: повтор URL"",I382&lt;"&amp;"&gt;""Подтверждено"",""Проверить: официальность / комментарий"",K382&lt;&gt;""Активен"",""Проверить: активность"",AND(ISNUMBER(J382),J382&lt;TODAY()-30),""Проверить: публикации старше 30 дней"",TRUE,""Готово""))"),"")</f>
        <v/>
      </c>
    </row>
    <row r="383" spans="1:13" ht="25.5" customHeight="1">
      <c r="A383" s="27"/>
      <c r="B383" s="28"/>
      <c r="C383" s="27"/>
      <c r="D383" s="29"/>
      <c r="E383" s="27"/>
      <c r="F383" s="27"/>
      <c r="G383" s="29"/>
      <c r="H383" s="30"/>
      <c r="I383" s="29"/>
      <c r="J383" s="28"/>
      <c r="K383" s="27"/>
      <c r="L383" s="29"/>
      <c r="M383" s="25" t="str">
        <f ca="1">IFERROR(__xludf.DUMMYFUNCTION("IF(COUNTA(A383:L383)=0,"""",IFS(OR(A383="""",B383="""",C383="""",D383="""",E383="""",F383="""",G383="""",H383="""",K383=""""),""Ошибка: обязательные поля"",NOT(REGEXMATCH(H383,""^https?://[^ /]+"")),""Ошибка: некорректная ссылка"",COUNTIF('Справочники'!$A"&amp;"$4:$A$24,C383)=0,""Ошибка: территория вне справочника"",K383=""Недоступен"",""Ошибка: ссылка недоступна"",E383=""Неофициальный источник"",IF(K383=""Активен"",""Готово"",""Проверить: активность""),COUNTIF($H$6:$H$504,H383)&gt;1,""Проверить: повтор URL"",I383&lt;"&amp;"&gt;""Подтверждено"",""Проверить: официальность / комментарий"",K383&lt;&gt;""Активен"",""Проверить: активность"",AND(ISNUMBER(J383),J383&lt;TODAY()-30),""Проверить: публикации старше 30 дней"",TRUE,""Готово""))"),"")</f>
        <v/>
      </c>
    </row>
    <row r="384" spans="1:13" ht="25.5" customHeight="1">
      <c r="A384" s="27"/>
      <c r="B384" s="28"/>
      <c r="C384" s="27"/>
      <c r="D384" s="29"/>
      <c r="E384" s="27"/>
      <c r="F384" s="27"/>
      <c r="G384" s="29"/>
      <c r="H384" s="30"/>
      <c r="I384" s="29"/>
      <c r="J384" s="28"/>
      <c r="K384" s="27"/>
      <c r="L384" s="29"/>
      <c r="M384" s="25" t="str">
        <f ca="1">IFERROR(__xludf.DUMMYFUNCTION("IF(COUNTA(A384:L384)=0,"""",IFS(OR(A384="""",B384="""",C384="""",D384="""",E384="""",F384="""",G384="""",H384="""",K384=""""),""Ошибка: обязательные поля"",NOT(REGEXMATCH(H384,""^https?://[^ /]+"")),""Ошибка: некорректная ссылка"",COUNTIF('Справочники'!$A"&amp;"$4:$A$24,C384)=0,""Ошибка: территория вне справочника"",K384=""Недоступен"",""Ошибка: ссылка недоступна"",E384=""Неофициальный источник"",IF(K384=""Активен"",""Готово"",""Проверить: активность""),COUNTIF($H$6:$H$504,H384)&gt;1,""Проверить: повтор URL"",I384&lt;"&amp;"&gt;""Подтверждено"",""Проверить: официальность / комментарий"",K384&lt;&gt;""Активен"",""Проверить: активность"",AND(ISNUMBER(J384),J384&lt;TODAY()-30),""Проверить: публикации старше 30 дней"",TRUE,""Готово""))"),"")</f>
        <v/>
      </c>
    </row>
    <row r="385" spans="1:13" ht="25.5" customHeight="1">
      <c r="A385" s="27"/>
      <c r="B385" s="28"/>
      <c r="C385" s="27"/>
      <c r="D385" s="29"/>
      <c r="E385" s="27"/>
      <c r="F385" s="27"/>
      <c r="G385" s="29"/>
      <c r="H385" s="30"/>
      <c r="I385" s="29"/>
      <c r="J385" s="28"/>
      <c r="K385" s="27"/>
      <c r="L385" s="29"/>
      <c r="M385" s="25" t="str">
        <f ca="1">IFERROR(__xludf.DUMMYFUNCTION("IF(COUNTA(A385:L385)=0,"""",IFS(OR(A385="""",B385="""",C385="""",D385="""",E385="""",F385="""",G385="""",H385="""",K385=""""),""Ошибка: обязательные поля"",NOT(REGEXMATCH(H385,""^https?://[^ /]+"")),""Ошибка: некорректная ссылка"",COUNTIF('Справочники'!$A"&amp;"$4:$A$24,C385)=0,""Ошибка: территория вне справочника"",K385=""Недоступен"",""Ошибка: ссылка недоступна"",E385=""Неофициальный источник"",IF(K385=""Активен"",""Готово"",""Проверить: активность""),COUNTIF($H$6:$H$504,H385)&gt;1,""Проверить: повтор URL"",I385&lt;"&amp;"&gt;""Подтверждено"",""Проверить: официальность / комментарий"",K385&lt;&gt;""Активен"",""Проверить: активность"",AND(ISNUMBER(J385),J385&lt;TODAY()-30),""Проверить: публикации старше 30 дней"",TRUE,""Готово""))"),"")</f>
        <v/>
      </c>
    </row>
    <row r="386" spans="1:13" ht="25.5" customHeight="1">
      <c r="A386" s="27"/>
      <c r="B386" s="28"/>
      <c r="C386" s="27"/>
      <c r="D386" s="29"/>
      <c r="E386" s="27"/>
      <c r="F386" s="27"/>
      <c r="G386" s="29"/>
      <c r="H386" s="30"/>
      <c r="I386" s="29"/>
      <c r="J386" s="28"/>
      <c r="K386" s="27"/>
      <c r="L386" s="29"/>
      <c r="M386" s="25" t="str">
        <f ca="1">IFERROR(__xludf.DUMMYFUNCTION("IF(COUNTA(A386:L386)=0,"""",IFS(OR(A386="""",B386="""",C386="""",D386="""",E386="""",F386="""",G386="""",H386="""",K386=""""),""Ошибка: обязательные поля"",NOT(REGEXMATCH(H386,""^https?://[^ /]+"")),""Ошибка: некорректная ссылка"",COUNTIF('Справочники'!$A"&amp;"$4:$A$24,C386)=0,""Ошибка: территория вне справочника"",K386=""Недоступен"",""Ошибка: ссылка недоступна"",E386=""Неофициальный источник"",IF(K386=""Активен"",""Готово"",""Проверить: активность""),COUNTIF($H$6:$H$504,H386)&gt;1,""Проверить: повтор URL"",I386&lt;"&amp;"&gt;""Подтверждено"",""Проверить: официальность / комментарий"",K386&lt;&gt;""Активен"",""Проверить: активность"",AND(ISNUMBER(J386),J386&lt;TODAY()-30),""Проверить: публикации старше 30 дней"",TRUE,""Готово""))"),"")</f>
        <v/>
      </c>
    </row>
    <row r="387" spans="1:13" ht="25.5" customHeight="1">
      <c r="A387" s="27"/>
      <c r="B387" s="28"/>
      <c r="C387" s="27"/>
      <c r="D387" s="29"/>
      <c r="E387" s="27"/>
      <c r="F387" s="27"/>
      <c r="G387" s="29"/>
      <c r="H387" s="30"/>
      <c r="I387" s="29"/>
      <c r="J387" s="28"/>
      <c r="K387" s="27"/>
      <c r="L387" s="29"/>
      <c r="M387" s="25" t="str">
        <f ca="1">IFERROR(__xludf.DUMMYFUNCTION("IF(COUNTA(A387:L387)=0,"""",IFS(OR(A387="""",B387="""",C387="""",D387="""",E387="""",F387="""",G387="""",H387="""",K387=""""),""Ошибка: обязательные поля"",NOT(REGEXMATCH(H387,""^https?://[^ /]+"")),""Ошибка: некорректная ссылка"",COUNTIF('Справочники'!$A"&amp;"$4:$A$24,C387)=0,""Ошибка: территория вне справочника"",K387=""Недоступен"",""Ошибка: ссылка недоступна"",E387=""Неофициальный источник"",IF(K387=""Активен"",""Готово"",""Проверить: активность""),COUNTIF($H$6:$H$504,H387)&gt;1,""Проверить: повтор URL"",I387&lt;"&amp;"&gt;""Подтверждено"",""Проверить: официальность / комментарий"",K387&lt;&gt;""Активен"",""Проверить: активность"",AND(ISNUMBER(J387),J387&lt;TODAY()-30),""Проверить: публикации старше 30 дней"",TRUE,""Готово""))"),"")</f>
        <v/>
      </c>
    </row>
    <row r="388" spans="1:13" ht="25.5" customHeight="1">
      <c r="A388" s="27"/>
      <c r="B388" s="28"/>
      <c r="C388" s="27"/>
      <c r="D388" s="29"/>
      <c r="E388" s="27"/>
      <c r="F388" s="27"/>
      <c r="G388" s="29"/>
      <c r="H388" s="30"/>
      <c r="I388" s="29"/>
      <c r="J388" s="28"/>
      <c r="K388" s="27"/>
      <c r="L388" s="29"/>
      <c r="M388" s="25" t="str">
        <f ca="1">IFERROR(__xludf.DUMMYFUNCTION("IF(COUNTA(A388:L388)=0,"""",IFS(OR(A388="""",B388="""",C388="""",D388="""",E388="""",F388="""",G388="""",H388="""",K388=""""),""Ошибка: обязательные поля"",NOT(REGEXMATCH(H388,""^https?://[^ /]+"")),""Ошибка: некорректная ссылка"",COUNTIF('Справочники'!$A"&amp;"$4:$A$24,C388)=0,""Ошибка: территория вне справочника"",K388=""Недоступен"",""Ошибка: ссылка недоступна"",E388=""Неофициальный источник"",IF(K388=""Активен"",""Готово"",""Проверить: активность""),COUNTIF($H$6:$H$504,H388)&gt;1,""Проверить: повтор URL"",I388&lt;"&amp;"&gt;""Подтверждено"",""Проверить: официальность / комментарий"",K388&lt;&gt;""Активен"",""Проверить: активность"",AND(ISNUMBER(J388),J388&lt;TODAY()-30),""Проверить: публикации старше 30 дней"",TRUE,""Готово""))"),"")</f>
        <v/>
      </c>
    </row>
    <row r="389" spans="1:13" ht="25.5" customHeight="1">
      <c r="A389" s="27"/>
      <c r="B389" s="28"/>
      <c r="C389" s="27"/>
      <c r="D389" s="29"/>
      <c r="E389" s="27"/>
      <c r="F389" s="27"/>
      <c r="G389" s="29"/>
      <c r="H389" s="30"/>
      <c r="I389" s="29"/>
      <c r="J389" s="28"/>
      <c r="K389" s="27"/>
      <c r="L389" s="29"/>
      <c r="M389" s="25" t="str">
        <f ca="1">IFERROR(__xludf.DUMMYFUNCTION("IF(COUNTA(A389:L389)=0,"""",IFS(OR(A389="""",B389="""",C389="""",D389="""",E389="""",F389="""",G389="""",H389="""",K389=""""),""Ошибка: обязательные поля"",NOT(REGEXMATCH(H389,""^https?://[^ /]+"")),""Ошибка: некорректная ссылка"",COUNTIF('Справочники'!$A"&amp;"$4:$A$24,C389)=0,""Ошибка: территория вне справочника"",K389=""Недоступен"",""Ошибка: ссылка недоступна"",E389=""Неофициальный источник"",IF(K389=""Активен"",""Готово"",""Проверить: активность""),COUNTIF($H$6:$H$504,H389)&gt;1,""Проверить: повтор URL"",I389&lt;"&amp;"&gt;""Подтверждено"",""Проверить: официальность / комментарий"",K389&lt;&gt;""Активен"",""Проверить: активность"",AND(ISNUMBER(J389),J389&lt;TODAY()-30),""Проверить: публикации старше 30 дней"",TRUE,""Готово""))"),"")</f>
        <v/>
      </c>
    </row>
    <row r="390" spans="1:13" ht="25.5" customHeight="1">
      <c r="A390" s="27"/>
      <c r="B390" s="28"/>
      <c r="C390" s="27"/>
      <c r="D390" s="29"/>
      <c r="E390" s="27"/>
      <c r="F390" s="27"/>
      <c r="G390" s="29"/>
      <c r="H390" s="30"/>
      <c r="I390" s="29"/>
      <c r="J390" s="28"/>
      <c r="K390" s="27"/>
      <c r="L390" s="29"/>
      <c r="M390" s="25" t="str">
        <f ca="1">IFERROR(__xludf.DUMMYFUNCTION("IF(COUNTA(A390:L390)=0,"""",IFS(OR(A390="""",B390="""",C390="""",D390="""",E390="""",F390="""",G390="""",H390="""",K390=""""),""Ошибка: обязательные поля"",NOT(REGEXMATCH(H390,""^https?://[^ /]+"")),""Ошибка: некорректная ссылка"",COUNTIF('Справочники'!$A"&amp;"$4:$A$24,C390)=0,""Ошибка: территория вне справочника"",K390=""Недоступен"",""Ошибка: ссылка недоступна"",E390=""Неофициальный источник"",IF(K390=""Активен"",""Готово"",""Проверить: активность""),COUNTIF($H$6:$H$504,H390)&gt;1,""Проверить: повтор URL"",I390&lt;"&amp;"&gt;""Подтверждено"",""Проверить: официальность / комментарий"",K390&lt;&gt;""Активен"",""Проверить: активность"",AND(ISNUMBER(J390),J390&lt;TODAY()-30),""Проверить: публикации старше 30 дней"",TRUE,""Готово""))"),"")</f>
        <v/>
      </c>
    </row>
    <row r="391" spans="1:13" ht="25.5" customHeight="1">
      <c r="A391" s="27"/>
      <c r="B391" s="28"/>
      <c r="C391" s="27"/>
      <c r="D391" s="29"/>
      <c r="E391" s="27"/>
      <c r="F391" s="27"/>
      <c r="G391" s="29"/>
      <c r="H391" s="30"/>
      <c r="I391" s="29"/>
      <c r="J391" s="28"/>
      <c r="K391" s="27"/>
      <c r="L391" s="29"/>
      <c r="M391" s="25" t="str">
        <f ca="1">IFERROR(__xludf.DUMMYFUNCTION("IF(COUNTA(A391:L391)=0,"""",IFS(OR(A391="""",B391="""",C391="""",D391="""",E391="""",F391="""",G391="""",H391="""",K391=""""),""Ошибка: обязательные поля"",NOT(REGEXMATCH(H391,""^https?://[^ /]+"")),""Ошибка: некорректная ссылка"",COUNTIF('Справочники'!$A"&amp;"$4:$A$24,C391)=0,""Ошибка: территория вне справочника"",K391=""Недоступен"",""Ошибка: ссылка недоступна"",E391=""Неофициальный источник"",IF(K391=""Активен"",""Готово"",""Проверить: активность""),COUNTIF($H$6:$H$504,H391)&gt;1,""Проверить: повтор URL"",I391&lt;"&amp;"&gt;""Подтверждено"",""Проверить: официальность / комментарий"",K391&lt;&gt;""Активен"",""Проверить: активность"",AND(ISNUMBER(J391),J391&lt;TODAY()-30),""Проверить: публикации старше 30 дней"",TRUE,""Готово""))"),"")</f>
        <v/>
      </c>
    </row>
    <row r="392" spans="1:13" ht="25.5" customHeight="1">
      <c r="A392" s="27"/>
      <c r="B392" s="28"/>
      <c r="C392" s="27"/>
      <c r="D392" s="29"/>
      <c r="E392" s="27"/>
      <c r="F392" s="27"/>
      <c r="G392" s="29"/>
      <c r="H392" s="30"/>
      <c r="I392" s="29"/>
      <c r="J392" s="28"/>
      <c r="K392" s="27"/>
      <c r="L392" s="29"/>
      <c r="M392" s="25" t="str">
        <f ca="1">IFERROR(__xludf.DUMMYFUNCTION("IF(COUNTA(A392:L392)=0,"""",IFS(OR(A392="""",B392="""",C392="""",D392="""",E392="""",F392="""",G392="""",H392="""",K392=""""),""Ошибка: обязательные поля"",NOT(REGEXMATCH(H392,""^https?://[^ /]+"")),""Ошибка: некорректная ссылка"",COUNTIF('Справочники'!$A"&amp;"$4:$A$24,C392)=0,""Ошибка: территория вне справочника"",K392=""Недоступен"",""Ошибка: ссылка недоступна"",E392=""Неофициальный источник"",IF(K392=""Активен"",""Готово"",""Проверить: активность""),COUNTIF($H$6:$H$504,H392)&gt;1,""Проверить: повтор URL"",I392&lt;"&amp;"&gt;""Подтверждено"",""Проверить: официальность / комментарий"",K392&lt;&gt;""Активен"",""Проверить: активность"",AND(ISNUMBER(J392),J392&lt;TODAY()-30),""Проверить: публикации старше 30 дней"",TRUE,""Готово""))"),"")</f>
        <v/>
      </c>
    </row>
    <row r="393" spans="1:13" ht="25.5" customHeight="1">
      <c r="A393" s="27"/>
      <c r="B393" s="28"/>
      <c r="C393" s="27"/>
      <c r="D393" s="29"/>
      <c r="E393" s="27"/>
      <c r="F393" s="27"/>
      <c r="G393" s="29"/>
      <c r="H393" s="30"/>
      <c r="I393" s="29"/>
      <c r="J393" s="28"/>
      <c r="K393" s="27"/>
      <c r="L393" s="29"/>
      <c r="M393" s="25" t="str">
        <f ca="1">IFERROR(__xludf.DUMMYFUNCTION("IF(COUNTA(A393:L393)=0,"""",IFS(OR(A393="""",B393="""",C393="""",D393="""",E393="""",F393="""",G393="""",H393="""",K393=""""),""Ошибка: обязательные поля"",NOT(REGEXMATCH(H393,""^https?://[^ /]+"")),""Ошибка: некорректная ссылка"",COUNTIF('Справочники'!$A"&amp;"$4:$A$24,C393)=0,""Ошибка: территория вне справочника"",K393=""Недоступен"",""Ошибка: ссылка недоступна"",E393=""Неофициальный источник"",IF(K393=""Активен"",""Готово"",""Проверить: активность""),COUNTIF($H$6:$H$504,H393)&gt;1,""Проверить: повтор URL"",I393&lt;"&amp;"&gt;""Подтверждено"",""Проверить: официальность / комментарий"",K393&lt;&gt;""Активен"",""Проверить: активность"",AND(ISNUMBER(J393),J393&lt;TODAY()-30),""Проверить: публикации старше 30 дней"",TRUE,""Готово""))"),"")</f>
        <v/>
      </c>
    </row>
    <row r="394" spans="1:13" ht="25.5" customHeight="1">
      <c r="A394" s="27"/>
      <c r="B394" s="28"/>
      <c r="C394" s="27"/>
      <c r="D394" s="29"/>
      <c r="E394" s="27"/>
      <c r="F394" s="27"/>
      <c r="G394" s="29"/>
      <c r="H394" s="30"/>
      <c r="I394" s="29"/>
      <c r="J394" s="28"/>
      <c r="K394" s="27"/>
      <c r="L394" s="29"/>
      <c r="M394" s="25" t="str">
        <f ca="1">IFERROR(__xludf.DUMMYFUNCTION("IF(COUNTA(A394:L394)=0,"""",IFS(OR(A394="""",B394="""",C394="""",D394="""",E394="""",F394="""",G394="""",H394="""",K394=""""),""Ошибка: обязательные поля"",NOT(REGEXMATCH(H394,""^https?://[^ /]+"")),""Ошибка: некорректная ссылка"",COUNTIF('Справочники'!$A"&amp;"$4:$A$24,C394)=0,""Ошибка: территория вне справочника"",K394=""Недоступен"",""Ошибка: ссылка недоступна"",E394=""Неофициальный источник"",IF(K394=""Активен"",""Готово"",""Проверить: активность""),COUNTIF($H$6:$H$504,H394)&gt;1,""Проверить: повтор URL"",I394&lt;"&amp;"&gt;""Подтверждено"",""Проверить: официальность / комментарий"",K394&lt;&gt;""Активен"",""Проверить: активность"",AND(ISNUMBER(J394),J394&lt;TODAY()-30),""Проверить: публикации старше 30 дней"",TRUE,""Готово""))"),"")</f>
        <v/>
      </c>
    </row>
    <row r="395" spans="1:13" ht="25.5" customHeight="1">
      <c r="A395" s="27"/>
      <c r="B395" s="28"/>
      <c r="C395" s="27"/>
      <c r="D395" s="29"/>
      <c r="E395" s="27"/>
      <c r="F395" s="27"/>
      <c r="G395" s="29"/>
      <c r="H395" s="30"/>
      <c r="I395" s="29"/>
      <c r="J395" s="28"/>
      <c r="K395" s="27"/>
      <c r="L395" s="29"/>
      <c r="M395" s="25" t="str">
        <f ca="1">IFERROR(__xludf.DUMMYFUNCTION("IF(COUNTA(A395:L395)=0,"""",IFS(OR(A395="""",B395="""",C395="""",D395="""",E395="""",F395="""",G395="""",H395="""",K395=""""),""Ошибка: обязательные поля"",NOT(REGEXMATCH(H395,""^https?://[^ /]+"")),""Ошибка: некорректная ссылка"",COUNTIF('Справочники'!$A"&amp;"$4:$A$24,C395)=0,""Ошибка: территория вне справочника"",K395=""Недоступен"",""Ошибка: ссылка недоступна"",E395=""Неофициальный источник"",IF(K395=""Активен"",""Готово"",""Проверить: активность""),COUNTIF($H$6:$H$504,H395)&gt;1,""Проверить: повтор URL"",I395&lt;"&amp;"&gt;""Подтверждено"",""Проверить: официальность / комментарий"",K395&lt;&gt;""Активен"",""Проверить: активность"",AND(ISNUMBER(J395),J395&lt;TODAY()-30),""Проверить: публикации старше 30 дней"",TRUE,""Готово""))"),"")</f>
        <v/>
      </c>
    </row>
    <row r="396" spans="1:13" ht="25.5" customHeight="1">
      <c r="A396" s="27"/>
      <c r="B396" s="28"/>
      <c r="C396" s="27"/>
      <c r="D396" s="29"/>
      <c r="E396" s="27"/>
      <c r="F396" s="27"/>
      <c r="G396" s="29"/>
      <c r="H396" s="30"/>
      <c r="I396" s="29"/>
      <c r="J396" s="28"/>
      <c r="K396" s="27"/>
      <c r="L396" s="29"/>
      <c r="M396" s="25" t="str">
        <f ca="1">IFERROR(__xludf.DUMMYFUNCTION("IF(COUNTA(A396:L396)=0,"""",IFS(OR(A396="""",B396="""",C396="""",D396="""",E396="""",F396="""",G396="""",H396="""",K396=""""),""Ошибка: обязательные поля"",NOT(REGEXMATCH(H396,""^https?://[^ /]+"")),""Ошибка: некорректная ссылка"",COUNTIF('Справочники'!$A"&amp;"$4:$A$24,C396)=0,""Ошибка: территория вне справочника"",K396=""Недоступен"",""Ошибка: ссылка недоступна"",E396=""Неофициальный источник"",IF(K396=""Активен"",""Готово"",""Проверить: активность""),COUNTIF($H$6:$H$504,H396)&gt;1,""Проверить: повтор URL"",I396&lt;"&amp;"&gt;""Подтверждено"",""Проверить: официальность / комментарий"",K396&lt;&gt;""Активен"",""Проверить: активность"",AND(ISNUMBER(J396),J396&lt;TODAY()-30),""Проверить: публикации старше 30 дней"",TRUE,""Готово""))"),"")</f>
        <v/>
      </c>
    </row>
    <row r="397" spans="1:13" ht="25.5" customHeight="1">
      <c r="A397" s="27"/>
      <c r="B397" s="28"/>
      <c r="C397" s="27"/>
      <c r="D397" s="29"/>
      <c r="E397" s="27"/>
      <c r="F397" s="27"/>
      <c r="G397" s="29"/>
      <c r="H397" s="30"/>
      <c r="I397" s="29"/>
      <c r="J397" s="28"/>
      <c r="K397" s="27"/>
      <c r="L397" s="29"/>
      <c r="M397" s="25" t="str">
        <f ca="1">IFERROR(__xludf.DUMMYFUNCTION("IF(COUNTA(A397:L397)=0,"""",IFS(OR(A397="""",B397="""",C397="""",D397="""",E397="""",F397="""",G397="""",H397="""",K397=""""),""Ошибка: обязательные поля"",NOT(REGEXMATCH(H397,""^https?://[^ /]+"")),""Ошибка: некорректная ссылка"",COUNTIF('Справочники'!$A"&amp;"$4:$A$24,C397)=0,""Ошибка: территория вне справочника"",K397=""Недоступен"",""Ошибка: ссылка недоступна"",E397=""Неофициальный источник"",IF(K397=""Активен"",""Готово"",""Проверить: активность""),COUNTIF($H$6:$H$504,H397)&gt;1,""Проверить: повтор URL"",I397&lt;"&amp;"&gt;""Подтверждено"",""Проверить: официальность / комментарий"",K397&lt;&gt;""Активен"",""Проверить: активность"",AND(ISNUMBER(J397),J397&lt;TODAY()-30),""Проверить: публикации старше 30 дней"",TRUE,""Готово""))"),"")</f>
        <v/>
      </c>
    </row>
    <row r="398" spans="1:13" ht="25.5" customHeight="1">
      <c r="A398" s="27"/>
      <c r="B398" s="28"/>
      <c r="C398" s="27"/>
      <c r="D398" s="29"/>
      <c r="E398" s="27"/>
      <c r="F398" s="27"/>
      <c r="G398" s="29"/>
      <c r="H398" s="30"/>
      <c r="I398" s="29"/>
      <c r="J398" s="28"/>
      <c r="K398" s="27"/>
      <c r="L398" s="29"/>
      <c r="M398" s="25" t="str">
        <f ca="1">IFERROR(__xludf.DUMMYFUNCTION("IF(COUNTA(A398:L398)=0,"""",IFS(OR(A398="""",B398="""",C398="""",D398="""",E398="""",F398="""",G398="""",H398="""",K398=""""),""Ошибка: обязательные поля"",NOT(REGEXMATCH(H398,""^https?://[^ /]+"")),""Ошибка: некорректная ссылка"",COUNTIF('Справочники'!$A"&amp;"$4:$A$24,C398)=0,""Ошибка: территория вне справочника"",K398=""Недоступен"",""Ошибка: ссылка недоступна"",E398=""Неофициальный источник"",IF(K398=""Активен"",""Готово"",""Проверить: активность""),COUNTIF($H$6:$H$504,H398)&gt;1,""Проверить: повтор URL"",I398&lt;"&amp;"&gt;""Подтверждено"",""Проверить: официальность / комментарий"",K398&lt;&gt;""Активен"",""Проверить: активность"",AND(ISNUMBER(J398),J398&lt;TODAY()-30),""Проверить: публикации старше 30 дней"",TRUE,""Готово""))"),"")</f>
        <v/>
      </c>
    </row>
    <row r="399" spans="1:13" ht="25.5" customHeight="1">
      <c r="A399" s="27"/>
      <c r="B399" s="28"/>
      <c r="C399" s="27"/>
      <c r="D399" s="29"/>
      <c r="E399" s="27"/>
      <c r="F399" s="27"/>
      <c r="G399" s="29"/>
      <c r="H399" s="30"/>
      <c r="I399" s="29"/>
      <c r="J399" s="28"/>
      <c r="K399" s="27"/>
      <c r="L399" s="29"/>
      <c r="M399" s="25" t="str">
        <f ca="1">IFERROR(__xludf.DUMMYFUNCTION("IF(COUNTA(A399:L399)=0,"""",IFS(OR(A399="""",B399="""",C399="""",D399="""",E399="""",F399="""",G399="""",H399="""",K399=""""),""Ошибка: обязательные поля"",NOT(REGEXMATCH(H399,""^https?://[^ /]+"")),""Ошибка: некорректная ссылка"",COUNTIF('Справочники'!$A"&amp;"$4:$A$24,C399)=0,""Ошибка: территория вне справочника"",K399=""Недоступен"",""Ошибка: ссылка недоступна"",E399=""Неофициальный источник"",IF(K399=""Активен"",""Готово"",""Проверить: активность""),COUNTIF($H$6:$H$504,H399)&gt;1,""Проверить: повтор URL"",I399&lt;"&amp;"&gt;""Подтверждено"",""Проверить: официальность / комментарий"",K399&lt;&gt;""Активен"",""Проверить: активность"",AND(ISNUMBER(J399),J399&lt;TODAY()-30),""Проверить: публикации старше 30 дней"",TRUE,""Готово""))"),"")</f>
        <v/>
      </c>
    </row>
    <row r="400" spans="1:13" ht="25.5" customHeight="1">
      <c r="A400" s="27"/>
      <c r="B400" s="28"/>
      <c r="C400" s="27"/>
      <c r="D400" s="29"/>
      <c r="E400" s="27"/>
      <c r="F400" s="27"/>
      <c r="G400" s="29"/>
      <c r="H400" s="30"/>
      <c r="I400" s="29"/>
      <c r="J400" s="28"/>
      <c r="K400" s="27"/>
      <c r="L400" s="29"/>
      <c r="M400" s="25" t="str">
        <f ca="1">IFERROR(__xludf.DUMMYFUNCTION("IF(COUNTA(A400:L400)=0,"""",IFS(OR(A400="""",B400="""",C400="""",D400="""",E400="""",F400="""",G400="""",H400="""",K400=""""),""Ошибка: обязательные поля"",NOT(REGEXMATCH(H400,""^https?://[^ /]+"")),""Ошибка: некорректная ссылка"",COUNTIF('Справочники'!$A"&amp;"$4:$A$24,C400)=0,""Ошибка: территория вне справочника"",K400=""Недоступен"",""Ошибка: ссылка недоступна"",E400=""Неофициальный источник"",IF(K400=""Активен"",""Готово"",""Проверить: активность""),COUNTIF($H$6:$H$504,H400)&gt;1,""Проверить: повтор URL"",I400&lt;"&amp;"&gt;""Подтверждено"",""Проверить: официальность / комментарий"",K400&lt;&gt;""Активен"",""Проверить: активность"",AND(ISNUMBER(J400),J400&lt;TODAY()-30),""Проверить: публикации старше 30 дней"",TRUE,""Готово""))"),"")</f>
        <v/>
      </c>
    </row>
    <row r="401" spans="1:13" ht="25.5" customHeight="1">
      <c r="A401" s="27"/>
      <c r="B401" s="28"/>
      <c r="C401" s="27"/>
      <c r="D401" s="29"/>
      <c r="E401" s="27"/>
      <c r="F401" s="27"/>
      <c r="G401" s="29"/>
      <c r="H401" s="30"/>
      <c r="I401" s="29"/>
      <c r="J401" s="28"/>
      <c r="K401" s="27"/>
      <c r="L401" s="29"/>
      <c r="M401" s="25" t="str">
        <f ca="1">IFERROR(__xludf.DUMMYFUNCTION("IF(COUNTA(A401:L401)=0,"""",IFS(OR(A401="""",B401="""",C401="""",D401="""",E401="""",F401="""",G401="""",H401="""",K401=""""),""Ошибка: обязательные поля"",NOT(REGEXMATCH(H401,""^https?://[^ /]+"")),""Ошибка: некорректная ссылка"",COUNTIF('Справочники'!$A"&amp;"$4:$A$24,C401)=0,""Ошибка: территория вне справочника"",K401=""Недоступен"",""Ошибка: ссылка недоступна"",E401=""Неофициальный источник"",IF(K401=""Активен"",""Готово"",""Проверить: активность""),COUNTIF($H$6:$H$504,H401)&gt;1,""Проверить: повтор URL"",I401&lt;"&amp;"&gt;""Подтверждено"",""Проверить: официальность / комментарий"",K401&lt;&gt;""Активен"",""Проверить: активность"",AND(ISNUMBER(J401),J401&lt;TODAY()-30),""Проверить: публикации старше 30 дней"",TRUE,""Готово""))"),"")</f>
        <v/>
      </c>
    </row>
    <row r="402" spans="1:13" ht="25.5" customHeight="1">
      <c r="A402" s="27"/>
      <c r="B402" s="28"/>
      <c r="C402" s="27"/>
      <c r="D402" s="29"/>
      <c r="E402" s="27"/>
      <c r="F402" s="27"/>
      <c r="G402" s="29"/>
      <c r="H402" s="30"/>
      <c r="I402" s="29"/>
      <c r="J402" s="28"/>
      <c r="K402" s="27"/>
      <c r="L402" s="29"/>
      <c r="M402" s="25" t="str">
        <f ca="1">IFERROR(__xludf.DUMMYFUNCTION("IF(COUNTA(A402:L402)=0,"""",IFS(OR(A402="""",B402="""",C402="""",D402="""",E402="""",F402="""",G402="""",H402="""",K402=""""),""Ошибка: обязательные поля"",NOT(REGEXMATCH(H402,""^https?://[^ /]+"")),""Ошибка: некорректная ссылка"",COUNTIF('Справочники'!$A"&amp;"$4:$A$24,C402)=0,""Ошибка: территория вне справочника"",K402=""Недоступен"",""Ошибка: ссылка недоступна"",E402=""Неофициальный источник"",IF(K402=""Активен"",""Готово"",""Проверить: активность""),COUNTIF($H$6:$H$504,H402)&gt;1,""Проверить: повтор URL"",I402&lt;"&amp;"&gt;""Подтверждено"",""Проверить: официальность / комментарий"",K402&lt;&gt;""Активен"",""Проверить: активность"",AND(ISNUMBER(J402),J402&lt;TODAY()-30),""Проверить: публикации старше 30 дней"",TRUE,""Готово""))"),"")</f>
        <v/>
      </c>
    </row>
    <row r="403" spans="1:13" ht="25.5" customHeight="1">
      <c r="A403" s="27"/>
      <c r="B403" s="28"/>
      <c r="C403" s="27"/>
      <c r="D403" s="29"/>
      <c r="E403" s="27"/>
      <c r="F403" s="27"/>
      <c r="G403" s="29"/>
      <c r="H403" s="30"/>
      <c r="I403" s="29"/>
      <c r="J403" s="28"/>
      <c r="K403" s="27"/>
      <c r="L403" s="29"/>
      <c r="M403" s="25" t="str">
        <f ca="1">IFERROR(__xludf.DUMMYFUNCTION("IF(COUNTA(A403:L403)=0,"""",IFS(OR(A403="""",B403="""",C403="""",D403="""",E403="""",F403="""",G403="""",H403="""",K403=""""),""Ошибка: обязательные поля"",NOT(REGEXMATCH(H403,""^https?://[^ /]+"")),""Ошибка: некорректная ссылка"",COUNTIF('Справочники'!$A"&amp;"$4:$A$24,C403)=0,""Ошибка: территория вне справочника"",K403=""Недоступен"",""Ошибка: ссылка недоступна"",E403=""Неофициальный источник"",IF(K403=""Активен"",""Готово"",""Проверить: активность""),COUNTIF($H$6:$H$504,H403)&gt;1,""Проверить: повтор URL"",I403&lt;"&amp;"&gt;""Подтверждено"",""Проверить: официальность / комментарий"",K403&lt;&gt;""Активен"",""Проверить: активность"",AND(ISNUMBER(J403),J403&lt;TODAY()-30),""Проверить: публикации старше 30 дней"",TRUE,""Готово""))"),"")</f>
        <v/>
      </c>
    </row>
    <row r="404" spans="1:13" ht="25.5" customHeight="1">
      <c r="A404" s="27"/>
      <c r="B404" s="28"/>
      <c r="C404" s="27"/>
      <c r="D404" s="29"/>
      <c r="E404" s="27"/>
      <c r="F404" s="27"/>
      <c r="G404" s="29"/>
      <c r="H404" s="30"/>
      <c r="I404" s="29"/>
      <c r="J404" s="28"/>
      <c r="K404" s="27"/>
      <c r="L404" s="29"/>
      <c r="M404" s="25" t="str">
        <f ca="1">IFERROR(__xludf.DUMMYFUNCTION("IF(COUNTA(A404:L404)=0,"""",IFS(OR(A404="""",B404="""",C404="""",D404="""",E404="""",F404="""",G404="""",H404="""",K404=""""),""Ошибка: обязательные поля"",NOT(REGEXMATCH(H404,""^https?://[^ /]+"")),""Ошибка: некорректная ссылка"",COUNTIF('Справочники'!$A"&amp;"$4:$A$24,C404)=0,""Ошибка: территория вне справочника"",K404=""Недоступен"",""Ошибка: ссылка недоступна"",E404=""Неофициальный источник"",IF(K404=""Активен"",""Готово"",""Проверить: активность""),COUNTIF($H$6:$H$504,H404)&gt;1,""Проверить: повтор URL"",I404&lt;"&amp;"&gt;""Подтверждено"",""Проверить: официальность / комментарий"",K404&lt;&gt;""Активен"",""Проверить: активность"",AND(ISNUMBER(J404),J404&lt;TODAY()-30),""Проверить: публикации старше 30 дней"",TRUE,""Готово""))"),"")</f>
        <v/>
      </c>
    </row>
    <row r="405" spans="1:13" ht="25.5" customHeight="1">
      <c r="A405" s="27"/>
      <c r="B405" s="28"/>
      <c r="C405" s="27"/>
      <c r="D405" s="29"/>
      <c r="E405" s="27"/>
      <c r="F405" s="27"/>
      <c r="G405" s="29"/>
      <c r="H405" s="30"/>
      <c r="I405" s="29"/>
      <c r="J405" s="28"/>
      <c r="K405" s="27"/>
      <c r="L405" s="29"/>
      <c r="M405" s="25" t="str">
        <f ca="1">IFERROR(__xludf.DUMMYFUNCTION("IF(COUNTA(A405:L405)=0,"""",IFS(OR(A405="""",B405="""",C405="""",D405="""",E405="""",F405="""",G405="""",H405="""",K405=""""),""Ошибка: обязательные поля"",NOT(REGEXMATCH(H405,""^https?://[^ /]+"")),""Ошибка: некорректная ссылка"",COUNTIF('Справочники'!$A"&amp;"$4:$A$24,C405)=0,""Ошибка: территория вне справочника"",K405=""Недоступен"",""Ошибка: ссылка недоступна"",E405=""Неофициальный источник"",IF(K405=""Активен"",""Готово"",""Проверить: активность""),COUNTIF($H$6:$H$504,H405)&gt;1,""Проверить: повтор URL"",I405&lt;"&amp;"&gt;""Подтверждено"",""Проверить: официальность / комментарий"",K405&lt;&gt;""Активен"",""Проверить: активность"",AND(ISNUMBER(J405),J405&lt;TODAY()-30),""Проверить: публикации старше 30 дней"",TRUE,""Готово""))"),"")</f>
        <v/>
      </c>
    </row>
    <row r="406" spans="1:13" ht="25.5" customHeight="1">
      <c r="A406" s="27"/>
      <c r="B406" s="28"/>
      <c r="C406" s="27"/>
      <c r="D406" s="29"/>
      <c r="E406" s="27"/>
      <c r="F406" s="27"/>
      <c r="G406" s="29"/>
      <c r="H406" s="30"/>
      <c r="I406" s="29"/>
      <c r="J406" s="28"/>
      <c r="K406" s="27"/>
      <c r="L406" s="29"/>
      <c r="M406" s="25" t="str">
        <f ca="1">IFERROR(__xludf.DUMMYFUNCTION("IF(COUNTA(A406:L406)=0,"""",IFS(OR(A406="""",B406="""",C406="""",D406="""",E406="""",F406="""",G406="""",H406="""",K406=""""),""Ошибка: обязательные поля"",NOT(REGEXMATCH(H406,""^https?://[^ /]+"")),""Ошибка: некорректная ссылка"",COUNTIF('Справочники'!$A"&amp;"$4:$A$24,C406)=0,""Ошибка: территория вне справочника"",K406=""Недоступен"",""Ошибка: ссылка недоступна"",E406=""Неофициальный источник"",IF(K406=""Активен"",""Готово"",""Проверить: активность""),COUNTIF($H$6:$H$504,H406)&gt;1,""Проверить: повтор URL"",I406&lt;"&amp;"&gt;""Подтверждено"",""Проверить: официальность / комментарий"",K406&lt;&gt;""Активен"",""Проверить: активность"",AND(ISNUMBER(J406),J406&lt;TODAY()-30),""Проверить: публикации старше 30 дней"",TRUE,""Готово""))"),"")</f>
        <v/>
      </c>
    </row>
    <row r="407" spans="1:13" ht="25.5" customHeight="1">
      <c r="A407" s="27"/>
      <c r="B407" s="28"/>
      <c r="C407" s="27"/>
      <c r="D407" s="29"/>
      <c r="E407" s="27"/>
      <c r="F407" s="27"/>
      <c r="G407" s="29"/>
      <c r="H407" s="30"/>
      <c r="I407" s="29"/>
      <c r="J407" s="28"/>
      <c r="K407" s="27"/>
      <c r="L407" s="29"/>
      <c r="M407" s="25" t="str">
        <f ca="1">IFERROR(__xludf.DUMMYFUNCTION("IF(COUNTA(A407:L407)=0,"""",IFS(OR(A407="""",B407="""",C407="""",D407="""",E407="""",F407="""",G407="""",H407="""",K407=""""),""Ошибка: обязательные поля"",NOT(REGEXMATCH(H407,""^https?://[^ /]+"")),""Ошибка: некорректная ссылка"",COUNTIF('Справочники'!$A"&amp;"$4:$A$24,C407)=0,""Ошибка: территория вне справочника"",K407=""Недоступен"",""Ошибка: ссылка недоступна"",E407=""Неофициальный источник"",IF(K407=""Активен"",""Готово"",""Проверить: активность""),COUNTIF($H$6:$H$504,H407)&gt;1,""Проверить: повтор URL"",I407&lt;"&amp;"&gt;""Подтверждено"",""Проверить: официальность / комментарий"",K407&lt;&gt;""Активен"",""Проверить: активность"",AND(ISNUMBER(J407),J407&lt;TODAY()-30),""Проверить: публикации старше 30 дней"",TRUE,""Готово""))"),"")</f>
        <v/>
      </c>
    </row>
    <row r="408" spans="1:13" ht="25.5" customHeight="1">
      <c r="A408" s="27"/>
      <c r="B408" s="28"/>
      <c r="C408" s="27"/>
      <c r="D408" s="29"/>
      <c r="E408" s="27"/>
      <c r="F408" s="27"/>
      <c r="G408" s="29"/>
      <c r="H408" s="30"/>
      <c r="I408" s="29"/>
      <c r="J408" s="28"/>
      <c r="K408" s="27"/>
      <c r="L408" s="29"/>
      <c r="M408" s="25" t="str">
        <f ca="1">IFERROR(__xludf.DUMMYFUNCTION("IF(COUNTA(A408:L408)=0,"""",IFS(OR(A408="""",B408="""",C408="""",D408="""",E408="""",F408="""",G408="""",H408="""",K408=""""),""Ошибка: обязательные поля"",NOT(REGEXMATCH(H408,""^https?://[^ /]+"")),""Ошибка: некорректная ссылка"",COUNTIF('Справочники'!$A"&amp;"$4:$A$24,C408)=0,""Ошибка: территория вне справочника"",K408=""Недоступен"",""Ошибка: ссылка недоступна"",E408=""Неофициальный источник"",IF(K408=""Активен"",""Готово"",""Проверить: активность""),COUNTIF($H$6:$H$504,H408)&gt;1,""Проверить: повтор URL"",I408&lt;"&amp;"&gt;""Подтверждено"",""Проверить: официальность / комментарий"",K408&lt;&gt;""Активен"",""Проверить: активность"",AND(ISNUMBER(J408),J408&lt;TODAY()-30),""Проверить: публикации старше 30 дней"",TRUE,""Готово""))"),"")</f>
        <v/>
      </c>
    </row>
    <row r="409" spans="1:13" ht="25.5" customHeight="1">
      <c r="A409" s="27"/>
      <c r="B409" s="28"/>
      <c r="C409" s="27"/>
      <c r="D409" s="29"/>
      <c r="E409" s="27"/>
      <c r="F409" s="27"/>
      <c r="G409" s="29"/>
      <c r="H409" s="30"/>
      <c r="I409" s="29"/>
      <c r="J409" s="28"/>
      <c r="K409" s="27"/>
      <c r="L409" s="29"/>
      <c r="M409" s="25" t="str">
        <f ca="1">IFERROR(__xludf.DUMMYFUNCTION("IF(COUNTA(A409:L409)=0,"""",IFS(OR(A409="""",B409="""",C409="""",D409="""",E409="""",F409="""",G409="""",H409="""",K409=""""),""Ошибка: обязательные поля"",NOT(REGEXMATCH(H409,""^https?://[^ /]+"")),""Ошибка: некорректная ссылка"",COUNTIF('Справочники'!$A"&amp;"$4:$A$24,C409)=0,""Ошибка: территория вне справочника"",K409=""Недоступен"",""Ошибка: ссылка недоступна"",E409=""Неофициальный источник"",IF(K409=""Активен"",""Готово"",""Проверить: активность""),COUNTIF($H$6:$H$504,H409)&gt;1,""Проверить: повтор URL"",I409&lt;"&amp;"&gt;""Подтверждено"",""Проверить: официальность / комментарий"",K409&lt;&gt;""Активен"",""Проверить: активность"",AND(ISNUMBER(J409),J409&lt;TODAY()-30),""Проверить: публикации старше 30 дней"",TRUE,""Готово""))"),"")</f>
        <v/>
      </c>
    </row>
    <row r="410" spans="1:13" ht="25.5" customHeight="1">
      <c r="A410" s="27"/>
      <c r="B410" s="28"/>
      <c r="C410" s="27"/>
      <c r="D410" s="29"/>
      <c r="E410" s="27"/>
      <c r="F410" s="27"/>
      <c r="G410" s="29"/>
      <c r="H410" s="30"/>
      <c r="I410" s="29"/>
      <c r="J410" s="28"/>
      <c r="K410" s="27"/>
      <c r="L410" s="29"/>
      <c r="M410" s="25" t="str">
        <f ca="1">IFERROR(__xludf.DUMMYFUNCTION("IF(COUNTA(A410:L410)=0,"""",IFS(OR(A410="""",B410="""",C410="""",D410="""",E410="""",F410="""",G410="""",H410="""",K410=""""),""Ошибка: обязательные поля"",NOT(REGEXMATCH(H410,""^https?://[^ /]+"")),""Ошибка: некорректная ссылка"",COUNTIF('Справочники'!$A"&amp;"$4:$A$24,C410)=0,""Ошибка: территория вне справочника"",K410=""Недоступен"",""Ошибка: ссылка недоступна"",E410=""Неофициальный источник"",IF(K410=""Активен"",""Готово"",""Проверить: активность""),COUNTIF($H$6:$H$504,H410)&gt;1,""Проверить: повтор URL"",I410&lt;"&amp;"&gt;""Подтверждено"",""Проверить: официальность / комментарий"",K410&lt;&gt;""Активен"",""Проверить: активность"",AND(ISNUMBER(J410),J410&lt;TODAY()-30),""Проверить: публикации старше 30 дней"",TRUE,""Готово""))"),"")</f>
        <v/>
      </c>
    </row>
    <row r="411" spans="1:13" ht="25.5" customHeight="1">
      <c r="A411" s="27"/>
      <c r="B411" s="28"/>
      <c r="C411" s="27"/>
      <c r="D411" s="29"/>
      <c r="E411" s="27"/>
      <c r="F411" s="27"/>
      <c r="G411" s="29"/>
      <c r="H411" s="30"/>
      <c r="I411" s="29"/>
      <c r="J411" s="28"/>
      <c r="K411" s="27"/>
      <c r="L411" s="29"/>
      <c r="M411" s="25" t="str">
        <f ca="1">IFERROR(__xludf.DUMMYFUNCTION("IF(COUNTA(A411:L411)=0,"""",IFS(OR(A411="""",B411="""",C411="""",D411="""",E411="""",F411="""",G411="""",H411="""",K411=""""),""Ошибка: обязательные поля"",NOT(REGEXMATCH(H411,""^https?://[^ /]+"")),""Ошибка: некорректная ссылка"",COUNTIF('Справочники'!$A"&amp;"$4:$A$24,C411)=0,""Ошибка: территория вне справочника"",K411=""Недоступен"",""Ошибка: ссылка недоступна"",E411=""Неофициальный источник"",IF(K411=""Активен"",""Готово"",""Проверить: активность""),COUNTIF($H$6:$H$504,H411)&gt;1,""Проверить: повтор URL"",I411&lt;"&amp;"&gt;""Подтверждено"",""Проверить: официальность / комментарий"",K411&lt;&gt;""Активен"",""Проверить: активность"",AND(ISNUMBER(J411),J411&lt;TODAY()-30),""Проверить: публикации старше 30 дней"",TRUE,""Готово""))"),"")</f>
        <v/>
      </c>
    </row>
    <row r="412" spans="1:13" ht="25.5" customHeight="1">
      <c r="A412" s="27"/>
      <c r="B412" s="28"/>
      <c r="C412" s="27"/>
      <c r="D412" s="29"/>
      <c r="E412" s="27"/>
      <c r="F412" s="27"/>
      <c r="G412" s="29"/>
      <c r="H412" s="30"/>
      <c r="I412" s="29"/>
      <c r="J412" s="28"/>
      <c r="K412" s="27"/>
      <c r="L412" s="29"/>
      <c r="M412" s="25" t="str">
        <f ca="1">IFERROR(__xludf.DUMMYFUNCTION("IF(COUNTA(A412:L412)=0,"""",IFS(OR(A412="""",B412="""",C412="""",D412="""",E412="""",F412="""",G412="""",H412="""",K412=""""),""Ошибка: обязательные поля"",NOT(REGEXMATCH(H412,""^https?://[^ /]+"")),""Ошибка: некорректная ссылка"",COUNTIF('Справочники'!$A"&amp;"$4:$A$24,C412)=0,""Ошибка: территория вне справочника"",K412=""Недоступен"",""Ошибка: ссылка недоступна"",E412=""Неофициальный источник"",IF(K412=""Активен"",""Готово"",""Проверить: активность""),COUNTIF($H$6:$H$504,H412)&gt;1,""Проверить: повтор URL"",I412&lt;"&amp;"&gt;""Подтверждено"",""Проверить: официальность / комментарий"",K412&lt;&gt;""Активен"",""Проверить: активность"",AND(ISNUMBER(J412),J412&lt;TODAY()-30),""Проверить: публикации старше 30 дней"",TRUE,""Готово""))"),"")</f>
        <v/>
      </c>
    </row>
    <row r="413" spans="1:13" ht="25.5" customHeight="1">
      <c r="A413" s="27"/>
      <c r="B413" s="28"/>
      <c r="C413" s="27"/>
      <c r="D413" s="29"/>
      <c r="E413" s="27"/>
      <c r="F413" s="27"/>
      <c r="G413" s="29"/>
      <c r="H413" s="30"/>
      <c r="I413" s="29"/>
      <c r="J413" s="28"/>
      <c r="K413" s="27"/>
      <c r="L413" s="29"/>
      <c r="M413" s="25" t="str">
        <f ca="1">IFERROR(__xludf.DUMMYFUNCTION("IF(COUNTA(A413:L413)=0,"""",IFS(OR(A413="""",B413="""",C413="""",D413="""",E413="""",F413="""",G413="""",H413="""",K413=""""),""Ошибка: обязательные поля"",NOT(REGEXMATCH(H413,""^https?://[^ /]+"")),""Ошибка: некорректная ссылка"",COUNTIF('Справочники'!$A"&amp;"$4:$A$24,C413)=0,""Ошибка: территория вне справочника"",K413=""Недоступен"",""Ошибка: ссылка недоступна"",E413=""Неофициальный источник"",IF(K413=""Активен"",""Готово"",""Проверить: активность""),COUNTIF($H$6:$H$504,H413)&gt;1,""Проверить: повтор URL"",I413&lt;"&amp;"&gt;""Подтверждено"",""Проверить: официальность / комментарий"",K413&lt;&gt;""Активен"",""Проверить: активность"",AND(ISNUMBER(J413),J413&lt;TODAY()-30),""Проверить: публикации старше 30 дней"",TRUE,""Готово""))"),"")</f>
        <v/>
      </c>
    </row>
    <row r="414" spans="1:13" ht="25.5" customHeight="1">
      <c r="A414" s="27"/>
      <c r="B414" s="28"/>
      <c r="C414" s="27"/>
      <c r="D414" s="29"/>
      <c r="E414" s="27"/>
      <c r="F414" s="27"/>
      <c r="G414" s="29"/>
      <c r="H414" s="30"/>
      <c r="I414" s="29"/>
      <c r="J414" s="28"/>
      <c r="K414" s="27"/>
      <c r="L414" s="29"/>
      <c r="M414" s="25" t="str">
        <f ca="1">IFERROR(__xludf.DUMMYFUNCTION("IF(COUNTA(A414:L414)=0,"""",IFS(OR(A414="""",B414="""",C414="""",D414="""",E414="""",F414="""",G414="""",H414="""",K414=""""),""Ошибка: обязательные поля"",NOT(REGEXMATCH(H414,""^https?://[^ /]+"")),""Ошибка: некорректная ссылка"",COUNTIF('Справочники'!$A"&amp;"$4:$A$24,C414)=0,""Ошибка: территория вне справочника"",K414=""Недоступен"",""Ошибка: ссылка недоступна"",E414=""Неофициальный источник"",IF(K414=""Активен"",""Готово"",""Проверить: активность""),COUNTIF($H$6:$H$504,H414)&gt;1,""Проверить: повтор URL"",I414&lt;"&amp;"&gt;""Подтверждено"",""Проверить: официальность / комментарий"",K414&lt;&gt;""Активен"",""Проверить: активность"",AND(ISNUMBER(J414),J414&lt;TODAY()-30),""Проверить: публикации старше 30 дней"",TRUE,""Готово""))"),"")</f>
        <v/>
      </c>
    </row>
    <row r="415" spans="1:13" ht="25.5" customHeight="1">
      <c r="A415" s="27"/>
      <c r="B415" s="28"/>
      <c r="C415" s="27"/>
      <c r="D415" s="29"/>
      <c r="E415" s="27"/>
      <c r="F415" s="27"/>
      <c r="G415" s="29"/>
      <c r="H415" s="30"/>
      <c r="I415" s="29"/>
      <c r="J415" s="28"/>
      <c r="K415" s="27"/>
      <c r="L415" s="29"/>
      <c r="M415" s="25" t="str">
        <f ca="1">IFERROR(__xludf.DUMMYFUNCTION("IF(COUNTA(A415:L415)=0,"""",IFS(OR(A415="""",B415="""",C415="""",D415="""",E415="""",F415="""",G415="""",H415="""",K415=""""),""Ошибка: обязательные поля"",NOT(REGEXMATCH(H415,""^https?://[^ /]+"")),""Ошибка: некорректная ссылка"",COUNTIF('Справочники'!$A"&amp;"$4:$A$24,C415)=0,""Ошибка: территория вне справочника"",K415=""Недоступен"",""Ошибка: ссылка недоступна"",E415=""Неофициальный источник"",IF(K415=""Активен"",""Готово"",""Проверить: активность""),COUNTIF($H$6:$H$504,H415)&gt;1,""Проверить: повтор URL"",I415&lt;"&amp;"&gt;""Подтверждено"",""Проверить: официальность / комментарий"",K415&lt;&gt;""Активен"",""Проверить: активность"",AND(ISNUMBER(J415),J415&lt;TODAY()-30),""Проверить: публикации старше 30 дней"",TRUE,""Готово""))"),"")</f>
        <v/>
      </c>
    </row>
    <row r="416" spans="1:13" ht="25.5" customHeight="1">
      <c r="A416" s="27"/>
      <c r="B416" s="28"/>
      <c r="C416" s="27"/>
      <c r="D416" s="29"/>
      <c r="E416" s="27"/>
      <c r="F416" s="27"/>
      <c r="G416" s="29"/>
      <c r="H416" s="30"/>
      <c r="I416" s="29"/>
      <c r="J416" s="28"/>
      <c r="K416" s="27"/>
      <c r="L416" s="29"/>
      <c r="M416" s="25" t="str">
        <f ca="1">IFERROR(__xludf.DUMMYFUNCTION("IF(COUNTA(A416:L416)=0,"""",IFS(OR(A416="""",B416="""",C416="""",D416="""",E416="""",F416="""",G416="""",H416="""",K416=""""),""Ошибка: обязательные поля"",NOT(REGEXMATCH(H416,""^https?://[^ /]+"")),""Ошибка: некорректная ссылка"",COUNTIF('Справочники'!$A"&amp;"$4:$A$24,C416)=0,""Ошибка: территория вне справочника"",K416=""Недоступен"",""Ошибка: ссылка недоступна"",E416=""Неофициальный источник"",IF(K416=""Активен"",""Готово"",""Проверить: активность""),COUNTIF($H$6:$H$504,H416)&gt;1,""Проверить: повтор URL"",I416&lt;"&amp;"&gt;""Подтверждено"",""Проверить: официальность / комментарий"",K416&lt;&gt;""Активен"",""Проверить: активность"",AND(ISNUMBER(J416),J416&lt;TODAY()-30),""Проверить: публикации старше 30 дней"",TRUE,""Готово""))"),"")</f>
        <v/>
      </c>
    </row>
    <row r="417" spans="1:13" ht="25.5" customHeight="1">
      <c r="A417" s="27"/>
      <c r="B417" s="28"/>
      <c r="C417" s="27"/>
      <c r="D417" s="29"/>
      <c r="E417" s="27"/>
      <c r="F417" s="27"/>
      <c r="G417" s="29"/>
      <c r="H417" s="30"/>
      <c r="I417" s="29"/>
      <c r="J417" s="28"/>
      <c r="K417" s="27"/>
      <c r="L417" s="29"/>
      <c r="M417" s="25" t="str">
        <f ca="1">IFERROR(__xludf.DUMMYFUNCTION("IF(COUNTA(A417:L417)=0,"""",IFS(OR(A417="""",B417="""",C417="""",D417="""",E417="""",F417="""",G417="""",H417="""",K417=""""),""Ошибка: обязательные поля"",NOT(REGEXMATCH(H417,""^https?://[^ /]+"")),""Ошибка: некорректная ссылка"",COUNTIF('Справочники'!$A"&amp;"$4:$A$24,C417)=0,""Ошибка: территория вне справочника"",K417=""Недоступен"",""Ошибка: ссылка недоступна"",E417=""Неофициальный источник"",IF(K417=""Активен"",""Готово"",""Проверить: активность""),COUNTIF($H$6:$H$504,H417)&gt;1,""Проверить: повтор URL"",I417&lt;"&amp;"&gt;""Подтверждено"",""Проверить: официальность / комментарий"",K417&lt;&gt;""Активен"",""Проверить: активность"",AND(ISNUMBER(J417),J417&lt;TODAY()-30),""Проверить: публикации старше 30 дней"",TRUE,""Готово""))"),"")</f>
        <v/>
      </c>
    </row>
    <row r="418" spans="1:13" ht="25.5" customHeight="1">
      <c r="A418" s="27"/>
      <c r="B418" s="28"/>
      <c r="C418" s="27"/>
      <c r="D418" s="29"/>
      <c r="E418" s="27"/>
      <c r="F418" s="27"/>
      <c r="G418" s="29"/>
      <c r="H418" s="30"/>
      <c r="I418" s="29"/>
      <c r="J418" s="28"/>
      <c r="K418" s="27"/>
      <c r="L418" s="29"/>
      <c r="M418" s="25" t="str">
        <f ca="1">IFERROR(__xludf.DUMMYFUNCTION("IF(COUNTA(A418:L418)=0,"""",IFS(OR(A418="""",B418="""",C418="""",D418="""",E418="""",F418="""",G418="""",H418="""",K418=""""),""Ошибка: обязательные поля"",NOT(REGEXMATCH(H418,""^https?://[^ /]+"")),""Ошибка: некорректная ссылка"",COUNTIF('Справочники'!$A"&amp;"$4:$A$24,C418)=0,""Ошибка: территория вне справочника"",K418=""Недоступен"",""Ошибка: ссылка недоступна"",E418=""Неофициальный источник"",IF(K418=""Активен"",""Готово"",""Проверить: активность""),COUNTIF($H$6:$H$504,H418)&gt;1,""Проверить: повтор URL"",I418&lt;"&amp;"&gt;""Подтверждено"",""Проверить: официальность / комментарий"",K418&lt;&gt;""Активен"",""Проверить: активность"",AND(ISNUMBER(J418),J418&lt;TODAY()-30),""Проверить: публикации старше 30 дней"",TRUE,""Готово""))"),"")</f>
        <v/>
      </c>
    </row>
    <row r="419" spans="1:13" ht="25.5" customHeight="1">
      <c r="A419" s="27"/>
      <c r="B419" s="28"/>
      <c r="C419" s="27"/>
      <c r="D419" s="29"/>
      <c r="E419" s="27"/>
      <c r="F419" s="27"/>
      <c r="G419" s="29"/>
      <c r="H419" s="30"/>
      <c r="I419" s="29"/>
      <c r="J419" s="28"/>
      <c r="K419" s="27"/>
      <c r="L419" s="29"/>
      <c r="M419" s="25" t="str">
        <f ca="1">IFERROR(__xludf.DUMMYFUNCTION("IF(COUNTA(A419:L419)=0,"""",IFS(OR(A419="""",B419="""",C419="""",D419="""",E419="""",F419="""",G419="""",H419="""",K419=""""),""Ошибка: обязательные поля"",NOT(REGEXMATCH(H419,""^https?://[^ /]+"")),""Ошибка: некорректная ссылка"",COUNTIF('Справочники'!$A"&amp;"$4:$A$24,C419)=0,""Ошибка: территория вне справочника"",K419=""Недоступен"",""Ошибка: ссылка недоступна"",E419=""Неофициальный источник"",IF(K419=""Активен"",""Готово"",""Проверить: активность""),COUNTIF($H$6:$H$504,H419)&gt;1,""Проверить: повтор URL"",I419&lt;"&amp;"&gt;""Подтверждено"",""Проверить: официальность / комментарий"",K419&lt;&gt;""Активен"",""Проверить: активность"",AND(ISNUMBER(J419),J419&lt;TODAY()-30),""Проверить: публикации старше 30 дней"",TRUE,""Готово""))"),"")</f>
        <v/>
      </c>
    </row>
    <row r="420" spans="1:13" ht="25.5" customHeight="1">
      <c r="A420" s="27"/>
      <c r="B420" s="28"/>
      <c r="C420" s="27"/>
      <c r="D420" s="29"/>
      <c r="E420" s="27"/>
      <c r="F420" s="27"/>
      <c r="G420" s="29"/>
      <c r="H420" s="30"/>
      <c r="I420" s="29"/>
      <c r="J420" s="28"/>
      <c r="K420" s="27"/>
      <c r="L420" s="29"/>
      <c r="M420" s="25" t="str">
        <f ca="1">IFERROR(__xludf.DUMMYFUNCTION("IF(COUNTA(A420:L420)=0,"""",IFS(OR(A420="""",B420="""",C420="""",D420="""",E420="""",F420="""",G420="""",H420="""",K420=""""),""Ошибка: обязательные поля"",NOT(REGEXMATCH(H420,""^https?://[^ /]+"")),""Ошибка: некорректная ссылка"",COUNTIF('Справочники'!$A"&amp;"$4:$A$24,C420)=0,""Ошибка: территория вне справочника"",K420=""Недоступен"",""Ошибка: ссылка недоступна"",E420=""Неофициальный источник"",IF(K420=""Активен"",""Готово"",""Проверить: активность""),COUNTIF($H$6:$H$504,H420)&gt;1,""Проверить: повтор URL"",I420&lt;"&amp;"&gt;""Подтверждено"",""Проверить: официальность / комментарий"",K420&lt;&gt;""Активен"",""Проверить: активность"",AND(ISNUMBER(J420),J420&lt;TODAY()-30),""Проверить: публикации старше 30 дней"",TRUE,""Готово""))"),"")</f>
        <v/>
      </c>
    </row>
    <row r="421" spans="1:13" ht="25.5" customHeight="1">
      <c r="A421" s="27"/>
      <c r="B421" s="28"/>
      <c r="C421" s="27"/>
      <c r="D421" s="29"/>
      <c r="E421" s="27"/>
      <c r="F421" s="27"/>
      <c r="G421" s="29"/>
      <c r="H421" s="30"/>
      <c r="I421" s="29"/>
      <c r="J421" s="28"/>
      <c r="K421" s="27"/>
      <c r="L421" s="29"/>
      <c r="M421" s="25" t="str">
        <f ca="1">IFERROR(__xludf.DUMMYFUNCTION("IF(COUNTA(A421:L421)=0,"""",IFS(OR(A421="""",B421="""",C421="""",D421="""",E421="""",F421="""",G421="""",H421="""",K421=""""),""Ошибка: обязательные поля"",NOT(REGEXMATCH(H421,""^https?://[^ /]+"")),""Ошибка: некорректная ссылка"",COUNTIF('Справочники'!$A"&amp;"$4:$A$24,C421)=0,""Ошибка: территория вне справочника"",K421=""Недоступен"",""Ошибка: ссылка недоступна"",E421=""Неофициальный источник"",IF(K421=""Активен"",""Готово"",""Проверить: активность""),COUNTIF($H$6:$H$504,H421)&gt;1,""Проверить: повтор URL"",I421&lt;"&amp;"&gt;""Подтверждено"",""Проверить: официальность / комментарий"",K421&lt;&gt;""Активен"",""Проверить: активность"",AND(ISNUMBER(J421),J421&lt;TODAY()-30),""Проверить: публикации старше 30 дней"",TRUE,""Готово""))"),"")</f>
        <v/>
      </c>
    </row>
    <row r="422" spans="1:13" ht="25.5" customHeight="1">
      <c r="A422" s="27"/>
      <c r="B422" s="28"/>
      <c r="C422" s="27"/>
      <c r="D422" s="29"/>
      <c r="E422" s="27"/>
      <c r="F422" s="27"/>
      <c r="G422" s="29"/>
      <c r="H422" s="30"/>
      <c r="I422" s="29"/>
      <c r="J422" s="28"/>
      <c r="K422" s="27"/>
      <c r="L422" s="29"/>
      <c r="M422" s="25" t="str">
        <f ca="1">IFERROR(__xludf.DUMMYFUNCTION("IF(COUNTA(A422:L422)=0,"""",IFS(OR(A422="""",B422="""",C422="""",D422="""",E422="""",F422="""",G422="""",H422="""",K422=""""),""Ошибка: обязательные поля"",NOT(REGEXMATCH(H422,""^https?://[^ /]+"")),""Ошибка: некорректная ссылка"",COUNTIF('Справочники'!$A"&amp;"$4:$A$24,C422)=0,""Ошибка: территория вне справочника"",K422=""Недоступен"",""Ошибка: ссылка недоступна"",E422=""Неофициальный источник"",IF(K422=""Активен"",""Готово"",""Проверить: активность""),COUNTIF($H$6:$H$504,H422)&gt;1,""Проверить: повтор URL"",I422&lt;"&amp;"&gt;""Подтверждено"",""Проверить: официальность / комментарий"",K422&lt;&gt;""Активен"",""Проверить: активность"",AND(ISNUMBER(J422),J422&lt;TODAY()-30),""Проверить: публикации старше 30 дней"",TRUE,""Готово""))"),"")</f>
        <v/>
      </c>
    </row>
    <row r="423" spans="1:13" ht="25.5" customHeight="1">
      <c r="A423" s="27"/>
      <c r="B423" s="28"/>
      <c r="C423" s="27"/>
      <c r="D423" s="29"/>
      <c r="E423" s="27"/>
      <c r="F423" s="27"/>
      <c r="G423" s="29"/>
      <c r="H423" s="30"/>
      <c r="I423" s="29"/>
      <c r="J423" s="28"/>
      <c r="K423" s="27"/>
      <c r="L423" s="29"/>
      <c r="M423" s="25" t="str">
        <f ca="1">IFERROR(__xludf.DUMMYFUNCTION("IF(COUNTA(A423:L423)=0,"""",IFS(OR(A423="""",B423="""",C423="""",D423="""",E423="""",F423="""",G423="""",H423="""",K423=""""),""Ошибка: обязательные поля"",NOT(REGEXMATCH(H423,""^https?://[^ /]+"")),""Ошибка: некорректная ссылка"",COUNTIF('Справочники'!$A"&amp;"$4:$A$24,C423)=0,""Ошибка: территория вне справочника"",K423=""Недоступен"",""Ошибка: ссылка недоступна"",E423=""Неофициальный источник"",IF(K423=""Активен"",""Готово"",""Проверить: активность""),COUNTIF($H$6:$H$504,H423)&gt;1,""Проверить: повтор URL"",I423&lt;"&amp;"&gt;""Подтверждено"",""Проверить: официальность / комментарий"",K423&lt;&gt;""Активен"",""Проверить: активность"",AND(ISNUMBER(J423),J423&lt;TODAY()-30),""Проверить: публикации старше 30 дней"",TRUE,""Готово""))"),"")</f>
        <v/>
      </c>
    </row>
    <row r="424" spans="1:13" ht="25.5" customHeight="1">
      <c r="A424" s="27"/>
      <c r="B424" s="28"/>
      <c r="C424" s="27"/>
      <c r="D424" s="29"/>
      <c r="E424" s="27"/>
      <c r="F424" s="27"/>
      <c r="G424" s="29"/>
      <c r="H424" s="30"/>
      <c r="I424" s="29"/>
      <c r="J424" s="28"/>
      <c r="K424" s="27"/>
      <c r="L424" s="29"/>
      <c r="M424" s="25" t="str">
        <f ca="1">IFERROR(__xludf.DUMMYFUNCTION("IF(COUNTA(A424:L424)=0,"""",IFS(OR(A424="""",B424="""",C424="""",D424="""",E424="""",F424="""",G424="""",H424="""",K424=""""),""Ошибка: обязательные поля"",NOT(REGEXMATCH(H424,""^https?://[^ /]+"")),""Ошибка: некорректная ссылка"",COUNTIF('Справочники'!$A"&amp;"$4:$A$24,C424)=0,""Ошибка: территория вне справочника"",K424=""Недоступен"",""Ошибка: ссылка недоступна"",E424=""Неофициальный источник"",IF(K424=""Активен"",""Готово"",""Проверить: активность""),COUNTIF($H$6:$H$504,H424)&gt;1,""Проверить: повтор URL"",I424&lt;"&amp;"&gt;""Подтверждено"",""Проверить: официальность / комментарий"",K424&lt;&gt;""Активен"",""Проверить: активность"",AND(ISNUMBER(J424),J424&lt;TODAY()-30),""Проверить: публикации старше 30 дней"",TRUE,""Готово""))"),"")</f>
        <v/>
      </c>
    </row>
    <row r="425" spans="1:13" ht="25.5" customHeight="1">
      <c r="A425" s="27"/>
      <c r="B425" s="28"/>
      <c r="C425" s="27"/>
      <c r="D425" s="29"/>
      <c r="E425" s="27"/>
      <c r="F425" s="27"/>
      <c r="G425" s="29"/>
      <c r="H425" s="30"/>
      <c r="I425" s="29"/>
      <c r="J425" s="28"/>
      <c r="K425" s="27"/>
      <c r="L425" s="29"/>
      <c r="M425" s="25" t="str">
        <f ca="1">IFERROR(__xludf.DUMMYFUNCTION("IF(COUNTA(A425:L425)=0,"""",IFS(OR(A425="""",B425="""",C425="""",D425="""",E425="""",F425="""",G425="""",H425="""",K425=""""),""Ошибка: обязательные поля"",NOT(REGEXMATCH(H425,""^https?://[^ /]+"")),""Ошибка: некорректная ссылка"",COUNTIF('Справочники'!$A"&amp;"$4:$A$24,C425)=0,""Ошибка: территория вне справочника"",K425=""Недоступен"",""Ошибка: ссылка недоступна"",E425=""Неофициальный источник"",IF(K425=""Активен"",""Готово"",""Проверить: активность""),COUNTIF($H$6:$H$504,H425)&gt;1,""Проверить: повтор URL"",I425&lt;"&amp;"&gt;""Подтверждено"",""Проверить: официальность / комментарий"",K425&lt;&gt;""Активен"",""Проверить: активность"",AND(ISNUMBER(J425),J425&lt;TODAY()-30),""Проверить: публикации старше 30 дней"",TRUE,""Готово""))"),"")</f>
        <v/>
      </c>
    </row>
    <row r="426" spans="1:13" ht="25.5" customHeight="1">
      <c r="A426" s="27"/>
      <c r="B426" s="28"/>
      <c r="C426" s="27"/>
      <c r="D426" s="29"/>
      <c r="E426" s="27"/>
      <c r="F426" s="27"/>
      <c r="G426" s="29"/>
      <c r="H426" s="30"/>
      <c r="I426" s="29"/>
      <c r="J426" s="28"/>
      <c r="K426" s="27"/>
      <c r="L426" s="29"/>
      <c r="M426" s="25" t="str">
        <f ca="1">IFERROR(__xludf.DUMMYFUNCTION("IF(COUNTA(A426:L426)=0,"""",IFS(OR(A426="""",B426="""",C426="""",D426="""",E426="""",F426="""",G426="""",H426="""",K426=""""),""Ошибка: обязательные поля"",NOT(REGEXMATCH(H426,""^https?://[^ /]+"")),""Ошибка: некорректная ссылка"",COUNTIF('Справочники'!$A"&amp;"$4:$A$24,C426)=0,""Ошибка: территория вне справочника"",K426=""Недоступен"",""Ошибка: ссылка недоступна"",E426=""Неофициальный источник"",IF(K426=""Активен"",""Готово"",""Проверить: активность""),COUNTIF($H$6:$H$504,H426)&gt;1,""Проверить: повтор URL"",I426&lt;"&amp;"&gt;""Подтверждено"",""Проверить: официальность / комментарий"",K426&lt;&gt;""Активен"",""Проверить: активность"",AND(ISNUMBER(J426),J426&lt;TODAY()-30),""Проверить: публикации старше 30 дней"",TRUE,""Готово""))"),"")</f>
        <v/>
      </c>
    </row>
    <row r="427" spans="1:13" ht="25.5" customHeight="1">
      <c r="A427" s="27"/>
      <c r="B427" s="28"/>
      <c r="C427" s="27"/>
      <c r="D427" s="29"/>
      <c r="E427" s="27"/>
      <c r="F427" s="27"/>
      <c r="G427" s="29"/>
      <c r="H427" s="30"/>
      <c r="I427" s="29"/>
      <c r="J427" s="28"/>
      <c r="K427" s="27"/>
      <c r="L427" s="29"/>
      <c r="M427" s="25" t="str">
        <f ca="1">IFERROR(__xludf.DUMMYFUNCTION("IF(COUNTA(A427:L427)=0,"""",IFS(OR(A427="""",B427="""",C427="""",D427="""",E427="""",F427="""",G427="""",H427="""",K427=""""),""Ошибка: обязательные поля"",NOT(REGEXMATCH(H427,""^https?://[^ /]+"")),""Ошибка: некорректная ссылка"",COUNTIF('Справочники'!$A"&amp;"$4:$A$24,C427)=0,""Ошибка: территория вне справочника"",K427=""Недоступен"",""Ошибка: ссылка недоступна"",E427=""Неофициальный источник"",IF(K427=""Активен"",""Готово"",""Проверить: активность""),COUNTIF($H$6:$H$504,H427)&gt;1,""Проверить: повтор URL"",I427&lt;"&amp;"&gt;""Подтверждено"",""Проверить: официальность / комментарий"",K427&lt;&gt;""Активен"",""Проверить: активность"",AND(ISNUMBER(J427),J427&lt;TODAY()-30),""Проверить: публикации старше 30 дней"",TRUE,""Готово""))"),"")</f>
        <v/>
      </c>
    </row>
    <row r="428" spans="1:13" ht="25.5" customHeight="1">
      <c r="A428" s="27"/>
      <c r="B428" s="28"/>
      <c r="C428" s="27"/>
      <c r="D428" s="29"/>
      <c r="E428" s="27"/>
      <c r="F428" s="27"/>
      <c r="G428" s="29"/>
      <c r="H428" s="30"/>
      <c r="I428" s="29"/>
      <c r="J428" s="28"/>
      <c r="K428" s="27"/>
      <c r="L428" s="29"/>
      <c r="M428" s="25" t="str">
        <f ca="1">IFERROR(__xludf.DUMMYFUNCTION("IF(COUNTA(A428:L428)=0,"""",IFS(OR(A428="""",B428="""",C428="""",D428="""",E428="""",F428="""",G428="""",H428="""",K428=""""),""Ошибка: обязательные поля"",NOT(REGEXMATCH(H428,""^https?://[^ /]+"")),""Ошибка: некорректная ссылка"",COUNTIF('Справочники'!$A"&amp;"$4:$A$24,C428)=0,""Ошибка: территория вне справочника"",K428=""Недоступен"",""Ошибка: ссылка недоступна"",E428=""Неофициальный источник"",IF(K428=""Активен"",""Готово"",""Проверить: активность""),COUNTIF($H$6:$H$504,H428)&gt;1,""Проверить: повтор URL"",I428&lt;"&amp;"&gt;""Подтверждено"",""Проверить: официальность / комментарий"",K428&lt;&gt;""Активен"",""Проверить: активность"",AND(ISNUMBER(J428),J428&lt;TODAY()-30),""Проверить: публикации старше 30 дней"",TRUE,""Готово""))"),"")</f>
        <v/>
      </c>
    </row>
    <row r="429" spans="1:13" ht="25.5" customHeight="1">
      <c r="A429" s="27"/>
      <c r="B429" s="28"/>
      <c r="C429" s="27"/>
      <c r="D429" s="29"/>
      <c r="E429" s="27"/>
      <c r="F429" s="27"/>
      <c r="G429" s="29"/>
      <c r="H429" s="30"/>
      <c r="I429" s="29"/>
      <c r="J429" s="28"/>
      <c r="K429" s="27"/>
      <c r="L429" s="29"/>
      <c r="M429" s="25" t="str">
        <f ca="1">IFERROR(__xludf.DUMMYFUNCTION("IF(COUNTA(A429:L429)=0,"""",IFS(OR(A429="""",B429="""",C429="""",D429="""",E429="""",F429="""",G429="""",H429="""",K429=""""),""Ошибка: обязательные поля"",NOT(REGEXMATCH(H429,""^https?://[^ /]+"")),""Ошибка: некорректная ссылка"",COUNTIF('Справочники'!$A"&amp;"$4:$A$24,C429)=0,""Ошибка: территория вне справочника"",K429=""Недоступен"",""Ошибка: ссылка недоступна"",E429=""Неофициальный источник"",IF(K429=""Активен"",""Готово"",""Проверить: активность""),COUNTIF($H$6:$H$504,H429)&gt;1,""Проверить: повтор URL"",I429&lt;"&amp;"&gt;""Подтверждено"",""Проверить: официальность / комментарий"",K429&lt;&gt;""Активен"",""Проверить: активность"",AND(ISNUMBER(J429),J429&lt;TODAY()-30),""Проверить: публикации старше 30 дней"",TRUE,""Готово""))"),"")</f>
        <v/>
      </c>
    </row>
    <row r="430" spans="1:13" ht="25.5" customHeight="1">
      <c r="A430" s="27"/>
      <c r="B430" s="28"/>
      <c r="C430" s="27"/>
      <c r="D430" s="29"/>
      <c r="E430" s="27"/>
      <c r="F430" s="27"/>
      <c r="G430" s="29"/>
      <c r="H430" s="30"/>
      <c r="I430" s="29"/>
      <c r="J430" s="28"/>
      <c r="K430" s="27"/>
      <c r="L430" s="29"/>
      <c r="M430" s="25" t="str">
        <f ca="1">IFERROR(__xludf.DUMMYFUNCTION("IF(COUNTA(A430:L430)=0,"""",IFS(OR(A430="""",B430="""",C430="""",D430="""",E430="""",F430="""",G430="""",H430="""",K430=""""),""Ошибка: обязательные поля"",NOT(REGEXMATCH(H430,""^https?://[^ /]+"")),""Ошибка: некорректная ссылка"",COUNTIF('Справочники'!$A"&amp;"$4:$A$24,C430)=0,""Ошибка: территория вне справочника"",K430=""Недоступен"",""Ошибка: ссылка недоступна"",E430=""Неофициальный источник"",IF(K430=""Активен"",""Готово"",""Проверить: активность""),COUNTIF($H$6:$H$504,H430)&gt;1,""Проверить: повтор URL"",I430&lt;"&amp;"&gt;""Подтверждено"",""Проверить: официальность / комментарий"",K430&lt;&gt;""Активен"",""Проверить: активность"",AND(ISNUMBER(J430),J430&lt;TODAY()-30),""Проверить: публикации старше 30 дней"",TRUE,""Готово""))"),"")</f>
        <v/>
      </c>
    </row>
    <row r="431" spans="1:13" ht="25.5" customHeight="1">
      <c r="A431" s="27"/>
      <c r="B431" s="28"/>
      <c r="C431" s="27"/>
      <c r="D431" s="29"/>
      <c r="E431" s="27"/>
      <c r="F431" s="27"/>
      <c r="G431" s="29"/>
      <c r="H431" s="30"/>
      <c r="I431" s="29"/>
      <c r="J431" s="28"/>
      <c r="K431" s="27"/>
      <c r="L431" s="29"/>
      <c r="M431" s="25" t="str">
        <f ca="1">IFERROR(__xludf.DUMMYFUNCTION("IF(COUNTA(A431:L431)=0,"""",IFS(OR(A431="""",B431="""",C431="""",D431="""",E431="""",F431="""",G431="""",H431="""",K431=""""),""Ошибка: обязательные поля"",NOT(REGEXMATCH(H431,""^https?://[^ /]+"")),""Ошибка: некорректная ссылка"",COUNTIF('Справочники'!$A"&amp;"$4:$A$24,C431)=0,""Ошибка: территория вне справочника"",K431=""Недоступен"",""Ошибка: ссылка недоступна"",E431=""Неофициальный источник"",IF(K431=""Активен"",""Готово"",""Проверить: активность""),COUNTIF($H$6:$H$504,H431)&gt;1,""Проверить: повтор URL"",I431&lt;"&amp;"&gt;""Подтверждено"",""Проверить: официальность / комментарий"",K431&lt;&gt;""Активен"",""Проверить: активность"",AND(ISNUMBER(J431),J431&lt;TODAY()-30),""Проверить: публикации старше 30 дней"",TRUE,""Готово""))"),"")</f>
        <v/>
      </c>
    </row>
    <row r="432" spans="1:13" ht="25.5" customHeight="1">
      <c r="A432" s="27"/>
      <c r="B432" s="28"/>
      <c r="C432" s="27"/>
      <c r="D432" s="29"/>
      <c r="E432" s="27"/>
      <c r="F432" s="27"/>
      <c r="G432" s="29"/>
      <c r="H432" s="30"/>
      <c r="I432" s="29"/>
      <c r="J432" s="28"/>
      <c r="K432" s="27"/>
      <c r="L432" s="29"/>
      <c r="M432" s="25" t="str">
        <f ca="1">IFERROR(__xludf.DUMMYFUNCTION("IF(COUNTA(A432:L432)=0,"""",IFS(OR(A432="""",B432="""",C432="""",D432="""",E432="""",F432="""",G432="""",H432="""",K432=""""),""Ошибка: обязательные поля"",NOT(REGEXMATCH(H432,""^https?://[^ /]+"")),""Ошибка: некорректная ссылка"",COUNTIF('Справочники'!$A"&amp;"$4:$A$24,C432)=0,""Ошибка: территория вне справочника"",K432=""Недоступен"",""Ошибка: ссылка недоступна"",E432=""Неофициальный источник"",IF(K432=""Активен"",""Готово"",""Проверить: активность""),COUNTIF($H$6:$H$504,H432)&gt;1,""Проверить: повтор URL"",I432&lt;"&amp;"&gt;""Подтверждено"",""Проверить: официальность / комментарий"",K432&lt;&gt;""Активен"",""Проверить: активность"",AND(ISNUMBER(J432),J432&lt;TODAY()-30),""Проверить: публикации старше 30 дней"",TRUE,""Готово""))"),"")</f>
        <v/>
      </c>
    </row>
    <row r="433" spans="1:13" ht="25.5" customHeight="1">
      <c r="A433" s="27"/>
      <c r="B433" s="28"/>
      <c r="C433" s="27"/>
      <c r="D433" s="29"/>
      <c r="E433" s="27"/>
      <c r="F433" s="27"/>
      <c r="G433" s="29"/>
      <c r="H433" s="30"/>
      <c r="I433" s="29"/>
      <c r="J433" s="28"/>
      <c r="K433" s="27"/>
      <c r="L433" s="29"/>
      <c r="M433" s="25" t="str">
        <f ca="1">IFERROR(__xludf.DUMMYFUNCTION("IF(COUNTA(A433:L433)=0,"""",IFS(OR(A433="""",B433="""",C433="""",D433="""",E433="""",F433="""",G433="""",H433="""",K433=""""),""Ошибка: обязательные поля"",NOT(REGEXMATCH(H433,""^https?://[^ /]+"")),""Ошибка: некорректная ссылка"",COUNTIF('Справочники'!$A"&amp;"$4:$A$24,C433)=0,""Ошибка: территория вне справочника"",K433=""Недоступен"",""Ошибка: ссылка недоступна"",E433=""Неофициальный источник"",IF(K433=""Активен"",""Готово"",""Проверить: активность""),COUNTIF($H$6:$H$504,H433)&gt;1,""Проверить: повтор URL"",I433&lt;"&amp;"&gt;""Подтверждено"",""Проверить: официальность / комментарий"",K433&lt;&gt;""Активен"",""Проверить: активность"",AND(ISNUMBER(J433),J433&lt;TODAY()-30),""Проверить: публикации старше 30 дней"",TRUE,""Готово""))"),"")</f>
        <v/>
      </c>
    </row>
    <row r="434" spans="1:13" ht="25.5" customHeight="1">
      <c r="A434" s="27"/>
      <c r="B434" s="28"/>
      <c r="C434" s="27"/>
      <c r="D434" s="29"/>
      <c r="E434" s="27"/>
      <c r="F434" s="27"/>
      <c r="G434" s="29"/>
      <c r="H434" s="30"/>
      <c r="I434" s="29"/>
      <c r="J434" s="28"/>
      <c r="K434" s="27"/>
      <c r="L434" s="29"/>
      <c r="M434" s="25" t="str">
        <f ca="1">IFERROR(__xludf.DUMMYFUNCTION("IF(COUNTA(A434:L434)=0,"""",IFS(OR(A434="""",B434="""",C434="""",D434="""",E434="""",F434="""",G434="""",H434="""",K434=""""),""Ошибка: обязательные поля"",NOT(REGEXMATCH(H434,""^https?://[^ /]+"")),""Ошибка: некорректная ссылка"",COUNTIF('Справочники'!$A"&amp;"$4:$A$24,C434)=0,""Ошибка: территория вне справочника"",K434=""Недоступен"",""Ошибка: ссылка недоступна"",E434=""Неофициальный источник"",IF(K434=""Активен"",""Готово"",""Проверить: активность""),COUNTIF($H$6:$H$504,H434)&gt;1,""Проверить: повтор URL"",I434&lt;"&amp;"&gt;""Подтверждено"",""Проверить: официальность / комментарий"",K434&lt;&gt;""Активен"",""Проверить: активность"",AND(ISNUMBER(J434),J434&lt;TODAY()-30),""Проверить: публикации старше 30 дней"",TRUE,""Готово""))"),"")</f>
        <v/>
      </c>
    </row>
    <row r="435" spans="1:13" ht="25.5" customHeight="1">
      <c r="A435" s="27"/>
      <c r="B435" s="28"/>
      <c r="C435" s="27"/>
      <c r="D435" s="29"/>
      <c r="E435" s="27"/>
      <c r="F435" s="27"/>
      <c r="G435" s="29"/>
      <c r="H435" s="30"/>
      <c r="I435" s="29"/>
      <c r="J435" s="28"/>
      <c r="K435" s="27"/>
      <c r="L435" s="29"/>
      <c r="M435" s="25" t="str">
        <f ca="1">IFERROR(__xludf.DUMMYFUNCTION("IF(COUNTA(A435:L435)=0,"""",IFS(OR(A435="""",B435="""",C435="""",D435="""",E435="""",F435="""",G435="""",H435="""",K435=""""),""Ошибка: обязательные поля"",NOT(REGEXMATCH(H435,""^https?://[^ /]+"")),""Ошибка: некорректная ссылка"",COUNTIF('Справочники'!$A"&amp;"$4:$A$24,C435)=0,""Ошибка: территория вне справочника"",K435=""Недоступен"",""Ошибка: ссылка недоступна"",E435=""Неофициальный источник"",IF(K435=""Активен"",""Готово"",""Проверить: активность""),COUNTIF($H$6:$H$504,H435)&gt;1,""Проверить: повтор URL"",I435&lt;"&amp;"&gt;""Подтверждено"",""Проверить: официальность / комментарий"",K435&lt;&gt;""Активен"",""Проверить: активность"",AND(ISNUMBER(J435),J435&lt;TODAY()-30),""Проверить: публикации старше 30 дней"",TRUE,""Готово""))"),"")</f>
        <v/>
      </c>
    </row>
    <row r="436" spans="1:13" ht="25.5" customHeight="1">
      <c r="A436" s="27"/>
      <c r="B436" s="28"/>
      <c r="C436" s="27"/>
      <c r="D436" s="29"/>
      <c r="E436" s="27"/>
      <c r="F436" s="27"/>
      <c r="G436" s="29"/>
      <c r="H436" s="30"/>
      <c r="I436" s="29"/>
      <c r="J436" s="28"/>
      <c r="K436" s="27"/>
      <c r="L436" s="29"/>
      <c r="M436" s="25" t="str">
        <f ca="1">IFERROR(__xludf.DUMMYFUNCTION("IF(COUNTA(A436:L436)=0,"""",IFS(OR(A436="""",B436="""",C436="""",D436="""",E436="""",F436="""",G436="""",H436="""",K436=""""),""Ошибка: обязательные поля"",NOT(REGEXMATCH(H436,""^https?://[^ /]+"")),""Ошибка: некорректная ссылка"",COUNTIF('Справочники'!$A"&amp;"$4:$A$24,C436)=0,""Ошибка: территория вне справочника"",K436=""Недоступен"",""Ошибка: ссылка недоступна"",E436=""Неофициальный источник"",IF(K436=""Активен"",""Готово"",""Проверить: активность""),COUNTIF($H$6:$H$504,H436)&gt;1,""Проверить: повтор URL"",I436&lt;"&amp;"&gt;""Подтверждено"",""Проверить: официальность / комментарий"",K436&lt;&gt;""Активен"",""Проверить: активность"",AND(ISNUMBER(J436),J436&lt;TODAY()-30),""Проверить: публикации старше 30 дней"",TRUE,""Готово""))"),"")</f>
        <v/>
      </c>
    </row>
    <row r="437" spans="1:13" ht="25.5" customHeight="1">
      <c r="A437" s="27"/>
      <c r="B437" s="28"/>
      <c r="C437" s="27"/>
      <c r="D437" s="29"/>
      <c r="E437" s="27"/>
      <c r="F437" s="27"/>
      <c r="G437" s="29"/>
      <c r="H437" s="30"/>
      <c r="I437" s="29"/>
      <c r="J437" s="28"/>
      <c r="K437" s="27"/>
      <c r="L437" s="29"/>
      <c r="M437" s="25" t="str">
        <f ca="1">IFERROR(__xludf.DUMMYFUNCTION("IF(COUNTA(A437:L437)=0,"""",IFS(OR(A437="""",B437="""",C437="""",D437="""",E437="""",F437="""",G437="""",H437="""",K437=""""),""Ошибка: обязательные поля"",NOT(REGEXMATCH(H437,""^https?://[^ /]+"")),""Ошибка: некорректная ссылка"",COUNTIF('Справочники'!$A"&amp;"$4:$A$24,C437)=0,""Ошибка: территория вне справочника"",K437=""Недоступен"",""Ошибка: ссылка недоступна"",E437=""Неофициальный источник"",IF(K437=""Активен"",""Готово"",""Проверить: активность""),COUNTIF($H$6:$H$504,H437)&gt;1,""Проверить: повтор URL"",I437&lt;"&amp;"&gt;""Подтверждено"",""Проверить: официальность / комментарий"",K437&lt;&gt;""Активен"",""Проверить: активность"",AND(ISNUMBER(J437),J437&lt;TODAY()-30),""Проверить: публикации старше 30 дней"",TRUE,""Готово""))"),"")</f>
        <v/>
      </c>
    </row>
    <row r="438" spans="1:13" ht="25.5" customHeight="1">
      <c r="A438" s="27"/>
      <c r="B438" s="28"/>
      <c r="C438" s="27"/>
      <c r="D438" s="29"/>
      <c r="E438" s="27"/>
      <c r="F438" s="27"/>
      <c r="G438" s="29"/>
      <c r="H438" s="30"/>
      <c r="I438" s="29"/>
      <c r="J438" s="28"/>
      <c r="K438" s="27"/>
      <c r="L438" s="29"/>
      <c r="M438" s="25" t="str">
        <f ca="1">IFERROR(__xludf.DUMMYFUNCTION("IF(COUNTA(A438:L438)=0,"""",IFS(OR(A438="""",B438="""",C438="""",D438="""",E438="""",F438="""",G438="""",H438="""",K438=""""),""Ошибка: обязательные поля"",NOT(REGEXMATCH(H438,""^https?://[^ /]+"")),""Ошибка: некорректная ссылка"",COUNTIF('Справочники'!$A"&amp;"$4:$A$24,C438)=0,""Ошибка: территория вне справочника"",K438=""Недоступен"",""Ошибка: ссылка недоступна"",E438=""Неофициальный источник"",IF(K438=""Активен"",""Готово"",""Проверить: активность""),COUNTIF($H$6:$H$504,H438)&gt;1,""Проверить: повтор URL"",I438&lt;"&amp;"&gt;""Подтверждено"",""Проверить: официальность / комментарий"",K438&lt;&gt;""Активен"",""Проверить: активность"",AND(ISNUMBER(J438),J438&lt;TODAY()-30),""Проверить: публикации старше 30 дней"",TRUE,""Готово""))"),"")</f>
        <v/>
      </c>
    </row>
    <row r="439" spans="1:13" ht="25.5" customHeight="1">
      <c r="A439" s="27"/>
      <c r="B439" s="28"/>
      <c r="C439" s="27"/>
      <c r="D439" s="29"/>
      <c r="E439" s="27"/>
      <c r="F439" s="27"/>
      <c r="G439" s="29"/>
      <c r="H439" s="30"/>
      <c r="I439" s="29"/>
      <c r="J439" s="28"/>
      <c r="K439" s="27"/>
      <c r="L439" s="29"/>
      <c r="M439" s="25" t="str">
        <f ca="1">IFERROR(__xludf.DUMMYFUNCTION("IF(COUNTA(A439:L439)=0,"""",IFS(OR(A439="""",B439="""",C439="""",D439="""",E439="""",F439="""",G439="""",H439="""",K439=""""),""Ошибка: обязательные поля"",NOT(REGEXMATCH(H439,""^https?://[^ /]+"")),""Ошибка: некорректная ссылка"",COUNTIF('Справочники'!$A"&amp;"$4:$A$24,C439)=0,""Ошибка: территория вне справочника"",K439=""Недоступен"",""Ошибка: ссылка недоступна"",E439=""Неофициальный источник"",IF(K439=""Активен"",""Готово"",""Проверить: активность""),COUNTIF($H$6:$H$504,H439)&gt;1,""Проверить: повтор URL"",I439&lt;"&amp;"&gt;""Подтверждено"",""Проверить: официальность / комментарий"",K439&lt;&gt;""Активен"",""Проверить: активность"",AND(ISNUMBER(J439),J439&lt;TODAY()-30),""Проверить: публикации старше 30 дней"",TRUE,""Готово""))"),"")</f>
        <v/>
      </c>
    </row>
    <row r="440" spans="1:13" ht="25.5" customHeight="1">
      <c r="A440" s="27"/>
      <c r="B440" s="28"/>
      <c r="C440" s="27"/>
      <c r="D440" s="29"/>
      <c r="E440" s="27"/>
      <c r="F440" s="27"/>
      <c r="G440" s="29"/>
      <c r="H440" s="30"/>
      <c r="I440" s="29"/>
      <c r="J440" s="28"/>
      <c r="K440" s="27"/>
      <c r="L440" s="29"/>
      <c r="M440" s="25" t="str">
        <f ca="1">IFERROR(__xludf.DUMMYFUNCTION("IF(COUNTA(A440:L440)=0,"""",IFS(OR(A440="""",B440="""",C440="""",D440="""",E440="""",F440="""",G440="""",H440="""",K440=""""),""Ошибка: обязательные поля"",NOT(REGEXMATCH(H440,""^https?://[^ /]+"")),""Ошибка: некорректная ссылка"",COUNTIF('Справочники'!$A"&amp;"$4:$A$24,C440)=0,""Ошибка: территория вне справочника"",K440=""Недоступен"",""Ошибка: ссылка недоступна"",E440=""Неофициальный источник"",IF(K440=""Активен"",""Готово"",""Проверить: активность""),COUNTIF($H$6:$H$504,H440)&gt;1,""Проверить: повтор URL"",I440&lt;"&amp;"&gt;""Подтверждено"",""Проверить: официальность / комментарий"",K440&lt;&gt;""Активен"",""Проверить: активность"",AND(ISNUMBER(J440),J440&lt;TODAY()-30),""Проверить: публикации старше 30 дней"",TRUE,""Готово""))"),"")</f>
        <v/>
      </c>
    </row>
    <row r="441" spans="1:13" ht="25.5" customHeight="1">
      <c r="A441" s="27"/>
      <c r="B441" s="28"/>
      <c r="C441" s="27"/>
      <c r="D441" s="29"/>
      <c r="E441" s="27"/>
      <c r="F441" s="27"/>
      <c r="G441" s="29"/>
      <c r="H441" s="30"/>
      <c r="I441" s="29"/>
      <c r="J441" s="28"/>
      <c r="K441" s="27"/>
      <c r="L441" s="29"/>
      <c r="M441" s="25" t="str">
        <f ca="1">IFERROR(__xludf.DUMMYFUNCTION("IF(COUNTA(A441:L441)=0,"""",IFS(OR(A441="""",B441="""",C441="""",D441="""",E441="""",F441="""",G441="""",H441="""",K441=""""),""Ошибка: обязательные поля"",NOT(REGEXMATCH(H441,""^https?://[^ /]+"")),""Ошибка: некорректная ссылка"",COUNTIF('Справочники'!$A"&amp;"$4:$A$24,C441)=0,""Ошибка: территория вне справочника"",K441=""Недоступен"",""Ошибка: ссылка недоступна"",E441=""Неофициальный источник"",IF(K441=""Активен"",""Готово"",""Проверить: активность""),COUNTIF($H$6:$H$504,H441)&gt;1,""Проверить: повтор URL"",I441&lt;"&amp;"&gt;""Подтверждено"",""Проверить: официальность / комментарий"",K441&lt;&gt;""Активен"",""Проверить: активность"",AND(ISNUMBER(J441),J441&lt;TODAY()-30),""Проверить: публикации старше 30 дней"",TRUE,""Готово""))"),"")</f>
        <v/>
      </c>
    </row>
    <row r="442" spans="1:13" ht="25.5" customHeight="1">
      <c r="A442" s="27"/>
      <c r="B442" s="28"/>
      <c r="C442" s="27"/>
      <c r="D442" s="29"/>
      <c r="E442" s="27"/>
      <c r="F442" s="27"/>
      <c r="G442" s="29"/>
      <c r="H442" s="30"/>
      <c r="I442" s="29"/>
      <c r="J442" s="28"/>
      <c r="K442" s="27"/>
      <c r="L442" s="29"/>
      <c r="M442" s="25" t="str">
        <f ca="1">IFERROR(__xludf.DUMMYFUNCTION("IF(COUNTA(A442:L442)=0,"""",IFS(OR(A442="""",B442="""",C442="""",D442="""",E442="""",F442="""",G442="""",H442="""",K442=""""),""Ошибка: обязательные поля"",NOT(REGEXMATCH(H442,""^https?://[^ /]+"")),""Ошибка: некорректная ссылка"",COUNTIF('Справочники'!$A"&amp;"$4:$A$24,C442)=0,""Ошибка: территория вне справочника"",K442=""Недоступен"",""Ошибка: ссылка недоступна"",E442=""Неофициальный источник"",IF(K442=""Активен"",""Готово"",""Проверить: активность""),COUNTIF($H$6:$H$504,H442)&gt;1,""Проверить: повтор URL"",I442&lt;"&amp;"&gt;""Подтверждено"",""Проверить: официальность / комментарий"",K442&lt;&gt;""Активен"",""Проверить: активность"",AND(ISNUMBER(J442),J442&lt;TODAY()-30),""Проверить: публикации старше 30 дней"",TRUE,""Готово""))"),"")</f>
        <v/>
      </c>
    </row>
    <row r="443" spans="1:13" ht="25.5" customHeight="1">
      <c r="A443" s="27"/>
      <c r="B443" s="28"/>
      <c r="C443" s="27"/>
      <c r="D443" s="29"/>
      <c r="E443" s="27"/>
      <c r="F443" s="27"/>
      <c r="G443" s="29"/>
      <c r="H443" s="30"/>
      <c r="I443" s="29"/>
      <c r="J443" s="28"/>
      <c r="K443" s="27"/>
      <c r="L443" s="29"/>
      <c r="M443" s="25" t="str">
        <f ca="1">IFERROR(__xludf.DUMMYFUNCTION("IF(COUNTA(A443:L443)=0,"""",IFS(OR(A443="""",B443="""",C443="""",D443="""",E443="""",F443="""",G443="""",H443="""",K443=""""),""Ошибка: обязательные поля"",NOT(REGEXMATCH(H443,""^https?://[^ /]+"")),""Ошибка: некорректная ссылка"",COUNTIF('Справочники'!$A"&amp;"$4:$A$24,C443)=0,""Ошибка: территория вне справочника"",K443=""Недоступен"",""Ошибка: ссылка недоступна"",E443=""Неофициальный источник"",IF(K443=""Активен"",""Готово"",""Проверить: активность""),COUNTIF($H$6:$H$504,H443)&gt;1,""Проверить: повтор URL"",I443&lt;"&amp;"&gt;""Подтверждено"",""Проверить: официальность / комментарий"",K443&lt;&gt;""Активен"",""Проверить: активность"",AND(ISNUMBER(J443),J443&lt;TODAY()-30),""Проверить: публикации старше 30 дней"",TRUE,""Готово""))"),"")</f>
        <v/>
      </c>
    </row>
    <row r="444" spans="1:13" ht="25.5" customHeight="1">
      <c r="A444" s="27"/>
      <c r="B444" s="28"/>
      <c r="C444" s="27"/>
      <c r="D444" s="29"/>
      <c r="E444" s="27"/>
      <c r="F444" s="27"/>
      <c r="G444" s="29"/>
      <c r="H444" s="30"/>
      <c r="I444" s="29"/>
      <c r="J444" s="28"/>
      <c r="K444" s="27"/>
      <c r="L444" s="29"/>
      <c r="M444" s="25" t="str">
        <f ca="1">IFERROR(__xludf.DUMMYFUNCTION("IF(COUNTA(A444:L444)=0,"""",IFS(OR(A444="""",B444="""",C444="""",D444="""",E444="""",F444="""",G444="""",H444="""",K444=""""),""Ошибка: обязательные поля"",NOT(REGEXMATCH(H444,""^https?://[^ /]+"")),""Ошибка: некорректная ссылка"",COUNTIF('Справочники'!$A"&amp;"$4:$A$24,C444)=0,""Ошибка: территория вне справочника"",K444=""Недоступен"",""Ошибка: ссылка недоступна"",E444=""Неофициальный источник"",IF(K444=""Активен"",""Готово"",""Проверить: активность""),COUNTIF($H$6:$H$504,H444)&gt;1,""Проверить: повтор URL"",I444&lt;"&amp;"&gt;""Подтверждено"",""Проверить: официальность / комментарий"",K444&lt;&gt;""Активен"",""Проверить: активность"",AND(ISNUMBER(J444),J444&lt;TODAY()-30),""Проверить: публикации старше 30 дней"",TRUE,""Готово""))"),"")</f>
        <v/>
      </c>
    </row>
    <row r="445" spans="1:13" ht="25.5" customHeight="1">
      <c r="A445" s="27"/>
      <c r="B445" s="28"/>
      <c r="C445" s="27"/>
      <c r="D445" s="29"/>
      <c r="E445" s="27"/>
      <c r="F445" s="27"/>
      <c r="G445" s="29"/>
      <c r="H445" s="30"/>
      <c r="I445" s="29"/>
      <c r="J445" s="28"/>
      <c r="K445" s="27"/>
      <c r="L445" s="29"/>
      <c r="M445" s="25" t="str">
        <f ca="1">IFERROR(__xludf.DUMMYFUNCTION("IF(COUNTA(A445:L445)=0,"""",IFS(OR(A445="""",B445="""",C445="""",D445="""",E445="""",F445="""",G445="""",H445="""",K445=""""),""Ошибка: обязательные поля"",NOT(REGEXMATCH(H445,""^https?://[^ /]+"")),""Ошибка: некорректная ссылка"",COUNTIF('Справочники'!$A"&amp;"$4:$A$24,C445)=0,""Ошибка: территория вне справочника"",K445=""Недоступен"",""Ошибка: ссылка недоступна"",E445=""Неофициальный источник"",IF(K445=""Активен"",""Готово"",""Проверить: активность""),COUNTIF($H$6:$H$504,H445)&gt;1,""Проверить: повтор URL"",I445&lt;"&amp;"&gt;""Подтверждено"",""Проверить: официальность / комментарий"",K445&lt;&gt;""Активен"",""Проверить: активность"",AND(ISNUMBER(J445),J445&lt;TODAY()-30),""Проверить: публикации старше 30 дней"",TRUE,""Готово""))"),"")</f>
        <v/>
      </c>
    </row>
    <row r="446" spans="1:13" ht="25.5" customHeight="1">
      <c r="A446" s="27"/>
      <c r="B446" s="28"/>
      <c r="C446" s="27"/>
      <c r="D446" s="29"/>
      <c r="E446" s="27"/>
      <c r="F446" s="27"/>
      <c r="G446" s="29"/>
      <c r="H446" s="30"/>
      <c r="I446" s="29"/>
      <c r="J446" s="28"/>
      <c r="K446" s="27"/>
      <c r="L446" s="29"/>
      <c r="M446" s="25" t="str">
        <f ca="1">IFERROR(__xludf.DUMMYFUNCTION("IF(COUNTA(A446:L446)=0,"""",IFS(OR(A446="""",B446="""",C446="""",D446="""",E446="""",F446="""",G446="""",H446="""",K446=""""),""Ошибка: обязательные поля"",NOT(REGEXMATCH(H446,""^https?://[^ /]+"")),""Ошибка: некорректная ссылка"",COUNTIF('Справочники'!$A"&amp;"$4:$A$24,C446)=0,""Ошибка: территория вне справочника"",K446=""Недоступен"",""Ошибка: ссылка недоступна"",E446=""Неофициальный источник"",IF(K446=""Активен"",""Готово"",""Проверить: активность""),COUNTIF($H$6:$H$504,H446)&gt;1,""Проверить: повтор URL"",I446&lt;"&amp;"&gt;""Подтверждено"",""Проверить: официальность / комментарий"",K446&lt;&gt;""Активен"",""Проверить: активность"",AND(ISNUMBER(J446),J446&lt;TODAY()-30),""Проверить: публикации старше 30 дней"",TRUE,""Готово""))"),"")</f>
        <v/>
      </c>
    </row>
    <row r="447" spans="1:13" ht="25.5" customHeight="1">
      <c r="A447" s="27"/>
      <c r="B447" s="28"/>
      <c r="C447" s="27"/>
      <c r="D447" s="29"/>
      <c r="E447" s="27"/>
      <c r="F447" s="27"/>
      <c r="G447" s="29"/>
      <c r="H447" s="30"/>
      <c r="I447" s="29"/>
      <c r="J447" s="28"/>
      <c r="K447" s="27"/>
      <c r="L447" s="29"/>
      <c r="M447" s="25" t="str">
        <f ca="1">IFERROR(__xludf.DUMMYFUNCTION("IF(COUNTA(A447:L447)=0,"""",IFS(OR(A447="""",B447="""",C447="""",D447="""",E447="""",F447="""",G447="""",H447="""",K447=""""),""Ошибка: обязательные поля"",NOT(REGEXMATCH(H447,""^https?://[^ /]+"")),""Ошибка: некорректная ссылка"",COUNTIF('Справочники'!$A"&amp;"$4:$A$24,C447)=0,""Ошибка: территория вне справочника"",K447=""Недоступен"",""Ошибка: ссылка недоступна"",E447=""Неофициальный источник"",IF(K447=""Активен"",""Готово"",""Проверить: активность""),COUNTIF($H$6:$H$504,H447)&gt;1,""Проверить: повтор URL"",I447&lt;"&amp;"&gt;""Подтверждено"",""Проверить: официальность / комментарий"",K447&lt;&gt;""Активен"",""Проверить: активность"",AND(ISNUMBER(J447),J447&lt;TODAY()-30),""Проверить: публикации старше 30 дней"",TRUE,""Готово""))"),"")</f>
        <v/>
      </c>
    </row>
    <row r="448" spans="1:13" ht="25.5" customHeight="1">
      <c r="A448" s="27"/>
      <c r="B448" s="28"/>
      <c r="C448" s="27"/>
      <c r="D448" s="29"/>
      <c r="E448" s="27"/>
      <c r="F448" s="27"/>
      <c r="G448" s="29"/>
      <c r="H448" s="30"/>
      <c r="I448" s="29"/>
      <c r="J448" s="28"/>
      <c r="K448" s="27"/>
      <c r="L448" s="29"/>
      <c r="M448" s="25" t="str">
        <f ca="1">IFERROR(__xludf.DUMMYFUNCTION("IF(COUNTA(A448:L448)=0,"""",IFS(OR(A448="""",B448="""",C448="""",D448="""",E448="""",F448="""",G448="""",H448="""",K448=""""),""Ошибка: обязательные поля"",NOT(REGEXMATCH(H448,""^https?://[^ /]+"")),""Ошибка: некорректная ссылка"",COUNTIF('Справочники'!$A"&amp;"$4:$A$24,C448)=0,""Ошибка: территория вне справочника"",K448=""Недоступен"",""Ошибка: ссылка недоступна"",E448=""Неофициальный источник"",IF(K448=""Активен"",""Готово"",""Проверить: активность""),COUNTIF($H$6:$H$504,H448)&gt;1,""Проверить: повтор URL"",I448&lt;"&amp;"&gt;""Подтверждено"",""Проверить: официальность / комментарий"",K448&lt;&gt;""Активен"",""Проверить: активность"",AND(ISNUMBER(J448),J448&lt;TODAY()-30),""Проверить: публикации старше 30 дней"",TRUE,""Готово""))"),"")</f>
        <v/>
      </c>
    </row>
    <row r="449" spans="1:13" ht="25.5" customHeight="1">
      <c r="A449" s="27"/>
      <c r="B449" s="28"/>
      <c r="C449" s="27"/>
      <c r="D449" s="29"/>
      <c r="E449" s="27"/>
      <c r="F449" s="27"/>
      <c r="G449" s="29"/>
      <c r="H449" s="30"/>
      <c r="I449" s="29"/>
      <c r="J449" s="28"/>
      <c r="K449" s="27"/>
      <c r="L449" s="29"/>
      <c r="M449" s="25" t="str">
        <f ca="1">IFERROR(__xludf.DUMMYFUNCTION("IF(COUNTA(A449:L449)=0,"""",IFS(OR(A449="""",B449="""",C449="""",D449="""",E449="""",F449="""",G449="""",H449="""",K449=""""),""Ошибка: обязательные поля"",NOT(REGEXMATCH(H449,""^https?://[^ /]+"")),""Ошибка: некорректная ссылка"",COUNTIF('Справочники'!$A"&amp;"$4:$A$24,C449)=0,""Ошибка: территория вне справочника"",K449=""Недоступен"",""Ошибка: ссылка недоступна"",E449=""Неофициальный источник"",IF(K449=""Активен"",""Готово"",""Проверить: активность""),COUNTIF($H$6:$H$504,H449)&gt;1,""Проверить: повтор URL"",I449&lt;"&amp;"&gt;""Подтверждено"",""Проверить: официальность / комментарий"",K449&lt;&gt;""Активен"",""Проверить: активность"",AND(ISNUMBER(J449),J449&lt;TODAY()-30),""Проверить: публикации старше 30 дней"",TRUE,""Готово""))"),"")</f>
        <v/>
      </c>
    </row>
    <row r="450" spans="1:13" ht="25.5" customHeight="1">
      <c r="A450" s="27"/>
      <c r="B450" s="28"/>
      <c r="C450" s="27"/>
      <c r="D450" s="29"/>
      <c r="E450" s="27"/>
      <c r="F450" s="27"/>
      <c r="G450" s="29"/>
      <c r="H450" s="30"/>
      <c r="I450" s="29"/>
      <c r="J450" s="28"/>
      <c r="K450" s="27"/>
      <c r="L450" s="29"/>
      <c r="M450" s="25" t="str">
        <f ca="1">IFERROR(__xludf.DUMMYFUNCTION("IF(COUNTA(A450:L450)=0,"""",IFS(OR(A450="""",B450="""",C450="""",D450="""",E450="""",F450="""",G450="""",H450="""",K450=""""),""Ошибка: обязательные поля"",NOT(REGEXMATCH(H450,""^https?://[^ /]+"")),""Ошибка: некорректная ссылка"",COUNTIF('Справочники'!$A"&amp;"$4:$A$24,C450)=0,""Ошибка: территория вне справочника"",K450=""Недоступен"",""Ошибка: ссылка недоступна"",E450=""Неофициальный источник"",IF(K450=""Активен"",""Готово"",""Проверить: активность""),COUNTIF($H$6:$H$504,H450)&gt;1,""Проверить: повтор URL"",I450&lt;"&amp;"&gt;""Подтверждено"",""Проверить: официальность / комментарий"",K450&lt;&gt;""Активен"",""Проверить: активность"",AND(ISNUMBER(J450),J450&lt;TODAY()-30),""Проверить: публикации старше 30 дней"",TRUE,""Готово""))"),"")</f>
        <v/>
      </c>
    </row>
    <row r="451" spans="1:13" ht="25.5" customHeight="1">
      <c r="A451" s="27"/>
      <c r="B451" s="28"/>
      <c r="C451" s="27"/>
      <c r="D451" s="29"/>
      <c r="E451" s="27"/>
      <c r="F451" s="27"/>
      <c r="G451" s="29"/>
      <c r="H451" s="30"/>
      <c r="I451" s="29"/>
      <c r="J451" s="28"/>
      <c r="K451" s="27"/>
      <c r="L451" s="29"/>
      <c r="M451" s="25" t="str">
        <f ca="1">IFERROR(__xludf.DUMMYFUNCTION("IF(COUNTA(A451:L451)=0,"""",IFS(OR(A451="""",B451="""",C451="""",D451="""",E451="""",F451="""",G451="""",H451="""",K451=""""),""Ошибка: обязательные поля"",NOT(REGEXMATCH(H451,""^https?://[^ /]+"")),""Ошибка: некорректная ссылка"",COUNTIF('Справочники'!$A"&amp;"$4:$A$24,C451)=0,""Ошибка: территория вне справочника"",K451=""Недоступен"",""Ошибка: ссылка недоступна"",E451=""Неофициальный источник"",IF(K451=""Активен"",""Готово"",""Проверить: активность""),COUNTIF($H$6:$H$504,H451)&gt;1,""Проверить: повтор URL"",I451&lt;"&amp;"&gt;""Подтверждено"",""Проверить: официальность / комментарий"",K451&lt;&gt;""Активен"",""Проверить: активность"",AND(ISNUMBER(J451),J451&lt;TODAY()-30),""Проверить: публикации старше 30 дней"",TRUE,""Готово""))"),"")</f>
        <v/>
      </c>
    </row>
    <row r="452" spans="1:13" ht="25.5" customHeight="1">
      <c r="A452" s="27"/>
      <c r="B452" s="28"/>
      <c r="C452" s="27"/>
      <c r="D452" s="29"/>
      <c r="E452" s="27"/>
      <c r="F452" s="27"/>
      <c r="G452" s="29"/>
      <c r="H452" s="30"/>
      <c r="I452" s="29"/>
      <c r="J452" s="28"/>
      <c r="K452" s="27"/>
      <c r="L452" s="29"/>
      <c r="M452" s="25" t="str">
        <f ca="1">IFERROR(__xludf.DUMMYFUNCTION("IF(COUNTA(A452:L452)=0,"""",IFS(OR(A452="""",B452="""",C452="""",D452="""",E452="""",F452="""",G452="""",H452="""",K452=""""),""Ошибка: обязательные поля"",NOT(REGEXMATCH(H452,""^https?://[^ /]+"")),""Ошибка: некорректная ссылка"",COUNTIF('Справочники'!$A"&amp;"$4:$A$24,C452)=0,""Ошибка: территория вне справочника"",K452=""Недоступен"",""Ошибка: ссылка недоступна"",E452=""Неофициальный источник"",IF(K452=""Активен"",""Готово"",""Проверить: активность""),COUNTIF($H$6:$H$504,H452)&gt;1,""Проверить: повтор URL"",I452&lt;"&amp;"&gt;""Подтверждено"",""Проверить: официальность / комментарий"",K452&lt;&gt;""Активен"",""Проверить: активность"",AND(ISNUMBER(J452),J452&lt;TODAY()-30),""Проверить: публикации старше 30 дней"",TRUE,""Готово""))"),"")</f>
        <v/>
      </c>
    </row>
    <row r="453" spans="1:13" ht="25.5" customHeight="1">
      <c r="A453" s="27"/>
      <c r="B453" s="28"/>
      <c r="C453" s="27"/>
      <c r="D453" s="29"/>
      <c r="E453" s="27"/>
      <c r="F453" s="27"/>
      <c r="G453" s="29"/>
      <c r="H453" s="30"/>
      <c r="I453" s="29"/>
      <c r="J453" s="28"/>
      <c r="K453" s="27"/>
      <c r="L453" s="29"/>
      <c r="M453" s="25" t="str">
        <f ca="1">IFERROR(__xludf.DUMMYFUNCTION("IF(COUNTA(A453:L453)=0,"""",IFS(OR(A453="""",B453="""",C453="""",D453="""",E453="""",F453="""",G453="""",H453="""",K453=""""),""Ошибка: обязательные поля"",NOT(REGEXMATCH(H453,""^https?://[^ /]+"")),""Ошибка: некорректная ссылка"",COUNTIF('Справочники'!$A"&amp;"$4:$A$24,C453)=0,""Ошибка: территория вне справочника"",K453=""Недоступен"",""Ошибка: ссылка недоступна"",E453=""Неофициальный источник"",IF(K453=""Активен"",""Готово"",""Проверить: активность""),COUNTIF($H$6:$H$504,H453)&gt;1,""Проверить: повтор URL"",I453&lt;"&amp;"&gt;""Подтверждено"",""Проверить: официальность / комментарий"",K453&lt;&gt;""Активен"",""Проверить: активность"",AND(ISNUMBER(J453),J453&lt;TODAY()-30),""Проверить: публикации старше 30 дней"",TRUE,""Готово""))"),"")</f>
        <v/>
      </c>
    </row>
    <row r="454" spans="1:13" ht="25.5" customHeight="1">
      <c r="A454" s="27"/>
      <c r="B454" s="28"/>
      <c r="C454" s="27"/>
      <c r="D454" s="29"/>
      <c r="E454" s="27"/>
      <c r="F454" s="27"/>
      <c r="G454" s="29"/>
      <c r="H454" s="30"/>
      <c r="I454" s="29"/>
      <c r="J454" s="28"/>
      <c r="K454" s="27"/>
      <c r="L454" s="29"/>
      <c r="M454" s="25" t="str">
        <f ca="1">IFERROR(__xludf.DUMMYFUNCTION("IF(COUNTA(A454:L454)=0,"""",IFS(OR(A454="""",B454="""",C454="""",D454="""",E454="""",F454="""",G454="""",H454="""",K454=""""),""Ошибка: обязательные поля"",NOT(REGEXMATCH(H454,""^https?://[^ /]+"")),""Ошибка: некорректная ссылка"",COUNTIF('Справочники'!$A"&amp;"$4:$A$24,C454)=0,""Ошибка: территория вне справочника"",K454=""Недоступен"",""Ошибка: ссылка недоступна"",E454=""Неофициальный источник"",IF(K454=""Активен"",""Готово"",""Проверить: активность""),COUNTIF($H$6:$H$504,H454)&gt;1,""Проверить: повтор URL"",I454&lt;"&amp;"&gt;""Подтверждено"",""Проверить: официальность / комментарий"",K454&lt;&gt;""Активен"",""Проверить: активность"",AND(ISNUMBER(J454),J454&lt;TODAY()-30),""Проверить: публикации старше 30 дней"",TRUE,""Готово""))"),"")</f>
        <v/>
      </c>
    </row>
    <row r="455" spans="1:13" ht="25.5" customHeight="1">
      <c r="A455" s="27"/>
      <c r="B455" s="28"/>
      <c r="C455" s="27"/>
      <c r="D455" s="29"/>
      <c r="E455" s="27"/>
      <c r="F455" s="27"/>
      <c r="G455" s="29"/>
      <c r="H455" s="30"/>
      <c r="I455" s="29"/>
      <c r="J455" s="28"/>
      <c r="K455" s="27"/>
      <c r="L455" s="29"/>
      <c r="M455" s="25" t="str">
        <f ca="1">IFERROR(__xludf.DUMMYFUNCTION("IF(COUNTA(A455:L455)=0,"""",IFS(OR(A455="""",B455="""",C455="""",D455="""",E455="""",F455="""",G455="""",H455="""",K455=""""),""Ошибка: обязательные поля"",NOT(REGEXMATCH(H455,""^https?://[^ /]+"")),""Ошибка: некорректная ссылка"",COUNTIF('Справочники'!$A"&amp;"$4:$A$24,C455)=0,""Ошибка: территория вне справочника"",K455=""Недоступен"",""Ошибка: ссылка недоступна"",E455=""Неофициальный источник"",IF(K455=""Активен"",""Готово"",""Проверить: активность""),COUNTIF($H$6:$H$504,H455)&gt;1,""Проверить: повтор URL"",I455&lt;"&amp;"&gt;""Подтверждено"",""Проверить: официальность / комментарий"",K455&lt;&gt;""Активен"",""Проверить: активность"",AND(ISNUMBER(J455),J455&lt;TODAY()-30),""Проверить: публикации старше 30 дней"",TRUE,""Готово""))"),"")</f>
        <v/>
      </c>
    </row>
    <row r="456" spans="1:13" ht="25.5" customHeight="1">
      <c r="A456" s="27"/>
      <c r="B456" s="28"/>
      <c r="C456" s="27"/>
      <c r="D456" s="29"/>
      <c r="E456" s="27"/>
      <c r="F456" s="27"/>
      <c r="G456" s="29"/>
      <c r="H456" s="30"/>
      <c r="I456" s="29"/>
      <c r="J456" s="28"/>
      <c r="K456" s="27"/>
      <c r="L456" s="29"/>
      <c r="M456" s="25" t="str">
        <f ca="1">IFERROR(__xludf.DUMMYFUNCTION("IF(COUNTA(A456:L456)=0,"""",IFS(OR(A456="""",B456="""",C456="""",D456="""",E456="""",F456="""",G456="""",H456="""",K456=""""),""Ошибка: обязательные поля"",NOT(REGEXMATCH(H456,""^https?://[^ /]+"")),""Ошибка: некорректная ссылка"",COUNTIF('Справочники'!$A"&amp;"$4:$A$24,C456)=0,""Ошибка: территория вне справочника"",K456=""Недоступен"",""Ошибка: ссылка недоступна"",E456=""Неофициальный источник"",IF(K456=""Активен"",""Готово"",""Проверить: активность""),COUNTIF($H$6:$H$504,H456)&gt;1,""Проверить: повтор URL"",I456&lt;"&amp;"&gt;""Подтверждено"",""Проверить: официальность / комментарий"",K456&lt;&gt;""Активен"",""Проверить: активность"",AND(ISNUMBER(J456),J456&lt;TODAY()-30),""Проверить: публикации старше 30 дней"",TRUE,""Готово""))"),"")</f>
        <v/>
      </c>
    </row>
    <row r="457" spans="1:13" ht="25.5" customHeight="1">
      <c r="A457" s="27"/>
      <c r="B457" s="28"/>
      <c r="C457" s="27"/>
      <c r="D457" s="29"/>
      <c r="E457" s="27"/>
      <c r="F457" s="27"/>
      <c r="G457" s="29"/>
      <c r="H457" s="30"/>
      <c r="I457" s="29"/>
      <c r="J457" s="28"/>
      <c r="K457" s="27"/>
      <c r="L457" s="29"/>
      <c r="M457" s="25" t="str">
        <f ca="1">IFERROR(__xludf.DUMMYFUNCTION("IF(COUNTA(A457:L457)=0,"""",IFS(OR(A457="""",B457="""",C457="""",D457="""",E457="""",F457="""",G457="""",H457="""",K457=""""),""Ошибка: обязательные поля"",NOT(REGEXMATCH(H457,""^https?://[^ /]+"")),""Ошибка: некорректная ссылка"",COUNTIF('Справочники'!$A"&amp;"$4:$A$24,C457)=0,""Ошибка: территория вне справочника"",K457=""Недоступен"",""Ошибка: ссылка недоступна"",E457=""Неофициальный источник"",IF(K457=""Активен"",""Готово"",""Проверить: активность""),COUNTIF($H$6:$H$504,H457)&gt;1,""Проверить: повтор URL"",I457&lt;"&amp;"&gt;""Подтверждено"",""Проверить: официальность / комментарий"",K457&lt;&gt;""Активен"",""Проверить: активность"",AND(ISNUMBER(J457),J457&lt;TODAY()-30),""Проверить: публикации старше 30 дней"",TRUE,""Готово""))"),"")</f>
        <v/>
      </c>
    </row>
    <row r="458" spans="1:13" ht="25.5" customHeight="1">
      <c r="A458" s="27"/>
      <c r="B458" s="28"/>
      <c r="C458" s="27"/>
      <c r="D458" s="29"/>
      <c r="E458" s="27"/>
      <c r="F458" s="27"/>
      <c r="G458" s="29"/>
      <c r="H458" s="30"/>
      <c r="I458" s="29"/>
      <c r="J458" s="28"/>
      <c r="K458" s="27"/>
      <c r="L458" s="29"/>
      <c r="M458" s="25" t="str">
        <f ca="1">IFERROR(__xludf.DUMMYFUNCTION("IF(COUNTA(A458:L458)=0,"""",IFS(OR(A458="""",B458="""",C458="""",D458="""",E458="""",F458="""",G458="""",H458="""",K458=""""),""Ошибка: обязательные поля"",NOT(REGEXMATCH(H458,""^https?://[^ /]+"")),""Ошибка: некорректная ссылка"",COUNTIF('Справочники'!$A"&amp;"$4:$A$24,C458)=0,""Ошибка: территория вне справочника"",K458=""Недоступен"",""Ошибка: ссылка недоступна"",E458=""Неофициальный источник"",IF(K458=""Активен"",""Готово"",""Проверить: активность""),COUNTIF($H$6:$H$504,H458)&gt;1,""Проверить: повтор URL"",I458&lt;"&amp;"&gt;""Подтверждено"",""Проверить: официальность / комментарий"",K458&lt;&gt;""Активен"",""Проверить: активность"",AND(ISNUMBER(J458),J458&lt;TODAY()-30),""Проверить: публикации старше 30 дней"",TRUE,""Готово""))"),"")</f>
        <v/>
      </c>
    </row>
    <row r="459" spans="1:13" ht="25.5" customHeight="1">
      <c r="A459" s="27"/>
      <c r="B459" s="28"/>
      <c r="C459" s="27"/>
      <c r="D459" s="29"/>
      <c r="E459" s="27"/>
      <c r="F459" s="27"/>
      <c r="G459" s="29"/>
      <c r="H459" s="30"/>
      <c r="I459" s="29"/>
      <c r="J459" s="28"/>
      <c r="K459" s="27"/>
      <c r="L459" s="29"/>
      <c r="M459" s="25" t="str">
        <f ca="1">IFERROR(__xludf.DUMMYFUNCTION("IF(COUNTA(A459:L459)=0,"""",IFS(OR(A459="""",B459="""",C459="""",D459="""",E459="""",F459="""",G459="""",H459="""",K459=""""),""Ошибка: обязательные поля"",NOT(REGEXMATCH(H459,""^https?://[^ /]+"")),""Ошибка: некорректная ссылка"",COUNTIF('Справочники'!$A"&amp;"$4:$A$24,C459)=0,""Ошибка: территория вне справочника"",K459=""Недоступен"",""Ошибка: ссылка недоступна"",E459=""Неофициальный источник"",IF(K459=""Активен"",""Готово"",""Проверить: активность""),COUNTIF($H$6:$H$504,H459)&gt;1,""Проверить: повтор URL"",I459&lt;"&amp;"&gt;""Подтверждено"",""Проверить: официальность / комментарий"",K459&lt;&gt;""Активен"",""Проверить: активность"",AND(ISNUMBER(J459),J459&lt;TODAY()-30),""Проверить: публикации старше 30 дней"",TRUE,""Готово""))"),"")</f>
        <v/>
      </c>
    </row>
    <row r="460" spans="1:13" ht="25.5" customHeight="1">
      <c r="A460" s="27"/>
      <c r="B460" s="28"/>
      <c r="C460" s="27"/>
      <c r="D460" s="29"/>
      <c r="E460" s="27"/>
      <c r="F460" s="27"/>
      <c r="G460" s="29"/>
      <c r="H460" s="30"/>
      <c r="I460" s="29"/>
      <c r="J460" s="28"/>
      <c r="K460" s="27"/>
      <c r="L460" s="29"/>
      <c r="M460" s="25" t="str">
        <f ca="1">IFERROR(__xludf.DUMMYFUNCTION("IF(COUNTA(A460:L460)=0,"""",IFS(OR(A460="""",B460="""",C460="""",D460="""",E460="""",F460="""",G460="""",H460="""",K460=""""),""Ошибка: обязательные поля"",NOT(REGEXMATCH(H460,""^https?://[^ /]+"")),""Ошибка: некорректная ссылка"",COUNTIF('Справочники'!$A"&amp;"$4:$A$24,C460)=0,""Ошибка: территория вне справочника"",K460=""Недоступен"",""Ошибка: ссылка недоступна"",E460=""Неофициальный источник"",IF(K460=""Активен"",""Готово"",""Проверить: активность""),COUNTIF($H$6:$H$504,H460)&gt;1,""Проверить: повтор URL"",I460&lt;"&amp;"&gt;""Подтверждено"",""Проверить: официальность / комментарий"",K460&lt;&gt;""Активен"",""Проверить: активность"",AND(ISNUMBER(J460),J460&lt;TODAY()-30),""Проверить: публикации старше 30 дней"",TRUE,""Готово""))"),"")</f>
        <v/>
      </c>
    </row>
    <row r="461" spans="1:13" ht="25.5" customHeight="1">
      <c r="A461" s="27"/>
      <c r="B461" s="28"/>
      <c r="C461" s="27"/>
      <c r="D461" s="29"/>
      <c r="E461" s="27"/>
      <c r="F461" s="27"/>
      <c r="G461" s="29"/>
      <c r="H461" s="30"/>
      <c r="I461" s="29"/>
      <c r="J461" s="28"/>
      <c r="K461" s="27"/>
      <c r="L461" s="29"/>
      <c r="M461" s="25" t="str">
        <f ca="1">IFERROR(__xludf.DUMMYFUNCTION("IF(COUNTA(A461:L461)=0,"""",IFS(OR(A461="""",B461="""",C461="""",D461="""",E461="""",F461="""",G461="""",H461="""",K461=""""),""Ошибка: обязательные поля"",NOT(REGEXMATCH(H461,""^https?://[^ /]+"")),""Ошибка: некорректная ссылка"",COUNTIF('Справочники'!$A"&amp;"$4:$A$24,C461)=0,""Ошибка: территория вне справочника"",K461=""Недоступен"",""Ошибка: ссылка недоступна"",E461=""Неофициальный источник"",IF(K461=""Активен"",""Готово"",""Проверить: активность""),COUNTIF($H$6:$H$504,H461)&gt;1,""Проверить: повтор URL"",I461&lt;"&amp;"&gt;""Подтверждено"",""Проверить: официальность / комментарий"",K461&lt;&gt;""Активен"",""Проверить: активность"",AND(ISNUMBER(J461),J461&lt;TODAY()-30),""Проверить: публикации старше 30 дней"",TRUE,""Готово""))"),"")</f>
        <v/>
      </c>
    </row>
    <row r="462" spans="1:13" ht="25.5" customHeight="1">
      <c r="A462" s="27"/>
      <c r="B462" s="28"/>
      <c r="C462" s="27"/>
      <c r="D462" s="29"/>
      <c r="E462" s="27"/>
      <c r="F462" s="27"/>
      <c r="G462" s="29"/>
      <c r="H462" s="30"/>
      <c r="I462" s="29"/>
      <c r="J462" s="28"/>
      <c r="K462" s="27"/>
      <c r="L462" s="29"/>
      <c r="M462" s="25" t="str">
        <f ca="1">IFERROR(__xludf.DUMMYFUNCTION("IF(COUNTA(A462:L462)=0,"""",IFS(OR(A462="""",B462="""",C462="""",D462="""",E462="""",F462="""",G462="""",H462="""",K462=""""),""Ошибка: обязательные поля"",NOT(REGEXMATCH(H462,""^https?://[^ /]+"")),""Ошибка: некорректная ссылка"",COUNTIF('Справочники'!$A"&amp;"$4:$A$24,C462)=0,""Ошибка: территория вне справочника"",K462=""Недоступен"",""Ошибка: ссылка недоступна"",E462=""Неофициальный источник"",IF(K462=""Активен"",""Готово"",""Проверить: активность""),COUNTIF($H$6:$H$504,H462)&gt;1,""Проверить: повтор URL"",I462&lt;"&amp;"&gt;""Подтверждено"",""Проверить: официальность / комментарий"",K462&lt;&gt;""Активен"",""Проверить: активность"",AND(ISNUMBER(J462),J462&lt;TODAY()-30),""Проверить: публикации старше 30 дней"",TRUE,""Готово""))"),"")</f>
        <v/>
      </c>
    </row>
    <row r="463" spans="1:13" ht="25.5" customHeight="1">
      <c r="A463" s="27"/>
      <c r="B463" s="28"/>
      <c r="C463" s="27"/>
      <c r="D463" s="29"/>
      <c r="E463" s="27"/>
      <c r="F463" s="27"/>
      <c r="G463" s="29"/>
      <c r="H463" s="30"/>
      <c r="I463" s="29"/>
      <c r="J463" s="28"/>
      <c r="K463" s="27"/>
      <c r="L463" s="29"/>
      <c r="M463" s="25" t="str">
        <f ca="1">IFERROR(__xludf.DUMMYFUNCTION("IF(COUNTA(A463:L463)=0,"""",IFS(OR(A463="""",B463="""",C463="""",D463="""",E463="""",F463="""",G463="""",H463="""",K463=""""),""Ошибка: обязательные поля"",NOT(REGEXMATCH(H463,""^https?://[^ /]+"")),""Ошибка: некорректная ссылка"",COUNTIF('Справочники'!$A"&amp;"$4:$A$24,C463)=0,""Ошибка: территория вне справочника"",K463=""Недоступен"",""Ошибка: ссылка недоступна"",E463=""Неофициальный источник"",IF(K463=""Активен"",""Готово"",""Проверить: активность""),COUNTIF($H$6:$H$504,H463)&gt;1,""Проверить: повтор URL"",I463&lt;"&amp;"&gt;""Подтверждено"",""Проверить: официальность / комментарий"",K463&lt;&gt;""Активен"",""Проверить: активность"",AND(ISNUMBER(J463),J463&lt;TODAY()-30),""Проверить: публикации старше 30 дней"",TRUE,""Готово""))"),"")</f>
        <v/>
      </c>
    </row>
    <row r="464" spans="1:13" ht="25.5" customHeight="1">
      <c r="A464" s="27"/>
      <c r="B464" s="28"/>
      <c r="C464" s="27"/>
      <c r="D464" s="29"/>
      <c r="E464" s="27"/>
      <c r="F464" s="27"/>
      <c r="G464" s="29"/>
      <c r="H464" s="30"/>
      <c r="I464" s="29"/>
      <c r="J464" s="28"/>
      <c r="K464" s="27"/>
      <c r="L464" s="29"/>
      <c r="M464" s="25" t="str">
        <f ca="1">IFERROR(__xludf.DUMMYFUNCTION("IF(COUNTA(A464:L464)=0,"""",IFS(OR(A464="""",B464="""",C464="""",D464="""",E464="""",F464="""",G464="""",H464="""",K464=""""),""Ошибка: обязательные поля"",NOT(REGEXMATCH(H464,""^https?://[^ /]+"")),""Ошибка: некорректная ссылка"",COUNTIF('Справочники'!$A"&amp;"$4:$A$24,C464)=0,""Ошибка: территория вне справочника"",K464=""Недоступен"",""Ошибка: ссылка недоступна"",E464=""Неофициальный источник"",IF(K464=""Активен"",""Готово"",""Проверить: активность""),COUNTIF($H$6:$H$504,H464)&gt;1,""Проверить: повтор URL"",I464&lt;"&amp;"&gt;""Подтверждено"",""Проверить: официальность / комментарий"",K464&lt;&gt;""Активен"",""Проверить: активность"",AND(ISNUMBER(J464),J464&lt;TODAY()-30),""Проверить: публикации старше 30 дней"",TRUE,""Готово""))"),"")</f>
        <v/>
      </c>
    </row>
    <row r="465" spans="1:13" ht="25.5" customHeight="1">
      <c r="A465" s="27"/>
      <c r="B465" s="28"/>
      <c r="C465" s="27"/>
      <c r="D465" s="29"/>
      <c r="E465" s="27"/>
      <c r="F465" s="27"/>
      <c r="G465" s="29"/>
      <c r="H465" s="30"/>
      <c r="I465" s="29"/>
      <c r="J465" s="28"/>
      <c r="K465" s="27"/>
      <c r="L465" s="29"/>
      <c r="M465" s="25" t="str">
        <f ca="1">IFERROR(__xludf.DUMMYFUNCTION("IF(COUNTA(A465:L465)=0,"""",IFS(OR(A465="""",B465="""",C465="""",D465="""",E465="""",F465="""",G465="""",H465="""",K465=""""),""Ошибка: обязательные поля"",NOT(REGEXMATCH(H465,""^https?://[^ /]+"")),""Ошибка: некорректная ссылка"",COUNTIF('Справочники'!$A"&amp;"$4:$A$24,C465)=0,""Ошибка: территория вне справочника"",K465=""Недоступен"",""Ошибка: ссылка недоступна"",E465=""Неофициальный источник"",IF(K465=""Активен"",""Готово"",""Проверить: активность""),COUNTIF($H$6:$H$504,H465)&gt;1,""Проверить: повтор URL"",I465&lt;"&amp;"&gt;""Подтверждено"",""Проверить: официальность / комментарий"",K465&lt;&gt;""Активен"",""Проверить: активность"",AND(ISNUMBER(J465),J465&lt;TODAY()-30),""Проверить: публикации старше 30 дней"",TRUE,""Готово""))"),"")</f>
        <v/>
      </c>
    </row>
    <row r="466" spans="1:13" ht="25.5" customHeight="1">
      <c r="A466" s="27"/>
      <c r="B466" s="28"/>
      <c r="C466" s="27"/>
      <c r="D466" s="29"/>
      <c r="E466" s="27"/>
      <c r="F466" s="27"/>
      <c r="G466" s="29"/>
      <c r="H466" s="30"/>
      <c r="I466" s="29"/>
      <c r="J466" s="28"/>
      <c r="K466" s="27"/>
      <c r="L466" s="29"/>
      <c r="M466" s="25" t="str">
        <f ca="1">IFERROR(__xludf.DUMMYFUNCTION("IF(COUNTA(A466:L466)=0,"""",IFS(OR(A466="""",B466="""",C466="""",D466="""",E466="""",F466="""",G466="""",H466="""",K466=""""),""Ошибка: обязательные поля"",NOT(REGEXMATCH(H466,""^https?://[^ /]+"")),""Ошибка: некорректная ссылка"",COUNTIF('Справочники'!$A"&amp;"$4:$A$24,C466)=0,""Ошибка: территория вне справочника"",K466=""Недоступен"",""Ошибка: ссылка недоступна"",E466=""Неофициальный источник"",IF(K466=""Активен"",""Готово"",""Проверить: активность""),COUNTIF($H$6:$H$504,H466)&gt;1,""Проверить: повтор URL"",I466&lt;"&amp;"&gt;""Подтверждено"",""Проверить: официальность / комментарий"",K466&lt;&gt;""Активен"",""Проверить: активность"",AND(ISNUMBER(J466),J466&lt;TODAY()-30),""Проверить: публикации старше 30 дней"",TRUE,""Готово""))"),"")</f>
        <v/>
      </c>
    </row>
    <row r="467" spans="1:13" ht="25.5" customHeight="1">
      <c r="A467" s="27"/>
      <c r="B467" s="28"/>
      <c r="C467" s="27"/>
      <c r="D467" s="29"/>
      <c r="E467" s="27"/>
      <c r="F467" s="27"/>
      <c r="G467" s="29"/>
      <c r="H467" s="30"/>
      <c r="I467" s="29"/>
      <c r="J467" s="28"/>
      <c r="K467" s="27"/>
      <c r="L467" s="29"/>
      <c r="M467" s="25" t="str">
        <f ca="1">IFERROR(__xludf.DUMMYFUNCTION("IF(COUNTA(A467:L467)=0,"""",IFS(OR(A467="""",B467="""",C467="""",D467="""",E467="""",F467="""",G467="""",H467="""",K467=""""),""Ошибка: обязательные поля"",NOT(REGEXMATCH(H467,""^https?://[^ /]+"")),""Ошибка: некорректная ссылка"",COUNTIF('Справочники'!$A"&amp;"$4:$A$24,C467)=0,""Ошибка: территория вне справочника"",K467=""Недоступен"",""Ошибка: ссылка недоступна"",E467=""Неофициальный источник"",IF(K467=""Активен"",""Готово"",""Проверить: активность""),COUNTIF($H$6:$H$504,H467)&gt;1,""Проверить: повтор URL"",I467&lt;"&amp;"&gt;""Подтверждено"",""Проверить: официальность / комментарий"",K467&lt;&gt;""Активен"",""Проверить: активность"",AND(ISNUMBER(J467),J467&lt;TODAY()-30),""Проверить: публикации старше 30 дней"",TRUE,""Готово""))"),"")</f>
        <v/>
      </c>
    </row>
    <row r="468" spans="1:13" ht="25.5" customHeight="1">
      <c r="A468" s="27"/>
      <c r="B468" s="28"/>
      <c r="C468" s="27"/>
      <c r="D468" s="29"/>
      <c r="E468" s="27"/>
      <c r="F468" s="27"/>
      <c r="G468" s="29"/>
      <c r="H468" s="30"/>
      <c r="I468" s="29"/>
      <c r="J468" s="28"/>
      <c r="K468" s="27"/>
      <c r="L468" s="29"/>
      <c r="M468" s="25" t="str">
        <f ca="1">IFERROR(__xludf.DUMMYFUNCTION("IF(COUNTA(A468:L468)=0,"""",IFS(OR(A468="""",B468="""",C468="""",D468="""",E468="""",F468="""",G468="""",H468="""",K468=""""),""Ошибка: обязательные поля"",NOT(REGEXMATCH(H468,""^https?://[^ /]+"")),""Ошибка: некорректная ссылка"",COUNTIF('Справочники'!$A"&amp;"$4:$A$24,C468)=0,""Ошибка: территория вне справочника"",K468=""Недоступен"",""Ошибка: ссылка недоступна"",E468=""Неофициальный источник"",IF(K468=""Активен"",""Готово"",""Проверить: активность""),COUNTIF($H$6:$H$504,H468)&gt;1,""Проверить: повтор URL"",I468&lt;"&amp;"&gt;""Подтверждено"",""Проверить: официальность / комментарий"",K468&lt;&gt;""Активен"",""Проверить: активность"",AND(ISNUMBER(J468),J468&lt;TODAY()-30),""Проверить: публикации старше 30 дней"",TRUE,""Готово""))"),"")</f>
        <v/>
      </c>
    </row>
    <row r="469" spans="1:13" ht="25.5" customHeight="1">
      <c r="A469" s="27"/>
      <c r="B469" s="28"/>
      <c r="C469" s="27"/>
      <c r="D469" s="29"/>
      <c r="E469" s="27"/>
      <c r="F469" s="27"/>
      <c r="G469" s="29"/>
      <c r="H469" s="30"/>
      <c r="I469" s="29"/>
      <c r="J469" s="28"/>
      <c r="K469" s="27"/>
      <c r="L469" s="29"/>
      <c r="M469" s="25" t="str">
        <f ca="1">IFERROR(__xludf.DUMMYFUNCTION("IF(COUNTA(A469:L469)=0,"""",IFS(OR(A469="""",B469="""",C469="""",D469="""",E469="""",F469="""",G469="""",H469="""",K469=""""),""Ошибка: обязательные поля"",NOT(REGEXMATCH(H469,""^https?://[^ /]+"")),""Ошибка: некорректная ссылка"",COUNTIF('Справочники'!$A"&amp;"$4:$A$24,C469)=0,""Ошибка: территория вне справочника"",K469=""Недоступен"",""Ошибка: ссылка недоступна"",E469=""Неофициальный источник"",IF(K469=""Активен"",""Готово"",""Проверить: активность""),COUNTIF($H$6:$H$504,H469)&gt;1,""Проверить: повтор URL"",I469&lt;"&amp;"&gt;""Подтверждено"",""Проверить: официальность / комментарий"",K469&lt;&gt;""Активен"",""Проверить: активность"",AND(ISNUMBER(J469),J469&lt;TODAY()-30),""Проверить: публикации старше 30 дней"",TRUE,""Готово""))"),"")</f>
        <v/>
      </c>
    </row>
    <row r="470" spans="1:13" ht="25.5" customHeight="1">
      <c r="A470" s="27"/>
      <c r="B470" s="28"/>
      <c r="C470" s="27"/>
      <c r="D470" s="29"/>
      <c r="E470" s="27"/>
      <c r="F470" s="27"/>
      <c r="G470" s="29"/>
      <c r="H470" s="30"/>
      <c r="I470" s="29"/>
      <c r="J470" s="28"/>
      <c r="K470" s="27"/>
      <c r="L470" s="29"/>
      <c r="M470" s="25" t="str">
        <f ca="1">IFERROR(__xludf.DUMMYFUNCTION("IF(COUNTA(A470:L470)=0,"""",IFS(OR(A470="""",B470="""",C470="""",D470="""",E470="""",F470="""",G470="""",H470="""",K470=""""),""Ошибка: обязательные поля"",NOT(REGEXMATCH(H470,""^https?://[^ /]+"")),""Ошибка: некорректная ссылка"",COUNTIF('Справочники'!$A"&amp;"$4:$A$24,C470)=0,""Ошибка: территория вне справочника"",K470=""Недоступен"",""Ошибка: ссылка недоступна"",E470=""Неофициальный источник"",IF(K470=""Активен"",""Готово"",""Проверить: активность""),COUNTIF($H$6:$H$504,H470)&gt;1,""Проверить: повтор URL"",I470&lt;"&amp;"&gt;""Подтверждено"",""Проверить: официальность / комментарий"",K470&lt;&gt;""Активен"",""Проверить: активность"",AND(ISNUMBER(J470),J470&lt;TODAY()-30),""Проверить: публикации старше 30 дней"",TRUE,""Готово""))"),"")</f>
        <v/>
      </c>
    </row>
    <row r="471" spans="1:13" ht="25.5" customHeight="1">
      <c r="A471" s="27"/>
      <c r="B471" s="28"/>
      <c r="C471" s="27"/>
      <c r="D471" s="29"/>
      <c r="E471" s="27"/>
      <c r="F471" s="27"/>
      <c r="G471" s="29"/>
      <c r="H471" s="30"/>
      <c r="I471" s="29"/>
      <c r="J471" s="28"/>
      <c r="K471" s="27"/>
      <c r="L471" s="29"/>
      <c r="M471" s="25" t="str">
        <f ca="1">IFERROR(__xludf.DUMMYFUNCTION("IF(COUNTA(A471:L471)=0,"""",IFS(OR(A471="""",B471="""",C471="""",D471="""",E471="""",F471="""",G471="""",H471="""",K471=""""),""Ошибка: обязательные поля"",NOT(REGEXMATCH(H471,""^https?://[^ /]+"")),""Ошибка: некорректная ссылка"",COUNTIF('Справочники'!$A"&amp;"$4:$A$24,C471)=0,""Ошибка: территория вне справочника"",K471=""Недоступен"",""Ошибка: ссылка недоступна"",E471=""Неофициальный источник"",IF(K471=""Активен"",""Готово"",""Проверить: активность""),COUNTIF($H$6:$H$504,H471)&gt;1,""Проверить: повтор URL"",I471&lt;"&amp;"&gt;""Подтверждено"",""Проверить: официальность / комментарий"",K471&lt;&gt;""Активен"",""Проверить: активность"",AND(ISNUMBER(J471),J471&lt;TODAY()-30),""Проверить: публикации старше 30 дней"",TRUE,""Готово""))"),"")</f>
        <v/>
      </c>
    </row>
    <row r="472" spans="1:13" ht="25.5" customHeight="1">
      <c r="A472" s="27"/>
      <c r="B472" s="28"/>
      <c r="C472" s="27"/>
      <c r="D472" s="29"/>
      <c r="E472" s="27"/>
      <c r="F472" s="27"/>
      <c r="G472" s="29"/>
      <c r="H472" s="30"/>
      <c r="I472" s="29"/>
      <c r="J472" s="28"/>
      <c r="K472" s="27"/>
      <c r="L472" s="29"/>
      <c r="M472" s="25" t="str">
        <f ca="1">IFERROR(__xludf.DUMMYFUNCTION("IF(COUNTA(A472:L472)=0,"""",IFS(OR(A472="""",B472="""",C472="""",D472="""",E472="""",F472="""",G472="""",H472="""",K472=""""),""Ошибка: обязательные поля"",NOT(REGEXMATCH(H472,""^https?://[^ /]+"")),""Ошибка: некорректная ссылка"",COUNTIF('Справочники'!$A"&amp;"$4:$A$24,C472)=0,""Ошибка: территория вне справочника"",K472=""Недоступен"",""Ошибка: ссылка недоступна"",E472=""Неофициальный источник"",IF(K472=""Активен"",""Готово"",""Проверить: активность""),COUNTIF($H$6:$H$504,H472)&gt;1,""Проверить: повтор URL"",I472&lt;"&amp;"&gt;""Подтверждено"",""Проверить: официальность / комментарий"",K472&lt;&gt;""Активен"",""Проверить: активность"",AND(ISNUMBER(J472),J472&lt;TODAY()-30),""Проверить: публикации старше 30 дней"",TRUE,""Готово""))"),"")</f>
        <v/>
      </c>
    </row>
    <row r="473" spans="1:13" ht="25.5" customHeight="1">
      <c r="A473" s="27"/>
      <c r="B473" s="28"/>
      <c r="C473" s="27"/>
      <c r="D473" s="29"/>
      <c r="E473" s="27"/>
      <c r="F473" s="27"/>
      <c r="G473" s="29"/>
      <c r="H473" s="30"/>
      <c r="I473" s="29"/>
      <c r="J473" s="28"/>
      <c r="K473" s="27"/>
      <c r="L473" s="29"/>
      <c r="M473" s="25" t="str">
        <f ca="1">IFERROR(__xludf.DUMMYFUNCTION("IF(COUNTA(A473:L473)=0,"""",IFS(OR(A473="""",B473="""",C473="""",D473="""",E473="""",F473="""",G473="""",H473="""",K473=""""),""Ошибка: обязательные поля"",NOT(REGEXMATCH(H473,""^https?://[^ /]+"")),""Ошибка: некорректная ссылка"",COUNTIF('Справочники'!$A"&amp;"$4:$A$24,C473)=0,""Ошибка: территория вне справочника"",K473=""Недоступен"",""Ошибка: ссылка недоступна"",E473=""Неофициальный источник"",IF(K473=""Активен"",""Готово"",""Проверить: активность""),COUNTIF($H$6:$H$504,H473)&gt;1,""Проверить: повтор URL"",I473&lt;"&amp;"&gt;""Подтверждено"",""Проверить: официальность / комментарий"",K473&lt;&gt;""Активен"",""Проверить: активность"",AND(ISNUMBER(J473),J473&lt;TODAY()-30),""Проверить: публикации старше 30 дней"",TRUE,""Готово""))"),"")</f>
        <v/>
      </c>
    </row>
    <row r="474" spans="1:13" ht="25.5" customHeight="1">
      <c r="A474" s="27"/>
      <c r="B474" s="28"/>
      <c r="C474" s="27"/>
      <c r="D474" s="29"/>
      <c r="E474" s="27"/>
      <c r="F474" s="27"/>
      <c r="G474" s="29"/>
      <c r="H474" s="30"/>
      <c r="I474" s="29"/>
      <c r="J474" s="28"/>
      <c r="K474" s="27"/>
      <c r="L474" s="29"/>
      <c r="M474" s="25" t="str">
        <f ca="1">IFERROR(__xludf.DUMMYFUNCTION("IF(COUNTA(A474:L474)=0,"""",IFS(OR(A474="""",B474="""",C474="""",D474="""",E474="""",F474="""",G474="""",H474="""",K474=""""),""Ошибка: обязательные поля"",NOT(REGEXMATCH(H474,""^https?://[^ /]+"")),""Ошибка: некорректная ссылка"",COUNTIF('Справочники'!$A"&amp;"$4:$A$24,C474)=0,""Ошибка: территория вне справочника"",K474=""Недоступен"",""Ошибка: ссылка недоступна"",E474=""Неофициальный источник"",IF(K474=""Активен"",""Готово"",""Проверить: активность""),COUNTIF($H$6:$H$504,H474)&gt;1,""Проверить: повтор URL"",I474&lt;"&amp;"&gt;""Подтверждено"",""Проверить: официальность / комментарий"",K474&lt;&gt;""Активен"",""Проверить: активность"",AND(ISNUMBER(J474),J474&lt;TODAY()-30),""Проверить: публикации старше 30 дней"",TRUE,""Готово""))"),"")</f>
        <v/>
      </c>
    </row>
    <row r="475" spans="1:13" ht="25.5" customHeight="1">
      <c r="A475" s="27"/>
      <c r="B475" s="28"/>
      <c r="C475" s="27"/>
      <c r="D475" s="29"/>
      <c r="E475" s="27"/>
      <c r="F475" s="27"/>
      <c r="G475" s="29"/>
      <c r="H475" s="30"/>
      <c r="I475" s="29"/>
      <c r="J475" s="28"/>
      <c r="K475" s="27"/>
      <c r="L475" s="29"/>
      <c r="M475" s="25" t="str">
        <f ca="1">IFERROR(__xludf.DUMMYFUNCTION("IF(COUNTA(A475:L475)=0,"""",IFS(OR(A475="""",B475="""",C475="""",D475="""",E475="""",F475="""",G475="""",H475="""",K475=""""),""Ошибка: обязательные поля"",NOT(REGEXMATCH(H475,""^https?://[^ /]+"")),""Ошибка: некорректная ссылка"",COUNTIF('Справочники'!$A"&amp;"$4:$A$24,C475)=0,""Ошибка: территория вне справочника"",K475=""Недоступен"",""Ошибка: ссылка недоступна"",E475=""Неофициальный источник"",IF(K475=""Активен"",""Готово"",""Проверить: активность""),COUNTIF($H$6:$H$504,H475)&gt;1,""Проверить: повтор URL"",I475&lt;"&amp;"&gt;""Подтверждено"",""Проверить: официальность / комментарий"",K475&lt;&gt;""Активен"",""Проверить: активность"",AND(ISNUMBER(J475),J475&lt;TODAY()-30),""Проверить: публикации старше 30 дней"",TRUE,""Готово""))"),"")</f>
        <v/>
      </c>
    </row>
    <row r="476" spans="1:13" ht="25.5" customHeight="1">
      <c r="A476" s="27"/>
      <c r="B476" s="28"/>
      <c r="C476" s="27"/>
      <c r="D476" s="29"/>
      <c r="E476" s="27"/>
      <c r="F476" s="27"/>
      <c r="G476" s="29"/>
      <c r="H476" s="30"/>
      <c r="I476" s="29"/>
      <c r="J476" s="28"/>
      <c r="K476" s="27"/>
      <c r="L476" s="29"/>
      <c r="M476" s="25" t="str">
        <f ca="1">IFERROR(__xludf.DUMMYFUNCTION("IF(COUNTA(A476:L476)=0,"""",IFS(OR(A476="""",B476="""",C476="""",D476="""",E476="""",F476="""",G476="""",H476="""",K476=""""),""Ошибка: обязательные поля"",NOT(REGEXMATCH(H476,""^https?://[^ /]+"")),""Ошибка: некорректная ссылка"",COUNTIF('Справочники'!$A"&amp;"$4:$A$24,C476)=0,""Ошибка: территория вне справочника"",K476=""Недоступен"",""Ошибка: ссылка недоступна"",E476=""Неофициальный источник"",IF(K476=""Активен"",""Готово"",""Проверить: активность""),COUNTIF($H$6:$H$504,H476)&gt;1,""Проверить: повтор URL"",I476&lt;"&amp;"&gt;""Подтверждено"",""Проверить: официальность / комментарий"",K476&lt;&gt;""Активен"",""Проверить: активность"",AND(ISNUMBER(J476),J476&lt;TODAY()-30),""Проверить: публикации старше 30 дней"",TRUE,""Готово""))"),"")</f>
        <v/>
      </c>
    </row>
    <row r="477" spans="1:13" ht="25.5" customHeight="1">
      <c r="A477" s="27"/>
      <c r="B477" s="28"/>
      <c r="C477" s="27"/>
      <c r="D477" s="29"/>
      <c r="E477" s="27"/>
      <c r="F477" s="27"/>
      <c r="G477" s="29"/>
      <c r="H477" s="30"/>
      <c r="I477" s="29"/>
      <c r="J477" s="28"/>
      <c r="K477" s="27"/>
      <c r="L477" s="29"/>
      <c r="M477" s="25" t="str">
        <f ca="1">IFERROR(__xludf.DUMMYFUNCTION("IF(COUNTA(A477:L477)=0,"""",IFS(OR(A477="""",B477="""",C477="""",D477="""",E477="""",F477="""",G477="""",H477="""",K477=""""),""Ошибка: обязательные поля"",NOT(REGEXMATCH(H477,""^https?://[^ /]+"")),""Ошибка: некорректная ссылка"",COUNTIF('Справочники'!$A"&amp;"$4:$A$24,C477)=0,""Ошибка: территория вне справочника"",K477=""Недоступен"",""Ошибка: ссылка недоступна"",E477=""Неофициальный источник"",IF(K477=""Активен"",""Готово"",""Проверить: активность""),COUNTIF($H$6:$H$504,H477)&gt;1,""Проверить: повтор URL"",I477&lt;"&amp;"&gt;""Подтверждено"",""Проверить: официальность / комментарий"",K477&lt;&gt;""Активен"",""Проверить: активность"",AND(ISNUMBER(J477),J477&lt;TODAY()-30),""Проверить: публикации старше 30 дней"",TRUE,""Готово""))"),"")</f>
        <v/>
      </c>
    </row>
    <row r="478" spans="1:13" ht="25.5" customHeight="1">
      <c r="A478" s="27"/>
      <c r="B478" s="28"/>
      <c r="C478" s="27"/>
      <c r="D478" s="29"/>
      <c r="E478" s="27"/>
      <c r="F478" s="27"/>
      <c r="G478" s="29"/>
      <c r="H478" s="30"/>
      <c r="I478" s="29"/>
      <c r="J478" s="28"/>
      <c r="K478" s="27"/>
      <c r="L478" s="29"/>
      <c r="M478" s="25" t="str">
        <f ca="1">IFERROR(__xludf.DUMMYFUNCTION("IF(COUNTA(A478:L478)=0,"""",IFS(OR(A478="""",B478="""",C478="""",D478="""",E478="""",F478="""",G478="""",H478="""",K478=""""),""Ошибка: обязательные поля"",NOT(REGEXMATCH(H478,""^https?://[^ /]+"")),""Ошибка: некорректная ссылка"",COUNTIF('Справочники'!$A"&amp;"$4:$A$24,C478)=0,""Ошибка: территория вне справочника"",K478=""Недоступен"",""Ошибка: ссылка недоступна"",E478=""Неофициальный источник"",IF(K478=""Активен"",""Готово"",""Проверить: активность""),COUNTIF($H$6:$H$504,H478)&gt;1,""Проверить: повтор URL"",I478&lt;"&amp;"&gt;""Подтверждено"",""Проверить: официальность / комментарий"",K478&lt;&gt;""Активен"",""Проверить: активность"",AND(ISNUMBER(J478),J478&lt;TODAY()-30),""Проверить: публикации старше 30 дней"",TRUE,""Готово""))"),"")</f>
        <v/>
      </c>
    </row>
    <row r="479" spans="1:13" ht="25.5" customHeight="1">
      <c r="A479" s="27"/>
      <c r="B479" s="28"/>
      <c r="C479" s="27"/>
      <c r="D479" s="29"/>
      <c r="E479" s="27"/>
      <c r="F479" s="27"/>
      <c r="G479" s="29"/>
      <c r="H479" s="30"/>
      <c r="I479" s="29"/>
      <c r="J479" s="28"/>
      <c r="K479" s="27"/>
      <c r="L479" s="29"/>
      <c r="M479" s="25" t="str">
        <f ca="1">IFERROR(__xludf.DUMMYFUNCTION("IF(COUNTA(A479:L479)=0,"""",IFS(OR(A479="""",B479="""",C479="""",D479="""",E479="""",F479="""",G479="""",H479="""",K479=""""),""Ошибка: обязательные поля"",NOT(REGEXMATCH(H479,""^https?://[^ /]+"")),""Ошибка: некорректная ссылка"",COUNTIF('Справочники'!$A"&amp;"$4:$A$24,C479)=0,""Ошибка: территория вне справочника"",K479=""Недоступен"",""Ошибка: ссылка недоступна"",E479=""Неофициальный источник"",IF(K479=""Активен"",""Готово"",""Проверить: активность""),COUNTIF($H$6:$H$504,H479)&gt;1,""Проверить: повтор URL"",I479&lt;"&amp;"&gt;""Подтверждено"",""Проверить: официальность / комментарий"",K479&lt;&gt;""Активен"",""Проверить: активность"",AND(ISNUMBER(J479),J479&lt;TODAY()-30),""Проверить: публикации старше 30 дней"",TRUE,""Готово""))"),"")</f>
        <v/>
      </c>
    </row>
    <row r="480" spans="1:13" ht="25.5" customHeight="1">
      <c r="A480" s="27"/>
      <c r="B480" s="28"/>
      <c r="C480" s="27"/>
      <c r="D480" s="29"/>
      <c r="E480" s="27"/>
      <c r="F480" s="27"/>
      <c r="G480" s="29"/>
      <c r="H480" s="30"/>
      <c r="I480" s="29"/>
      <c r="J480" s="28"/>
      <c r="K480" s="27"/>
      <c r="L480" s="29"/>
      <c r="M480" s="25" t="str">
        <f ca="1">IFERROR(__xludf.DUMMYFUNCTION("IF(COUNTA(A480:L480)=0,"""",IFS(OR(A480="""",B480="""",C480="""",D480="""",E480="""",F480="""",G480="""",H480="""",K480=""""),""Ошибка: обязательные поля"",NOT(REGEXMATCH(H480,""^https?://[^ /]+"")),""Ошибка: некорректная ссылка"",COUNTIF('Справочники'!$A"&amp;"$4:$A$24,C480)=0,""Ошибка: территория вне справочника"",K480=""Недоступен"",""Ошибка: ссылка недоступна"",E480=""Неофициальный источник"",IF(K480=""Активен"",""Готово"",""Проверить: активность""),COUNTIF($H$6:$H$504,H480)&gt;1,""Проверить: повтор URL"",I480&lt;"&amp;"&gt;""Подтверждено"",""Проверить: официальность / комментарий"",K480&lt;&gt;""Активен"",""Проверить: активность"",AND(ISNUMBER(J480),J480&lt;TODAY()-30),""Проверить: публикации старше 30 дней"",TRUE,""Готово""))"),"")</f>
        <v/>
      </c>
    </row>
    <row r="481" spans="1:13" ht="25.5" customHeight="1">
      <c r="A481" s="27"/>
      <c r="B481" s="28"/>
      <c r="C481" s="27"/>
      <c r="D481" s="29"/>
      <c r="E481" s="27"/>
      <c r="F481" s="27"/>
      <c r="G481" s="29"/>
      <c r="H481" s="30"/>
      <c r="I481" s="29"/>
      <c r="J481" s="28"/>
      <c r="K481" s="27"/>
      <c r="L481" s="29"/>
      <c r="M481" s="25" t="str">
        <f ca="1">IFERROR(__xludf.DUMMYFUNCTION("IF(COUNTA(A481:L481)=0,"""",IFS(OR(A481="""",B481="""",C481="""",D481="""",E481="""",F481="""",G481="""",H481="""",K481=""""),""Ошибка: обязательные поля"",NOT(REGEXMATCH(H481,""^https?://[^ /]+"")),""Ошибка: некорректная ссылка"",COUNTIF('Справочники'!$A"&amp;"$4:$A$24,C481)=0,""Ошибка: территория вне справочника"",K481=""Недоступен"",""Ошибка: ссылка недоступна"",E481=""Неофициальный источник"",IF(K481=""Активен"",""Готово"",""Проверить: активность""),COUNTIF($H$6:$H$504,H481)&gt;1,""Проверить: повтор URL"",I481&lt;"&amp;"&gt;""Подтверждено"",""Проверить: официальность / комментарий"",K481&lt;&gt;""Активен"",""Проверить: активность"",AND(ISNUMBER(J481),J481&lt;TODAY()-30),""Проверить: публикации старше 30 дней"",TRUE,""Готово""))"),"")</f>
        <v/>
      </c>
    </row>
    <row r="482" spans="1:13" ht="25.5" customHeight="1">
      <c r="A482" s="27"/>
      <c r="B482" s="28"/>
      <c r="C482" s="27"/>
      <c r="D482" s="29"/>
      <c r="E482" s="27"/>
      <c r="F482" s="27"/>
      <c r="G482" s="29"/>
      <c r="H482" s="30"/>
      <c r="I482" s="29"/>
      <c r="J482" s="28"/>
      <c r="K482" s="27"/>
      <c r="L482" s="29"/>
      <c r="M482" s="25" t="str">
        <f ca="1">IFERROR(__xludf.DUMMYFUNCTION("IF(COUNTA(A482:L482)=0,"""",IFS(OR(A482="""",B482="""",C482="""",D482="""",E482="""",F482="""",G482="""",H482="""",K482=""""),""Ошибка: обязательные поля"",NOT(REGEXMATCH(H482,""^https?://[^ /]+"")),""Ошибка: некорректная ссылка"",COUNTIF('Справочники'!$A"&amp;"$4:$A$24,C482)=0,""Ошибка: территория вне справочника"",K482=""Недоступен"",""Ошибка: ссылка недоступна"",E482=""Неофициальный источник"",IF(K482=""Активен"",""Готово"",""Проверить: активность""),COUNTIF($H$6:$H$504,H482)&gt;1,""Проверить: повтор URL"",I482&lt;"&amp;"&gt;""Подтверждено"",""Проверить: официальность / комментарий"",K482&lt;&gt;""Активен"",""Проверить: активность"",AND(ISNUMBER(J482),J482&lt;TODAY()-30),""Проверить: публикации старше 30 дней"",TRUE,""Готово""))"),"")</f>
        <v/>
      </c>
    </row>
    <row r="483" spans="1:13" ht="25.5" customHeight="1">
      <c r="A483" s="27"/>
      <c r="B483" s="28"/>
      <c r="C483" s="27"/>
      <c r="D483" s="29"/>
      <c r="E483" s="27"/>
      <c r="F483" s="27"/>
      <c r="G483" s="29"/>
      <c r="H483" s="30"/>
      <c r="I483" s="29"/>
      <c r="J483" s="28"/>
      <c r="K483" s="27"/>
      <c r="L483" s="29"/>
      <c r="M483" s="25" t="str">
        <f ca="1">IFERROR(__xludf.DUMMYFUNCTION("IF(COUNTA(A483:L483)=0,"""",IFS(OR(A483="""",B483="""",C483="""",D483="""",E483="""",F483="""",G483="""",H483="""",K483=""""),""Ошибка: обязательные поля"",NOT(REGEXMATCH(H483,""^https?://[^ /]+"")),""Ошибка: некорректная ссылка"",COUNTIF('Справочники'!$A"&amp;"$4:$A$24,C483)=0,""Ошибка: территория вне справочника"",K483=""Недоступен"",""Ошибка: ссылка недоступна"",E483=""Неофициальный источник"",IF(K483=""Активен"",""Готово"",""Проверить: активность""),COUNTIF($H$6:$H$504,H483)&gt;1,""Проверить: повтор URL"",I483&lt;"&amp;"&gt;""Подтверждено"",""Проверить: официальность / комментарий"",K483&lt;&gt;""Активен"",""Проверить: активность"",AND(ISNUMBER(J483),J483&lt;TODAY()-30),""Проверить: публикации старше 30 дней"",TRUE,""Готово""))"),"")</f>
        <v/>
      </c>
    </row>
    <row r="484" spans="1:13" ht="25.5" customHeight="1">
      <c r="A484" s="27"/>
      <c r="B484" s="28"/>
      <c r="C484" s="27"/>
      <c r="D484" s="29"/>
      <c r="E484" s="27"/>
      <c r="F484" s="27"/>
      <c r="G484" s="29"/>
      <c r="H484" s="30"/>
      <c r="I484" s="29"/>
      <c r="J484" s="28"/>
      <c r="K484" s="27"/>
      <c r="L484" s="29"/>
      <c r="M484" s="25" t="str">
        <f ca="1">IFERROR(__xludf.DUMMYFUNCTION("IF(COUNTA(A484:L484)=0,"""",IFS(OR(A484="""",B484="""",C484="""",D484="""",E484="""",F484="""",G484="""",H484="""",K484=""""),""Ошибка: обязательные поля"",NOT(REGEXMATCH(H484,""^https?://[^ /]+"")),""Ошибка: некорректная ссылка"",COUNTIF('Справочники'!$A"&amp;"$4:$A$24,C484)=0,""Ошибка: территория вне справочника"",K484=""Недоступен"",""Ошибка: ссылка недоступна"",E484=""Неофициальный источник"",IF(K484=""Активен"",""Готово"",""Проверить: активность""),COUNTIF($H$6:$H$504,H484)&gt;1,""Проверить: повтор URL"",I484&lt;"&amp;"&gt;""Подтверждено"",""Проверить: официальность / комментарий"",K484&lt;&gt;""Активен"",""Проверить: активность"",AND(ISNUMBER(J484),J484&lt;TODAY()-30),""Проверить: публикации старше 30 дней"",TRUE,""Готово""))"),"")</f>
        <v/>
      </c>
    </row>
    <row r="485" spans="1:13" ht="25.5" customHeight="1">
      <c r="A485" s="27"/>
      <c r="B485" s="28"/>
      <c r="C485" s="27"/>
      <c r="D485" s="29"/>
      <c r="E485" s="27"/>
      <c r="F485" s="27"/>
      <c r="G485" s="29"/>
      <c r="H485" s="30"/>
      <c r="I485" s="29"/>
      <c r="J485" s="28"/>
      <c r="K485" s="27"/>
      <c r="L485" s="29"/>
      <c r="M485" s="25" t="str">
        <f ca="1">IFERROR(__xludf.DUMMYFUNCTION("IF(COUNTA(A485:L485)=0,"""",IFS(OR(A485="""",B485="""",C485="""",D485="""",E485="""",F485="""",G485="""",H485="""",K485=""""),""Ошибка: обязательные поля"",NOT(REGEXMATCH(H485,""^https?://[^ /]+"")),""Ошибка: некорректная ссылка"",COUNTIF('Справочники'!$A"&amp;"$4:$A$24,C485)=0,""Ошибка: территория вне справочника"",K485=""Недоступен"",""Ошибка: ссылка недоступна"",E485=""Неофициальный источник"",IF(K485=""Активен"",""Готово"",""Проверить: активность""),COUNTIF($H$6:$H$504,H485)&gt;1,""Проверить: повтор URL"",I485&lt;"&amp;"&gt;""Подтверждено"",""Проверить: официальность / комментарий"",K485&lt;&gt;""Активен"",""Проверить: активность"",AND(ISNUMBER(J485),J485&lt;TODAY()-30),""Проверить: публикации старше 30 дней"",TRUE,""Готово""))"),"")</f>
        <v/>
      </c>
    </row>
    <row r="486" spans="1:13" ht="25.5" customHeight="1">
      <c r="A486" s="27"/>
      <c r="B486" s="28"/>
      <c r="C486" s="27"/>
      <c r="D486" s="29"/>
      <c r="E486" s="27"/>
      <c r="F486" s="27"/>
      <c r="G486" s="29"/>
      <c r="H486" s="30"/>
      <c r="I486" s="29"/>
      <c r="J486" s="28"/>
      <c r="K486" s="27"/>
      <c r="L486" s="29"/>
      <c r="M486" s="25" t="str">
        <f ca="1">IFERROR(__xludf.DUMMYFUNCTION("IF(COUNTA(A486:L486)=0,"""",IFS(OR(A486="""",B486="""",C486="""",D486="""",E486="""",F486="""",G486="""",H486="""",K486=""""),""Ошибка: обязательные поля"",NOT(REGEXMATCH(H486,""^https?://[^ /]+"")),""Ошибка: некорректная ссылка"",COUNTIF('Справочники'!$A"&amp;"$4:$A$24,C486)=0,""Ошибка: территория вне справочника"",K486=""Недоступен"",""Ошибка: ссылка недоступна"",E486=""Неофициальный источник"",IF(K486=""Активен"",""Готово"",""Проверить: активность""),COUNTIF($H$6:$H$504,H486)&gt;1,""Проверить: повтор URL"",I486&lt;"&amp;"&gt;""Подтверждено"",""Проверить: официальность / комментарий"",K486&lt;&gt;""Активен"",""Проверить: активность"",AND(ISNUMBER(J486),J486&lt;TODAY()-30),""Проверить: публикации старше 30 дней"",TRUE,""Готово""))"),"")</f>
        <v/>
      </c>
    </row>
    <row r="487" spans="1:13" ht="25.5" customHeight="1">
      <c r="A487" s="27"/>
      <c r="B487" s="28"/>
      <c r="C487" s="27"/>
      <c r="D487" s="29"/>
      <c r="E487" s="27"/>
      <c r="F487" s="27"/>
      <c r="G487" s="29"/>
      <c r="H487" s="30"/>
      <c r="I487" s="29"/>
      <c r="J487" s="28"/>
      <c r="K487" s="27"/>
      <c r="L487" s="29"/>
      <c r="M487" s="25" t="str">
        <f ca="1">IFERROR(__xludf.DUMMYFUNCTION("IF(COUNTA(A487:L487)=0,"""",IFS(OR(A487="""",B487="""",C487="""",D487="""",E487="""",F487="""",G487="""",H487="""",K487=""""),""Ошибка: обязательные поля"",NOT(REGEXMATCH(H487,""^https?://[^ /]+"")),""Ошибка: некорректная ссылка"",COUNTIF('Справочники'!$A"&amp;"$4:$A$24,C487)=0,""Ошибка: территория вне справочника"",K487=""Недоступен"",""Ошибка: ссылка недоступна"",E487=""Неофициальный источник"",IF(K487=""Активен"",""Готово"",""Проверить: активность""),COUNTIF($H$6:$H$504,H487)&gt;1,""Проверить: повтор URL"",I487&lt;"&amp;"&gt;""Подтверждено"",""Проверить: официальность / комментарий"",K487&lt;&gt;""Активен"",""Проверить: активность"",AND(ISNUMBER(J487),J487&lt;TODAY()-30),""Проверить: публикации старше 30 дней"",TRUE,""Готово""))"),"")</f>
        <v/>
      </c>
    </row>
    <row r="488" spans="1:13" ht="25.5" customHeight="1">
      <c r="A488" s="27"/>
      <c r="B488" s="28"/>
      <c r="C488" s="27"/>
      <c r="D488" s="29"/>
      <c r="E488" s="27"/>
      <c r="F488" s="27"/>
      <c r="G488" s="29"/>
      <c r="H488" s="30"/>
      <c r="I488" s="29"/>
      <c r="J488" s="28"/>
      <c r="K488" s="27"/>
      <c r="L488" s="29"/>
      <c r="M488" s="25" t="str">
        <f ca="1">IFERROR(__xludf.DUMMYFUNCTION("IF(COUNTA(A488:L488)=0,"""",IFS(OR(A488="""",B488="""",C488="""",D488="""",E488="""",F488="""",G488="""",H488="""",K488=""""),""Ошибка: обязательные поля"",NOT(REGEXMATCH(H488,""^https?://[^ /]+"")),""Ошибка: некорректная ссылка"",COUNTIF('Справочники'!$A"&amp;"$4:$A$24,C488)=0,""Ошибка: территория вне справочника"",K488=""Недоступен"",""Ошибка: ссылка недоступна"",E488=""Неофициальный источник"",IF(K488=""Активен"",""Готово"",""Проверить: активность""),COUNTIF($H$6:$H$504,H488)&gt;1,""Проверить: повтор URL"",I488&lt;"&amp;"&gt;""Подтверждено"",""Проверить: официальность / комментарий"",K488&lt;&gt;""Активен"",""Проверить: активность"",AND(ISNUMBER(J488),J488&lt;TODAY()-30),""Проверить: публикации старше 30 дней"",TRUE,""Готово""))"),"")</f>
        <v/>
      </c>
    </row>
    <row r="489" spans="1:13" ht="25.5" customHeight="1">
      <c r="A489" s="27"/>
      <c r="B489" s="28"/>
      <c r="C489" s="27"/>
      <c r="D489" s="29"/>
      <c r="E489" s="27"/>
      <c r="F489" s="27"/>
      <c r="G489" s="29"/>
      <c r="H489" s="30"/>
      <c r="I489" s="29"/>
      <c r="J489" s="28"/>
      <c r="K489" s="27"/>
      <c r="L489" s="29"/>
      <c r="M489" s="25" t="str">
        <f ca="1">IFERROR(__xludf.DUMMYFUNCTION("IF(COUNTA(A489:L489)=0,"""",IFS(OR(A489="""",B489="""",C489="""",D489="""",E489="""",F489="""",G489="""",H489="""",K489=""""),""Ошибка: обязательные поля"",NOT(REGEXMATCH(H489,""^https?://[^ /]+"")),""Ошибка: некорректная ссылка"",COUNTIF('Справочники'!$A"&amp;"$4:$A$24,C489)=0,""Ошибка: территория вне справочника"",K489=""Недоступен"",""Ошибка: ссылка недоступна"",E489=""Неофициальный источник"",IF(K489=""Активен"",""Готово"",""Проверить: активность""),COUNTIF($H$6:$H$504,H489)&gt;1,""Проверить: повтор URL"",I489&lt;"&amp;"&gt;""Подтверждено"",""Проверить: официальность / комментарий"",K489&lt;&gt;""Активен"",""Проверить: активность"",AND(ISNUMBER(J489),J489&lt;TODAY()-30),""Проверить: публикации старше 30 дней"",TRUE,""Готово""))"),"")</f>
        <v/>
      </c>
    </row>
    <row r="490" spans="1:13" ht="25.5" customHeight="1">
      <c r="A490" s="27"/>
      <c r="B490" s="28"/>
      <c r="C490" s="27"/>
      <c r="D490" s="29"/>
      <c r="E490" s="27"/>
      <c r="F490" s="27"/>
      <c r="G490" s="29"/>
      <c r="H490" s="30"/>
      <c r="I490" s="29"/>
      <c r="J490" s="28"/>
      <c r="K490" s="27"/>
      <c r="L490" s="29"/>
      <c r="M490" s="25" t="str">
        <f ca="1">IFERROR(__xludf.DUMMYFUNCTION("IF(COUNTA(A490:L490)=0,"""",IFS(OR(A490="""",B490="""",C490="""",D490="""",E490="""",F490="""",G490="""",H490="""",K490=""""),""Ошибка: обязательные поля"",NOT(REGEXMATCH(H490,""^https?://[^ /]+"")),""Ошибка: некорректная ссылка"",COUNTIF('Справочники'!$A"&amp;"$4:$A$24,C490)=0,""Ошибка: территория вне справочника"",K490=""Недоступен"",""Ошибка: ссылка недоступна"",E490=""Неофициальный источник"",IF(K490=""Активен"",""Готово"",""Проверить: активность""),COUNTIF($H$6:$H$504,H490)&gt;1,""Проверить: повтор URL"",I490&lt;"&amp;"&gt;""Подтверждено"",""Проверить: официальность / комментарий"",K490&lt;&gt;""Активен"",""Проверить: активность"",AND(ISNUMBER(J490),J490&lt;TODAY()-30),""Проверить: публикации старше 30 дней"",TRUE,""Готово""))"),"")</f>
        <v/>
      </c>
    </row>
    <row r="491" spans="1:13" ht="25.5" customHeight="1">
      <c r="A491" s="27"/>
      <c r="B491" s="28"/>
      <c r="C491" s="27"/>
      <c r="D491" s="29"/>
      <c r="E491" s="27"/>
      <c r="F491" s="27"/>
      <c r="G491" s="29"/>
      <c r="H491" s="30"/>
      <c r="I491" s="29"/>
      <c r="J491" s="28"/>
      <c r="K491" s="27"/>
      <c r="L491" s="29"/>
      <c r="M491" s="25" t="str">
        <f ca="1">IFERROR(__xludf.DUMMYFUNCTION("IF(COUNTA(A491:L491)=0,"""",IFS(OR(A491="""",B491="""",C491="""",D491="""",E491="""",F491="""",G491="""",H491="""",K491=""""),""Ошибка: обязательные поля"",NOT(REGEXMATCH(H491,""^https?://[^ /]+"")),""Ошибка: некорректная ссылка"",COUNTIF('Справочники'!$A"&amp;"$4:$A$24,C491)=0,""Ошибка: территория вне справочника"",K491=""Недоступен"",""Ошибка: ссылка недоступна"",E491=""Неофициальный источник"",IF(K491=""Активен"",""Готово"",""Проверить: активность""),COUNTIF($H$6:$H$504,H491)&gt;1,""Проверить: повтор URL"",I491&lt;"&amp;"&gt;""Подтверждено"",""Проверить: официальность / комментарий"",K491&lt;&gt;""Активен"",""Проверить: активность"",AND(ISNUMBER(J491),J491&lt;TODAY()-30),""Проверить: публикации старше 30 дней"",TRUE,""Готово""))"),"")</f>
        <v/>
      </c>
    </row>
    <row r="492" spans="1:13" ht="25.5" customHeight="1">
      <c r="A492" s="27"/>
      <c r="B492" s="28"/>
      <c r="C492" s="27"/>
      <c r="D492" s="29"/>
      <c r="E492" s="27"/>
      <c r="F492" s="27"/>
      <c r="G492" s="29"/>
      <c r="H492" s="30"/>
      <c r="I492" s="29"/>
      <c r="J492" s="28"/>
      <c r="K492" s="27"/>
      <c r="L492" s="29"/>
      <c r="M492" s="25" t="str">
        <f ca="1">IFERROR(__xludf.DUMMYFUNCTION("IF(COUNTA(A492:L492)=0,"""",IFS(OR(A492="""",B492="""",C492="""",D492="""",E492="""",F492="""",G492="""",H492="""",K492=""""),""Ошибка: обязательные поля"",NOT(REGEXMATCH(H492,""^https?://[^ /]+"")),""Ошибка: некорректная ссылка"",COUNTIF('Справочники'!$A"&amp;"$4:$A$24,C492)=0,""Ошибка: территория вне справочника"",K492=""Недоступен"",""Ошибка: ссылка недоступна"",E492=""Неофициальный источник"",IF(K492=""Активен"",""Готово"",""Проверить: активность""),COUNTIF($H$6:$H$504,H492)&gt;1,""Проверить: повтор URL"",I492&lt;"&amp;"&gt;""Подтверждено"",""Проверить: официальность / комментарий"",K492&lt;&gt;""Активен"",""Проверить: активность"",AND(ISNUMBER(J492),J492&lt;TODAY()-30),""Проверить: публикации старше 30 дней"",TRUE,""Готово""))"),"")</f>
        <v/>
      </c>
    </row>
    <row r="493" spans="1:13" ht="25.5" customHeight="1">
      <c r="A493" s="27"/>
      <c r="B493" s="28"/>
      <c r="C493" s="27"/>
      <c r="D493" s="29"/>
      <c r="E493" s="27"/>
      <c r="F493" s="27"/>
      <c r="G493" s="29"/>
      <c r="H493" s="30"/>
      <c r="I493" s="29"/>
      <c r="J493" s="28"/>
      <c r="K493" s="27"/>
      <c r="L493" s="29"/>
      <c r="M493" s="25" t="str">
        <f ca="1">IFERROR(__xludf.DUMMYFUNCTION("IF(COUNTA(A493:L493)=0,"""",IFS(OR(A493="""",B493="""",C493="""",D493="""",E493="""",F493="""",G493="""",H493="""",K493=""""),""Ошибка: обязательные поля"",NOT(REGEXMATCH(H493,""^https?://[^ /]+"")),""Ошибка: некорректная ссылка"",COUNTIF('Справочники'!$A"&amp;"$4:$A$24,C493)=0,""Ошибка: территория вне справочника"",K493=""Недоступен"",""Ошибка: ссылка недоступна"",E493=""Неофициальный источник"",IF(K493=""Активен"",""Готово"",""Проверить: активность""),COUNTIF($H$6:$H$504,H493)&gt;1,""Проверить: повтор URL"",I493&lt;"&amp;"&gt;""Подтверждено"",""Проверить: официальность / комментарий"",K493&lt;&gt;""Активен"",""Проверить: активность"",AND(ISNUMBER(J493),J493&lt;TODAY()-30),""Проверить: публикации старше 30 дней"",TRUE,""Готово""))"),"")</f>
        <v/>
      </c>
    </row>
    <row r="494" spans="1:13" ht="25.5" customHeight="1">
      <c r="A494" s="27"/>
      <c r="B494" s="28"/>
      <c r="C494" s="27"/>
      <c r="D494" s="29"/>
      <c r="E494" s="27"/>
      <c r="F494" s="27"/>
      <c r="G494" s="29"/>
      <c r="H494" s="30"/>
      <c r="I494" s="29"/>
      <c r="J494" s="28"/>
      <c r="K494" s="27"/>
      <c r="L494" s="29"/>
      <c r="M494" s="25" t="str">
        <f ca="1">IFERROR(__xludf.DUMMYFUNCTION("IF(COUNTA(A494:L494)=0,"""",IFS(OR(A494="""",B494="""",C494="""",D494="""",E494="""",F494="""",G494="""",H494="""",K494=""""),""Ошибка: обязательные поля"",NOT(REGEXMATCH(H494,""^https?://[^ /]+"")),""Ошибка: некорректная ссылка"",COUNTIF('Справочники'!$A"&amp;"$4:$A$24,C494)=0,""Ошибка: территория вне справочника"",K494=""Недоступен"",""Ошибка: ссылка недоступна"",E494=""Неофициальный источник"",IF(K494=""Активен"",""Готово"",""Проверить: активность""),COUNTIF($H$6:$H$504,H494)&gt;1,""Проверить: повтор URL"",I494&lt;"&amp;"&gt;""Подтверждено"",""Проверить: официальность / комментарий"",K494&lt;&gt;""Активен"",""Проверить: активность"",AND(ISNUMBER(J494),J494&lt;TODAY()-30),""Проверить: публикации старше 30 дней"",TRUE,""Готово""))"),"")</f>
        <v/>
      </c>
    </row>
    <row r="495" spans="1:13" ht="25.5" customHeight="1">
      <c r="A495" s="27"/>
      <c r="B495" s="28"/>
      <c r="C495" s="27"/>
      <c r="D495" s="29"/>
      <c r="E495" s="27"/>
      <c r="F495" s="27"/>
      <c r="G495" s="29"/>
      <c r="H495" s="30"/>
      <c r="I495" s="29"/>
      <c r="J495" s="28"/>
      <c r="K495" s="27"/>
      <c r="L495" s="29"/>
      <c r="M495" s="25" t="str">
        <f ca="1">IFERROR(__xludf.DUMMYFUNCTION("IF(COUNTA(A495:L495)=0,"""",IFS(OR(A495="""",B495="""",C495="""",D495="""",E495="""",F495="""",G495="""",H495="""",K495=""""),""Ошибка: обязательные поля"",NOT(REGEXMATCH(H495,""^https?://[^ /]+"")),""Ошибка: некорректная ссылка"",COUNTIF('Справочники'!$A"&amp;"$4:$A$24,C495)=0,""Ошибка: территория вне справочника"",K495=""Недоступен"",""Ошибка: ссылка недоступна"",E495=""Неофициальный источник"",IF(K495=""Активен"",""Готово"",""Проверить: активность""),COUNTIF($H$6:$H$504,H495)&gt;1,""Проверить: повтор URL"",I495&lt;"&amp;"&gt;""Подтверждено"",""Проверить: официальность / комментарий"",K495&lt;&gt;""Активен"",""Проверить: активность"",AND(ISNUMBER(J495),J495&lt;TODAY()-30),""Проверить: публикации старше 30 дней"",TRUE,""Готово""))"),"")</f>
        <v/>
      </c>
    </row>
    <row r="496" spans="1:13" ht="25.5" customHeight="1">
      <c r="A496" s="27"/>
      <c r="B496" s="28"/>
      <c r="C496" s="27"/>
      <c r="D496" s="29"/>
      <c r="E496" s="27"/>
      <c r="F496" s="27"/>
      <c r="G496" s="29"/>
      <c r="H496" s="30"/>
      <c r="I496" s="29"/>
      <c r="J496" s="28"/>
      <c r="K496" s="27"/>
      <c r="L496" s="29"/>
      <c r="M496" s="25" t="str">
        <f ca="1">IFERROR(__xludf.DUMMYFUNCTION("IF(COUNTA(A496:L496)=0,"""",IFS(OR(A496="""",B496="""",C496="""",D496="""",E496="""",F496="""",G496="""",H496="""",K496=""""),""Ошибка: обязательные поля"",NOT(REGEXMATCH(H496,""^https?://[^ /]+"")),""Ошибка: некорректная ссылка"",COUNTIF('Справочники'!$A"&amp;"$4:$A$24,C496)=0,""Ошибка: территория вне справочника"",K496=""Недоступен"",""Ошибка: ссылка недоступна"",E496=""Неофициальный источник"",IF(K496=""Активен"",""Готово"",""Проверить: активность""),COUNTIF($H$6:$H$504,H496)&gt;1,""Проверить: повтор URL"",I496&lt;"&amp;"&gt;""Подтверждено"",""Проверить: официальность / комментарий"",K496&lt;&gt;""Активен"",""Проверить: активность"",AND(ISNUMBER(J496),J496&lt;TODAY()-30),""Проверить: публикации старше 30 дней"",TRUE,""Готово""))"),"")</f>
        <v/>
      </c>
    </row>
    <row r="497" spans="1:13" ht="25.5" customHeight="1">
      <c r="A497" s="27"/>
      <c r="B497" s="28"/>
      <c r="C497" s="27"/>
      <c r="D497" s="29"/>
      <c r="E497" s="27"/>
      <c r="F497" s="27"/>
      <c r="G497" s="29"/>
      <c r="H497" s="30"/>
      <c r="I497" s="29"/>
      <c r="J497" s="28"/>
      <c r="K497" s="27"/>
      <c r="L497" s="29"/>
      <c r="M497" s="25" t="str">
        <f ca="1">IFERROR(__xludf.DUMMYFUNCTION("IF(COUNTA(A497:L497)=0,"""",IFS(OR(A497="""",B497="""",C497="""",D497="""",E497="""",F497="""",G497="""",H497="""",K497=""""),""Ошибка: обязательные поля"",NOT(REGEXMATCH(H497,""^https?://[^ /]+"")),""Ошибка: некорректная ссылка"",COUNTIF('Справочники'!$A"&amp;"$4:$A$24,C497)=0,""Ошибка: территория вне справочника"",K497=""Недоступен"",""Ошибка: ссылка недоступна"",E497=""Неофициальный источник"",IF(K497=""Активен"",""Готово"",""Проверить: активность""),COUNTIF($H$6:$H$504,H497)&gt;1,""Проверить: повтор URL"",I497&lt;"&amp;"&gt;""Подтверждено"",""Проверить: официальность / комментарий"",K497&lt;&gt;""Активен"",""Проверить: активность"",AND(ISNUMBER(J497),J497&lt;TODAY()-30),""Проверить: публикации старше 30 дней"",TRUE,""Готово""))"),"")</f>
        <v/>
      </c>
    </row>
    <row r="498" spans="1:13" ht="25.5" customHeight="1">
      <c r="A498" s="27"/>
      <c r="B498" s="28"/>
      <c r="C498" s="27"/>
      <c r="D498" s="29"/>
      <c r="E498" s="27"/>
      <c r="F498" s="27"/>
      <c r="G498" s="29"/>
      <c r="H498" s="30"/>
      <c r="I498" s="29"/>
      <c r="J498" s="28"/>
      <c r="K498" s="27"/>
      <c r="L498" s="29"/>
      <c r="M498" s="25" t="str">
        <f ca="1">IFERROR(__xludf.DUMMYFUNCTION("IF(COUNTA(A498:L498)=0,"""",IFS(OR(A498="""",B498="""",C498="""",D498="""",E498="""",F498="""",G498="""",H498="""",K498=""""),""Ошибка: обязательные поля"",NOT(REGEXMATCH(H498,""^https?://[^ /]+"")),""Ошибка: некорректная ссылка"",COUNTIF('Справочники'!$A"&amp;"$4:$A$24,C498)=0,""Ошибка: территория вне справочника"",K498=""Недоступен"",""Ошибка: ссылка недоступна"",E498=""Неофициальный источник"",IF(K498=""Активен"",""Готово"",""Проверить: активность""),COUNTIF($H$6:$H$504,H498)&gt;1,""Проверить: повтор URL"",I498&lt;"&amp;"&gt;""Подтверждено"",""Проверить: официальность / комментарий"",K498&lt;&gt;""Активен"",""Проверить: активность"",AND(ISNUMBER(J498),J498&lt;TODAY()-30),""Проверить: публикации старше 30 дней"",TRUE,""Готово""))"),"")</f>
        <v/>
      </c>
    </row>
    <row r="499" spans="1:13" ht="25.5" customHeight="1">
      <c r="A499" s="27"/>
      <c r="B499" s="28"/>
      <c r="C499" s="27"/>
      <c r="D499" s="29"/>
      <c r="E499" s="27"/>
      <c r="F499" s="27"/>
      <c r="G499" s="29"/>
      <c r="H499" s="30"/>
      <c r="I499" s="29"/>
      <c r="J499" s="28"/>
      <c r="K499" s="27"/>
      <c r="L499" s="29"/>
      <c r="M499" s="25" t="str">
        <f ca="1">IFERROR(__xludf.DUMMYFUNCTION("IF(COUNTA(A499:L499)=0,"""",IFS(OR(A499="""",B499="""",C499="""",D499="""",E499="""",F499="""",G499="""",H499="""",K499=""""),""Ошибка: обязательные поля"",NOT(REGEXMATCH(H499,""^https?://[^ /]+"")),""Ошибка: некорректная ссылка"",COUNTIF('Справочники'!$A"&amp;"$4:$A$24,C499)=0,""Ошибка: территория вне справочника"",K499=""Недоступен"",""Ошибка: ссылка недоступна"",E499=""Неофициальный источник"",IF(K499=""Активен"",""Готово"",""Проверить: активность""),COUNTIF($H$6:$H$504,H499)&gt;1,""Проверить: повтор URL"",I499&lt;"&amp;"&gt;""Подтверждено"",""Проверить: официальность / комментарий"",K499&lt;&gt;""Активен"",""Проверить: активность"",AND(ISNUMBER(J499),J499&lt;TODAY()-30),""Проверить: публикации старше 30 дней"",TRUE,""Готово""))"),"")</f>
        <v/>
      </c>
    </row>
    <row r="500" spans="1:13" ht="25.5" customHeight="1">
      <c r="A500" s="27"/>
      <c r="B500" s="28"/>
      <c r="C500" s="27"/>
      <c r="D500" s="29"/>
      <c r="E500" s="27"/>
      <c r="F500" s="27"/>
      <c r="G500" s="29"/>
      <c r="H500" s="30"/>
      <c r="I500" s="29"/>
      <c r="J500" s="28"/>
      <c r="K500" s="27"/>
      <c r="L500" s="29"/>
      <c r="M500" s="25" t="str">
        <f ca="1">IFERROR(__xludf.DUMMYFUNCTION("IF(COUNTA(A500:L500)=0,"""",IFS(OR(A500="""",B500="""",C500="""",D500="""",E500="""",F500="""",G500="""",H500="""",K500=""""),""Ошибка: обязательные поля"",NOT(REGEXMATCH(H500,""^https?://[^ /]+"")),""Ошибка: некорректная ссылка"",COUNTIF('Справочники'!$A"&amp;"$4:$A$24,C500)=0,""Ошибка: территория вне справочника"",K500=""Недоступен"",""Ошибка: ссылка недоступна"",E500=""Неофициальный источник"",IF(K500=""Активен"",""Готово"",""Проверить: активность""),COUNTIF($H$6:$H$504,H500)&gt;1,""Проверить: повтор URL"",I500&lt;"&amp;"&gt;""Подтверждено"",""Проверить: официальность / комментарий"",K500&lt;&gt;""Активен"",""Проверить: активность"",AND(ISNUMBER(J500),J500&lt;TODAY()-30),""Проверить: публикации старше 30 дней"",TRUE,""Готово""))"),"")</f>
        <v/>
      </c>
    </row>
    <row r="501" spans="1:13" ht="25.5" customHeight="1">
      <c r="A501" s="27"/>
      <c r="B501" s="28"/>
      <c r="C501" s="27"/>
      <c r="D501" s="29"/>
      <c r="E501" s="27"/>
      <c r="F501" s="27"/>
      <c r="G501" s="29"/>
      <c r="H501" s="30"/>
      <c r="I501" s="29"/>
      <c r="J501" s="28"/>
      <c r="K501" s="27"/>
      <c r="L501" s="29"/>
      <c r="M501" s="25" t="str">
        <f ca="1">IFERROR(__xludf.DUMMYFUNCTION("IF(COUNTA(A501:L501)=0,"""",IFS(OR(A501="""",B501="""",C501="""",D501="""",E501="""",F501="""",G501="""",H501="""",K501=""""),""Ошибка: обязательные поля"",NOT(REGEXMATCH(H501,""^https?://[^ /]+"")),""Ошибка: некорректная ссылка"",COUNTIF('Справочники'!$A"&amp;"$4:$A$24,C501)=0,""Ошибка: территория вне справочника"",K501=""Недоступен"",""Ошибка: ссылка недоступна"",E501=""Неофициальный источник"",IF(K501=""Активен"",""Готово"",""Проверить: активность""),COUNTIF($H$6:$H$504,H501)&gt;1,""Проверить: повтор URL"",I501&lt;"&amp;"&gt;""Подтверждено"",""Проверить: официальность / комментарий"",K501&lt;&gt;""Активен"",""Проверить: активность"",AND(ISNUMBER(J501),J501&lt;TODAY()-30),""Проверить: публикации старше 30 дней"",TRUE,""Готово""))"),"")</f>
        <v/>
      </c>
    </row>
    <row r="502" spans="1:13" ht="25.5" customHeight="1">
      <c r="A502" s="27"/>
      <c r="B502" s="28"/>
      <c r="C502" s="27"/>
      <c r="D502" s="29"/>
      <c r="E502" s="27"/>
      <c r="F502" s="27"/>
      <c r="G502" s="29"/>
      <c r="H502" s="30"/>
      <c r="I502" s="29"/>
      <c r="J502" s="28"/>
      <c r="K502" s="27"/>
      <c r="L502" s="29"/>
      <c r="M502" s="25" t="str">
        <f ca="1">IFERROR(__xludf.DUMMYFUNCTION("IF(COUNTA(A502:L502)=0,"""",IFS(OR(A502="""",B502="""",C502="""",D502="""",E502="""",F502="""",G502="""",H502="""",K502=""""),""Ошибка: обязательные поля"",NOT(REGEXMATCH(H502,""^https?://[^ /]+"")),""Ошибка: некорректная ссылка"",COUNTIF('Справочники'!$A"&amp;"$4:$A$24,C502)=0,""Ошибка: территория вне справочника"",K502=""Недоступен"",""Ошибка: ссылка недоступна"",E502=""Неофициальный источник"",IF(K502=""Активен"",""Готово"",""Проверить: активность""),COUNTIF($H$6:$H$504,H502)&gt;1,""Проверить: повтор URL"",I502&lt;"&amp;"&gt;""Подтверждено"",""Проверить: официальность / комментарий"",K502&lt;&gt;""Активен"",""Проверить: активность"",AND(ISNUMBER(J502),J502&lt;TODAY()-30),""Проверить: публикации старше 30 дней"",TRUE,""Готово""))"),"")</f>
        <v/>
      </c>
    </row>
    <row r="503" spans="1:13" ht="25.5" customHeight="1">
      <c r="A503" s="27"/>
      <c r="B503" s="28"/>
      <c r="C503" s="27"/>
      <c r="D503" s="29"/>
      <c r="E503" s="27"/>
      <c r="F503" s="27"/>
      <c r="G503" s="29"/>
      <c r="H503" s="30"/>
      <c r="I503" s="29"/>
      <c r="J503" s="28"/>
      <c r="K503" s="27"/>
      <c r="L503" s="29"/>
      <c r="M503" s="25" t="str">
        <f ca="1">IFERROR(__xludf.DUMMYFUNCTION("IF(COUNTA(A503:L503)=0,"""",IFS(OR(A503="""",B503="""",C503="""",D503="""",E503="""",F503="""",G503="""",H503="""",K503=""""),""Ошибка: обязательные поля"",NOT(REGEXMATCH(H503,""^https?://[^ /]+"")),""Ошибка: некорректная ссылка"",COUNTIF('Справочники'!$A"&amp;"$4:$A$24,C503)=0,""Ошибка: территория вне справочника"",K503=""Недоступен"",""Ошибка: ссылка недоступна"",E503=""Неофициальный источник"",IF(K503=""Активен"",""Готово"",""Проверить: активность""),COUNTIF($H$6:$H$504,H503)&gt;1,""Проверить: повтор URL"",I503&lt;"&amp;"&gt;""Подтверждено"",""Проверить: официальность / комментарий"",K503&lt;&gt;""Активен"",""Проверить: активность"",AND(ISNUMBER(J503),J503&lt;TODAY()-30),""Проверить: публикации старше 30 дней"",TRUE,""Готово""))"),"")</f>
        <v/>
      </c>
    </row>
    <row r="504" spans="1:13" ht="25.5" customHeight="1">
      <c r="A504" s="27"/>
      <c r="B504" s="28"/>
      <c r="C504" s="27"/>
      <c r="D504" s="29"/>
      <c r="E504" s="27"/>
      <c r="F504" s="27"/>
      <c r="G504" s="29"/>
      <c r="H504" s="30"/>
      <c r="I504" s="29"/>
      <c r="J504" s="28"/>
      <c r="K504" s="27"/>
      <c r="L504" s="29"/>
      <c r="M504" s="25" t="str">
        <f ca="1">IFERROR(__xludf.DUMMYFUNCTION("IF(COUNTA(A504:L504)=0,"""",IFS(OR(A504="""",B504="""",C504="""",D504="""",E504="""",F504="""",G504="""",H504="""",K504=""""),""Ошибка: обязательные поля"",NOT(REGEXMATCH(H504,""^https?://[^ /]+"")),""Ошибка: некорректная ссылка"",COUNTIF('Справочники'!$A"&amp;"$4:$A$24,C504)=0,""Ошибка: территория вне справочника"",K504=""Недоступен"",""Ошибка: ссылка недоступна"",E504=""Неофициальный источник"",IF(K504=""Активен"",""Готово"",""Проверить: активность""),COUNTIF($H$6:$H$504,H504)&gt;1,""Проверить: повтор URL"",I504&lt;"&amp;"&gt;""Подтверждено"",""Проверить: официальность / комментарий"",K504&lt;&gt;""Активен"",""Проверить: активность"",AND(ISNUMBER(J504),J504&lt;TODAY()-30),""Проверить: публикации старше 30 дней"",TRUE,""Готово""))"),"")</f>
        <v/>
      </c>
    </row>
    <row r="505" spans="1:13" ht="15.75" customHeight="1"/>
    <row r="506" spans="1:13" ht="15.75" customHeight="1"/>
    <row r="507" spans="1:13" ht="15.75" customHeight="1"/>
    <row r="508" spans="1:13" ht="15.75" customHeight="1"/>
    <row r="509" spans="1:13" ht="15.75" customHeight="1"/>
    <row r="510" spans="1:13" ht="15.75" customHeight="1"/>
    <row r="511" spans="1:13" ht="15.75" customHeight="1"/>
    <row r="512" spans="1:1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1A08E79B-867E-4D6C-A764-6A8F12173869}" filter="1" showAutoFilter="1">
      <pageMargins left="0.7" right="0.7" top="0.75" bottom="0.75" header="0.3" footer="0.3"/>
      <autoFilter ref="A5:M504" xr:uid="{7326D6A6-91EC-4756-9228-1AAB3B7C0C9F}"/>
    </customSheetView>
  </customSheetViews>
  <mergeCells count="6">
    <mergeCell ref="A1:M1"/>
    <mergeCell ref="A2:M2"/>
    <mergeCell ref="B3:C3"/>
    <mergeCell ref="D3:E3"/>
    <mergeCell ref="F3:G3"/>
    <mergeCell ref="H3:M3"/>
  </mergeCells>
  <conditionalFormatting sqref="A6:M6 A173:M174 A176:M178 A180:M183 A200:M200 A233:M234 A261:M261 A272:M272 A292:M292">
    <cfRule type="expression" dxfId="3" priority="1" stopIfTrue="1">
      <formula>AND(ISNUMBER(SEARCH("Доступность подтверждена пользователем",INDIRECT("L"&amp;ROW()))),ISNUMBER(SEARCH("Проверенная ссылка: "&amp;INDIRECT("H"&amp;ROW()),INDIRECT("L"&amp;ROW()))))</formula>
    </cfRule>
  </conditionalFormatting>
  <conditionalFormatting sqref="A6:M504">
    <cfRule type="expression" dxfId="2" priority="2" stopIfTrue="1">
      <formula>$M6="Готово"</formula>
    </cfRule>
    <cfRule type="expression" dxfId="1" priority="3" stopIfTrue="1">
      <formula>LEFT($M6,9)="Проверить"</formula>
    </cfRule>
    <cfRule type="expression" dxfId="0" priority="4" stopIfTrue="1">
      <formula>LEFT($M6,6)="Ошибка"</formula>
    </cfRule>
  </conditionalFormatting>
  <dataValidations count="2">
    <dataValidation type="list" allowBlank="1" showInputMessage="1" prompt="Нажмите здесь и введите значение из диапазона." sqref="E6:E504" xr:uid="{00000000-0002-0000-0000-000000000000}">
      <formula1>#REF!</formula1>
    </dataValidation>
    <dataValidation type="list" allowBlank="1" sqref="C6:C504" xr:uid="{00000000-0002-0000-0000-000002000000}">
      <formula1>#REF!</formula1>
    </dataValidation>
  </dataValidations>
  <hyperlinks>
    <hyperlink ref="H6" r:id="rId1" xr:uid="{00000000-0004-0000-0000-000000000000}"/>
    <hyperlink ref="H7" r:id="rId2" xr:uid="{00000000-0004-0000-0000-000001000000}"/>
    <hyperlink ref="H8" r:id="rId3" xr:uid="{00000000-0004-0000-0000-000002000000}"/>
    <hyperlink ref="H9" r:id="rId4" xr:uid="{00000000-0004-0000-0000-000003000000}"/>
    <hyperlink ref="H10" r:id="rId5" xr:uid="{00000000-0004-0000-0000-000004000000}"/>
    <hyperlink ref="H11" r:id="rId6" xr:uid="{00000000-0004-0000-0000-000005000000}"/>
    <hyperlink ref="H12" r:id="rId7" xr:uid="{00000000-0004-0000-0000-000006000000}"/>
    <hyperlink ref="H13" r:id="rId8" xr:uid="{00000000-0004-0000-0000-000007000000}"/>
    <hyperlink ref="H14" r:id="rId9" xr:uid="{00000000-0004-0000-0000-000008000000}"/>
    <hyperlink ref="H15" r:id="rId10" xr:uid="{00000000-0004-0000-0000-000009000000}"/>
    <hyperlink ref="H16" r:id="rId11" xr:uid="{00000000-0004-0000-0000-00000A000000}"/>
    <hyperlink ref="H17" r:id="rId12" xr:uid="{00000000-0004-0000-0000-00000B000000}"/>
    <hyperlink ref="H18" r:id="rId13" xr:uid="{00000000-0004-0000-0000-00000C000000}"/>
    <hyperlink ref="H19" r:id="rId14" xr:uid="{00000000-0004-0000-0000-00000D000000}"/>
    <hyperlink ref="H20" r:id="rId15" xr:uid="{00000000-0004-0000-0000-00000E000000}"/>
    <hyperlink ref="H21" r:id="rId16" xr:uid="{00000000-0004-0000-0000-00000F000000}"/>
    <hyperlink ref="H22" r:id="rId17" xr:uid="{00000000-0004-0000-0000-000010000000}"/>
    <hyperlink ref="H23" r:id="rId18" xr:uid="{00000000-0004-0000-0000-000011000000}"/>
    <hyperlink ref="H24" r:id="rId19" xr:uid="{00000000-0004-0000-0000-000012000000}"/>
    <hyperlink ref="H25" r:id="rId20" xr:uid="{00000000-0004-0000-0000-000013000000}"/>
    <hyperlink ref="H26" r:id="rId21" xr:uid="{00000000-0004-0000-0000-000014000000}"/>
    <hyperlink ref="H27" r:id="rId22" xr:uid="{00000000-0004-0000-0000-000015000000}"/>
    <hyperlink ref="H28" r:id="rId23" xr:uid="{00000000-0004-0000-0000-000016000000}"/>
    <hyperlink ref="H29" r:id="rId24" xr:uid="{00000000-0004-0000-0000-000017000000}"/>
    <hyperlink ref="H30" r:id="rId25" xr:uid="{00000000-0004-0000-0000-000018000000}"/>
    <hyperlink ref="H31" r:id="rId26" xr:uid="{00000000-0004-0000-0000-000019000000}"/>
    <hyperlink ref="H32" r:id="rId27" xr:uid="{00000000-0004-0000-0000-00001A000000}"/>
    <hyperlink ref="H33" r:id="rId28" xr:uid="{00000000-0004-0000-0000-00001B000000}"/>
    <hyperlink ref="H34" r:id="rId29" xr:uid="{00000000-0004-0000-0000-00001C000000}"/>
    <hyperlink ref="H35" r:id="rId30" xr:uid="{00000000-0004-0000-0000-00001D000000}"/>
    <hyperlink ref="H36" r:id="rId31" xr:uid="{00000000-0004-0000-0000-00001E000000}"/>
    <hyperlink ref="H37" r:id="rId32" xr:uid="{00000000-0004-0000-0000-00001F000000}"/>
    <hyperlink ref="H38" r:id="rId33" xr:uid="{00000000-0004-0000-0000-000020000000}"/>
    <hyperlink ref="H39" r:id="rId34" xr:uid="{00000000-0004-0000-0000-000021000000}"/>
    <hyperlink ref="H40" r:id="rId35" xr:uid="{00000000-0004-0000-0000-000022000000}"/>
    <hyperlink ref="H41" r:id="rId36" xr:uid="{00000000-0004-0000-0000-000023000000}"/>
    <hyperlink ref="H42" r:id="rId37" xr:uid="{00000000-0004-0000-0000-000024000000}"/>
    <hyperlink ref="H43" r:id="rId38" xr:uid="{00000000-0004-0000-0000-000025000000}"/>
    <hyperlink ref="H44" r:id="rId39" xr:uid="{00000000-0004-0000-0000-000026000000}"/>
    <hyperlink ref="H45" r:id="rId40" xr:uid="{00000000-0004-0000-0000-000027000000}"/>
    <hyperlink ref="H46" r:id="rId41" xr:uid="{00000000-0004-0000-0000-000028000000}"/>
    <hyperlink ref="H47" r:id="rId42" xr:uid="{00000000-0004-0000-0000-000029000000}"/>
    <hyperlink ref="H48" r:id="rId43" xr:uid="{00000000-0004-0000-0000-00002A000000}"/>
    <hyperlink ref="H49" r:id="rId44" xr:uid="{00000000-0004-0000-0000-00002B000000}"/>
    <hyperlink ref="H50" r:id="rId45" xr:uid="{00000000-0004-0000-0000-00002C000000}"/>
    <hyperlink ref="H51" r:id="rId46" xr:uid="{00000000-0004-0000-0000-00002D000000}"/>
    <hyperlink ref="H52" r:id="rId47" xr:uid="{00000000-0004-0000-0000-00002E000000}"/>
    <hyperlink ref="H53" r:id="rId48" xr:uid="{00000000-0004-0000-0000-00002F000000}"/>
    <hyperlink ref="H54" r:id="rId49" xr:uid="{00000000-0004-0000-0000-000030000000}"/>
    <hyperlink ref="H55" r:id="rId50" xr:uid="{00000000-0004-0000-0000-000031000000}"/>
    <hyperlink ref="H56" r:id="rId51" xr:uid="{00000000-0004-0000-0000-000032000000}"/>
    <hyperlink ref="H57" r:id="rId52" xr:uid="{00000000-0004-0000-0000-000033000000}"/>
    <hyperlink ref="H58" r:id="rId53" xr:uid="{00000000-0004-0000-0000-000034000000}"/>
    <hyperlink ref="H59" r:id="rId54" xr:uid="{00000000-0004-0000-0000-000035000000}"/>
    <hyperlink ref="H60" r:id="rId55" xr:uid="{00000000-0004-0000-0000-000036000000}"/>
    <hyperlink ref="H61" r:id="rId56" xr:uid="{00000000-0004-0000-0000-000037000000}"/>
    <hyperlink ref="H62" r:id="rId57" xr:uid="{00000000-0004-0000-0000-000038000000}"/>
    <hyperlink ref="H63" r:id="rId58" xr:uid="{00000000-0004-0000-0000-000039000000}"/>
    <hyperlink ref="H64" r:id="rId59" xr:uid="{00000000-0004-0000-0000-00003A000000}"/>
    <hyperlink ref="H65" r:id="rId60" xr:uid="{00000000-0004-0000-0000-00003B000000}"/>
    <hyperlink ref="H66" r:id="rId61" xr:uid="{00000000-0004-0000-0000-00003C000000}"/>
    <hyperlink ref="H67" r:id="rId62" xr:uid="{00000000-0004-0000-0000-00003D000000}"/>
    <hyperlink ref="H68" r:id="rId63" xr:uid="{00000000-0004-0000-0000-00003E000000}"/>
    <hyperlink ref="H69" r:id="rId64" xr:uid="{00000000-0004-0000-0000-00003F000000}"/>
    <hyperlink ref="H70" r:id="rId65" xr:uid="{00000000-0004-0000-0000-000040000000}"/>
    <hyperlink ref="H71" r:id="rId66" xr:uid="{00000000-0004-0000-0000-000041000000}"/>
    <hyperlink ref="H72" r:id="rId67" xr:uid="{00000000-0004-0000-0000-000042000000}"/>
    <hyperlink ref="H73" r:id="rId68" xr:uid="{00000000-0004-0000-0000-000043000000}"/>
    <hyperlink ref="H74" r:id="rId69" xr:uid="{00000000-0004-0000-0000-000044000000}"/>
    <hyperlink ref="H75" r:id="rId70" xr:uid="{00000000-0004-0000-0000-000045000000}"/>
    <hyperlink ref="H77" r:id="rId71" xr:uid="{00000000-0004-0000-0000-000046000000}"/>
    <hyperlink ref="H78" r:id="rId72" xr:uid="{00000000-0004-0000-0000-000047000000}"/>
    <hyperlink ref="H79" r:id="rId73" xr:uid="{00000000-0004-0000-0000-000048000000}"/>
    <hyperlink ref="H80" r:id="rId74" xr:uid="{00000000-0004-0000-0000-000049000000}"/>
    <hyperlink ref="H81" r:id="rId75" xr:uid="{00000000-0004-0000-0000-00004A000000}"/>
    <hyperlink ref="H82" r:id="rId76" xr:uid="{00000000-0004-0000-0000-00004B000000}"/>
    <hyperlink ref="H83" r:id="rId77" xr:uid="{00000000-0004-0000-0000-00004C000000}"/>
    <hyperlink ref="H84" r:id="rId78" xr:uid="{00000000-0004-0000-0000-00004D000000}"/>
    <hyperlink ref="H85" r:id="rId79" xr:uid="{00000000-0004-0000-0000-00004E000000}"/>
    <hyperlink ref="H86" r:id="rId80" xr:uid="{00000000-0004-0000-0000-00004F000000}"/>
    <hyperlink ref="H87" r:id="rId81" xr:uid="{00000000-0004-0000-0000-000050000000}"/>
    <hyperlink ref="H88" r:id="rId82" xr:uid="{00000000-0004-0000-0000-000051000000}"/>
    <hyperlink ref="H89" r:id="rId83" xr:uid="{00000000-0004-0000-0000-000052000000}"/>
    <hyperlink ref="H90" r:id="rId84" xr:uid="{00000000-0004-0000-0000-000053000000}"/>
    <hyperlink ref="H91" r:id="rId85" xr:uid="{00000000-0004-0000-0000-000054000000}"/>
    <hyperlink ref="H92" r:id="rId86" xr:uid="{00000000-0004-0000-0000-000055000000}"/>
    <hyperlink ref="H93" r:id="rId87" xr:uid="{00000000-0004-0000-0000-000056000000}"/>
    <hyperlink ref="H94" r:id="rId88" xr:uid="{00000000-0004-0000-0000-000057000000}"/>
    <hyperlink ref="H95" r:id="rId89" xr:uid="{00000000-0004-0000-0000-000058000000}"/>
    <hyperlink ref="H96" r:id="rId90" xr:uid="{00000000-0004-0000-0000-000059000000}"/>
    <hyperlink ref="H97" r:id="rId91" xr:uid="{00000000-0004-0000-0000-00005A000000}"/>
    <hyperlink ref="H98" r:id="rId92" xr:uid="{00000000-0004-0000-0000-00005B000000}"/>
    <hyperlink ref="H100" r:id="rId93" xr:uid="{00000000-0004-0000-0000-00005C000000}"/>
    <hyperlink ref="H101" r:id="rId94" xr:uid="{00000000-0004-0000-0000-00005D000000}"/>
    <hyperlink ref="H102" r:id="rId95" xr:uid="{00000000-0004-0000-0000-00005E000000}"/>
    <hyperlink ref="H104" r:id="rId96" xr:uid="{00000000-0004-0000-0000-00005F000000}"/>
    <hyperlink ref="H105" r:id="rId97" xr:uid="{00000000-0004-0000-0000-000060000000}"/>
    <hyperlink ref="H106" r:id="rId98" xr:uid="{00000000-0004-0000-0000-000061000000}"/>
    <hyperlink ref="H107" r:id="rId99" xr:uid="{00000000-0004-0000-0000-000062000000}"/>
    <hyperlink ref="H108" r:id="rId100" xr:uid="{00000000-0004-0000-0000-000063000000}"/>
    <hyperlink ref="H109" r:id="rId101" xr:uid="{00000000-0004-0000-0000-000064000000}"/>
    <hyperlink ref="H110" r:id="rId102" xr:uid="{00000000-0004-0000-0000-000065000000}"/>
    <hyperlink ref="H111" r:id="rId103" xr:uid="{00000000-0004-0000-0000-000066000000}"/>
    <hyperlink ref="H112" r:id="rId104" xr:uid="{00000000-0004-0000-0000-000067000000}"/>
    <hyperlink ref="H113" r:id="rId105" xr:uid="{00000000-0004-0000-0000-000068000000}"/>
    <hyperlink ref="H115" r:id="rId106" xr:uid="{00000000-0004-0000-0000-000069000000}"/>
    <hyperlink ref="H116" r:id="rId107" xr:uid="{00000000-0004-0000-0000-00006A000000}"/>
    <hyperlink ref="H117" r:id="rId108" xr:uid="{00000000-0004-0000-0000-00006B000000}"/>
    <hyperlink ref="H118" r:id="rId109" xr:uid="{00000000-0004-0000-0000-00006C000000}"/>
    <hyperlink ref="H119" r:id="rId110" xr:uid="{00000000-0004-0000-0000-00006D000000}"/>
    <hyperlink ref="H120" r:id="rId111" xr:uid="{00000000-0004-0000-0000-00006E000000}"/>
    <hyperlink ref="H121" r:id="rId112" xr:uid="{00000000-0004-0000-0000-00006F000000}"/>
    <hyperlink ref="H122" r:id="rId113" xr:uid="{00000000-0004-0000-0000-000070000000}"/>
    <hyperlink ref="H123" r:id="rId114" xr:uid="{00000000-0004-0000-0000-000071000000}"/>
    <hyperlink ref="H124" r:id="rId115" xr:uid="{00000000-0004-0000-0000-000072000000}"/>
    <hyperlink ref="H125" r:id="rId116" xr:uid="{00000000-0004-0000-0000-000073000000}"/>
    <hyperlink ref="H126" r:id="rId117" xr:uid="{00000000-0004-0000-0000-000074000000}"/>
    <hyperlink ref="H127" r:id="rId118" xr:uid="{00000000-0004-0000-0000-000075000000}"/>
    <hyperlink ref="H128" r:id="rId119" xr:uid="{00000000-0004-0000-0000-000076000000}"/>
    <hyperlink ref="H129" r:id="rId120" xr:uid="{00000000-0004-0000-0000-000077000000}"/>
    <hyperlink ref="H130" r:id="rId121" xr:uid="{00000000-0004-0000-0000-000078000000}"/>
    <hyperlink ref="H131" r:id="rId122" xr:uid="{00000000-0004-0000-0000-000079000000}"/>
    <hyperlink ref="H132" r:id="rId123" xr:uid="{00000000-0004-0000-0000-00007A000000}"/>
    <hyperlink ref="H133" r:id="rId124" xr:uid="{00000000-0004-0000-0000-00007B000000}"/>
    <hyperlink ref="H134" r:id="rId125" xr:uid="{00000000-0004-0000-0000-00007C000000}"/>
    <hyperlink ref="H135" r:id="rId126" xr:uid="{00000000-0004-0000-0000-00007D000000}"/>
    <hyperlink ref="H136" r:id="rId127" xr:uid="{00000000-0004-0000-0000-00007E000000}"/>
    <hyperlink ref="H137" r:id="rId128" xr:uid="{00000000-0004-0000-0000-00007F000000}"/>
    <hyperlink ref="H138" r:id="rId129" xr:uid="{00000000-0004-0000-0000-000080000000}"/>
    <hyperlink ref="H139" r:id="rId130" xr:uid="{00000000-0004-0000-0000-000081000000}"/>
    <hyperlink ref="H140" r:id="rId131" xr:uid="{00000000-0004-0000-0000-000082000000}"/>
    <hyperlink ref="H141" r:id="rId132" xr:uid="{00000000-0004-0000-0000-000083000000}"/>
    <hyperlink ref="H142" r:id="rId133" xr:uid="{00000000-0004-0000-0000-000084000000}"/>
    <hyperlink ref="H143" r:id="rId134" xr:uid="{00000000-0004-0000-0000-000085000000}"/>
    <hyperlink ref="H144" r:id="rId135" xr:uid="{00000000-0004-0000-0000-000086000000}"/>
    <hyperlink ref="H145" r:id="rId136" xr:uid="{00000000-0004-0000-0000-000087000000}"/>
    <hyperlink ref="H146" r:id="rId137" xr:uid="{00000000-0004-0000-0000-000088000000}"/>
    <hyperlink ref="H147" r:id="rId138" xr:uid="{00000000-0004-0000-0000-000089000000}"/>
    <hyperlink ref="H148" r:id="rId139" xr:uid="{00000000-0004-0000-0000-00008A000000}"/>
    <hyperlink ref="H149" r:id="rId140" xr:uid="{00000000-0004-0000-0000-00008B000000}"/>
    <hyperlink ref="H150" r:id="rId141" xr:uid="{00000000-0004-0000-0000-00008C000000}"/>
    <hyperlink ref="H151" r:id="rId142" xr:uid="{00000000-0004-0000-0000-00008D000000}"/>
    <hyperlink ref="H152" r:id="rId143" xr:uid="{00000000-0004-0000-0000-00008E000000}"/>
    <hyperlink ref="H153" r:id="rId144" xr:uid="{00000000-0004-0000-0000-00008F000000}"/>
    <hyperlink ref="H154" r:id="rId145" xr:uid="{00000000-0004-0000-0000-000090000000}"/>
    <hyperlink ref="H155" r:id="rId146" xr:uid="{00000000-0004-0000-0000-000091000000}"/>
    <hyperlink ref="H156" r:id="rId147" xr:uid="{00000000-0004-0000-0000-000092000000}"/>
    <hyperlink ref="H157" r:id="rId148" xr:uid="{00000000-0004-0000-0000-000093000000}"/>
    <hyperlink ref="H158" r:id="rId149" xr:uid="{00000000-0004-0000-0000-000094000000}"/>
    <hyperlink ref="H159" r:id="rId150" xr:uid="{00000000-0004-0000-0000-000095000000}"/>
    <hyperlink ref="H160" r:id="rId151" xr:uid="{00000000-0004-0000-0000-000096000000}"/>
    <hyperlink ref="H161" r:id="rId152" xr:uid="{00000000-0004-0000-0000-000097000000}"/>
    <hyperlink ref="H162" r:id="rId153" xr:uid="{00000000-0004-0000-0000-000098000000}"/>
    <hyperlink ref="H163" r:id="rId154" xr:uid="{00000000-0004-0000-0000-000099000000}"/>
    <hyperlink ref="H164" r:id="rId155" xr:uid="{00000000-0004-0000-0000-00009A000000}"/>
    <hyperlink ref="H165" r:id="rId156" xr:uid="{00000000-0004-0000-0000-00009B000000}"/>
    <hyperlink ref="H166" r:id="rId157" xr:uid="{00000000-0004-0000-0000-00009C000000}"/>
    <hyperlink ref="H167" r:id="rId158" xr:uid="{00000000-0004-0000-0000-00009D000000}"/>
    <hyperlink ref="H168" r:id="rId159" xr:uid="{00000000-0004-0000-0000-00009E000000}"/>
    <hyperlink ref="H169" r:id="rId160" xr:uid="{00000000-0004-0000-0000-00009F000000}"/>
    <hyperlink ref="H170" r:id="rId161" xr:uid="{00000000-0004-0000-0000-0000A0000000}"/>
    <hyperlink ref="H171" r:id="rId162" xr:uid="{00000000-0004-0000-0000-0000A1000000}"/>
    <hyperlink ref="H172" r:id="rId163" xr:uid="{00000000-0004-0000-0000-0000A2000000}"/>
    <hyperlink ref="H173" r:id="rId164" xr:uid="{00000000-0004-0000-0000-0000A3000000}"/>
    <hyperlink ref="H174" r:id="rId165" xr:uid="{00000000-0004-0000-0000-0000A4000000}"/>
    <hyperlink ref="H175" r:id="rId166" xr:uid="{00000000-0004-0000-0000-0000A5000000}"/>
    <hyperlink ref="H176" r:id="rId167" xr:uid="{00000000-0004-0000-0000-0000A6000000}"/>
    <hyperlink ref="H177" r:id="rId168" xr:uid="{00000000-0004-0000-0000-0000A7000000}"/>
    <hyperlink ref="H178" r:id="rId169" xr:uid="{00000000-0004-0000-0000-0000A8000000}"/>
    <hyperlink ref="H179" r:id="rId170" xr:uid="{00000000-0004-0000-0000-0000A9000000}"/>
    <hyperlink ref="H180" r:id="rId171" xr:uid="{00000000-0004-0000-0000-0000AA000000}"/>
    <hyperlink ref="H181" r:id="rId172" xr:uid="{00000000-0004-0000-0000-0000AB000000}"/>
    <hyperlink ref="H182" r:id="rId173" xr:uid="{00000000-0004-0000-0000-0000AC000000}"/>
    <hyperlink ref="H183" r:id="rId174" xr:uid="{00000000-0004-0000-0000-0000AD000000}"/>
    <hyperlink ref="H184" r:id="rId175" xr:uid="{00000000-0004-0000-0000-0000AE000000}"/>
    <hyperlink ref="H185" r:id="rId176" xr:uid="{00000000-0004-0000-0000-0000AF000000}"/>
    <hyperlink ref="H186" r:id="rId177" xr:uid="{00000000-0004-0000-0000-0000B0000000}"/>
    <hyperlink ref="H187" r:id="rId178" xr:uid="{00000000-0004-0000-0000-0000B1000000}"/>
    <hyperlink ref="H188" r:id="rId179" xr:uid="{00000000-0004-0000-0000-0000B2000000}"/>
    <hyperlink ref="H189" r:id="rId180" xr:uid="{00000000-0004-0000-0000-0000B3000000}"/>
    <hyperlink ref="H190" r:id="rId181" xr:uid="{00000000-0004-0000-0000-0000B4000000}"/>
    <hyperlink ref="H191" r:id="rId182" xr:uid="{00000000-0004-0000-0000-0000B5000000}"/>
    <hyperlink ref="H192" r:id="rId183" xr:uid="{00000000-0004-0000-0000-0000B6000000}"/>
    <hyperlink ref="H193" r:id="rId184" xr:uid="{00000000-0004-0000-0000-0000B7000000}"/>
    <hyperlink ref="H194" r:id="rId185" xr:uid="{00000000-0004-0000-0000-0000B8000000}"/>
    <hyperlink ref="H195" r:id="rId186" xr:uid="{00000000-0004-0000-0000-0000B9000000}"/>
    <hyperlink ref="H196" r:id="rId187" xr:uid="{00000000-0004-0000-0000-0000BA000000}"/>
    <hyperlink ref="H197" r:id="rId188" xr:uid="{00000000-0004-0000-0000-0000BB000000}"/>
    <hyperlink ref="H198" r:id="rId189" xr:uid="{00000000-0004-0000-0000-0000BC000000}"/>
    <hyperlink ref="H199" r:id="rId190" xr:uid="{00000000-0004-0000-0000-0000BD000000}"/>
    <hyperlink ref="H200" r:id="rId191" xr:uid="{00000000-0004-0000-0000-0000BE000000}"/>
    <hyperlink ref="H201" r:id="rId192" xr:uid="{00000000-0004-0000-0000-0000BF000000}"/>
    <hyperlink ref="H202" r:id="rId193" xr:uid="{00000000-0004-0000-0000-0000C0000000}"/>
    <hyperlink ref="H203" r:id="rId194" xr:uid="{00000000-0004-0000-0000-0000C1000000}"/>
    <hyperlink ref="H204" r:id="rId195" xr:uid="{00000000-0004-0000-0000-0000C2000000}"/>
    <hyperlink ref="H205" r:id="rId196" xr:uid="{00000000-0004-0000-0000-0000C3000000}"/>
    <hyperlink ref="H206" r:id="rId197" xr:uid="{00000000-0004-0000-0000-0000C4000000}"/>
    <hyperlink ref="H207" r:id="rId198" xr:uid="{00000000-0004-0000-0000-0000C5000000}"/>
    <hyperlink ref="H208" r:id="rId199" xr:uid="{00000000-0004-0000-0000-0000C6000000}"/>
    <hyperlink ref="H209" r:id="rId200" xr:uid="{00000000-0004-0000-0000-0000C7000000}"/>
    <hyperlink ref="H210" r:id="rId201" xr:uid="{00000000-0004-0000-0000-0000C8000000}"/>
    <hyperlink ref="H211" r:id="rId202" xr:uid="{00000000-0004-0000-0000-0000C9000000}"/>
    <hyperlink ref="H212" r:id="rId203" xr:uid="{00000000-0004-0000-0000-0000CA000000}"/>
    <hyperlink ref="H213" r:id="rId204" xr:uid="{00000000-0004-0000-0000-0000CB000000}"/>
    <hyperlink ref="H214" r:id="rId205" xr:uid="{00000000-0004-0000-0000-0000CC000000}"/>
    <hyperlink ref="H215" r:id="rId206" xr:uid="{00000000-0004-0000-0000-0000CD000000}"/>
    <hyperlink ref="H216" r:id="rId207" xr:uid="{00000000-0004-0000-0000-0000CE000000}"/>
    <hyperlink ref="H217" r:id="rId208" xr:uid="{00000000-0004-0000-0000-0000CF000000}"/>
    <hyperlink ref="H218" r:id="rId209" xr:uid="{00000000-0004-0000-0000-0000D0000000}"/>
    <hyperlink ref="H219" r:id="rId210" xr:uid="{00000000-0004-0000-0000-0000D1000000}"/>
    <hyperlink ref="H220" r:id="rId211" xr:uid="{00000000-0004-0000-0000-0000D2000000}"/>
    <hyperlink ref="H221" r:id="rId212" xr:uid="{00000000-0004-0000-0000-0000D3000000}"/>
    <hyperlink ref="H222" r:id="rId213" xr:uid="{00000000-0004-0000-0000-0000D4000000}"/>
    <hyperlink ref="H223" r:id="rId214" xr:uid="{00000000-0004-0000-0000-0000D5000000}"/>
    <hyperlink ref="H224" r:id="rId215" xr:uid="{00000000-0004-0000-0000-0000D6000000}"/>
    <hyperlink ref="H225" r:id="rId216" xr:uid="{00000000-0004-0000-0000-0000D7000000}"/>
    <hyperlink ref="H226" r:id="rId217" xr:uid="{00000000-0004-0000-0000-0000D8000000}"/>
    <hyperlink ref="H227" r:id="rId218" xr:uid="{00000000-0004-0000-0000-0000D9000000}"/>
    <hyperlink ref="H228" r:id="rId219" xr:uid="{00000000-0004-0000-0000-0000DA000000}"/>
    <hyperlink ref="H229" r:id="rId220" xr:uid="{00000000-0004-0000-0000-0000DB000000}"/>
    <hyperlink ref="H230" r:id="rId221" xr:uid="{00000000-0004-0000-0000-0000DC000000}"/>
    <hyperlink ref="H231" r:id="rId222" xr:uid="{00000000-0004-0000-0000-0000DD000000}"/>
    <hyperlink ref="H232" r:id="rId223" xr:uid="{00000000-0004-0000-0000-0000DE000000}"/>
    <hyperlink ref="H234" r:id="rId224" xr:uid="{00000000-0004-0000-0000-0000DF000000}"/>
    <hyperlink ref="H235" r:id="rId225" xr:uid="{00000000-0004-0000-0000-0000E0000000}"/>
    <hyperlink ref="H236" r:id="rId226" xr:uid="{00000000-0004-0000-0000-0000E1000000}"/>
    <hyperlink ref="H237" r:id="rId227" xr:uid="{00000000-0004-0000-0000-0000E2000000}"/>
    <hyperlink ref="H238" r:id="rId228" xr:uid="{00000000-0004-0000-0000-0000E3000000}"/>
    <hyperlink ref="H239" r:id="rId229" xr:uid="{00000000-0004-0000-0000-0000E4000000}"/>
    <hyperlink ref="H240" r:id="rId230" xr:uid="{00000000-0004-0000-0000-0000E5000000}"/>
    <hyperlink ref="H241" r:id="rId231" xr:uid="{00000000-0004-0000-0000-0000E6000000}"/>
    <hyperlink ref="H242" r:id="rId232" xr:uid="{00000000-0004-0000-0000-0000E7000000}"/>
    <hyperlink ref="H244" r:id="rId233" xr:uid="{00000000-0004-0000-0000-0000E8000000}"/>
    <hyperlink ref="H245" r:id="rId234" xr:uid="{00000000-0004-0000-0000-0000E9000000}"/>
    <hyperlink ref="H246" r:id="rId235" xr:uid="{00000000-0004-0000-0000-0000EA000000}"/>
    <hyperlink ref="H247" r:id="rId236" xr:uid="{00000000-0004-0000-0000-0000EB000000}"/>
    <hyperlink ref="H248" r:id="rId237" xr:uid="{00000000-0004-0000-0000-0000EC000000}"/>
    <hyperlink ref="H249" r:id="rId238" xr:uid="{00000000-0004-0000-0000-0000ED000000}"/>
    <hyperlink ref="H250" r:id="rId239" xr:uid="{00000000-0004-0000-0000-0000EE000000}"/>
    <hyperlink ref="H251" r:id="rId240" xr:uid="{00000000-0004-0000-0000-0000EF000000}"/>
    <hyperlink ref="H252" r:id="rId241" xr:uid="{00000000-0004-0000-0000-0000F0000000}"/>
    <hyperlink ref="H253" r:id="rId242" xr:uid="{00000000-0004-0000-0000-0000F1000000}"/>
    <hyperlink ref="H254" r:id="rId243" xr:uid="{00000000-0004-0000-0000-0000F2000000}"/>
    <hyperlink ref="H255" r:id="rId244" xr:uid="{00000000-0004-0000-0000-0000F3000000}"/>
    <hyperlink ref="H256" r:id="rId245" xr:uid="{00000000-0004-0000-0000-0000F4000000}"/>
    <hyperlink ref="H257" r:id="rId246" xr:uid="{00000000-0004-0000-0000-0000F5000000}"/>
    <hyperlink ref="H258" r:id="rId247" xr:uid="{00000000-0004-0000-0000-0000F6000000}"/>
    <hyperlink ref="H259" r:id="rId248" xr:uid="{00000000-0004-0000-0000-0000F7000000}"/>
    <hyperlink ref="H260" r:id="rId249" xr:uid="{00000000-0004-0000-0000-0000F8000000}"/>
    <hyperlink ref="H261" r:id="rId250" xr:uid="{00000000-0004-0000-0000-0000F9000000}"/>
    <hyperlink ref="H262" r:id="rId251" xr:uid="{00000000-0004-0000-0000-0000FA000000}"/>
    <hyperlink ref="H263" r:id="rId252" xr:uid="{00000000-0004-0000-0000-0000FB000000}"/>
    <hyperlink ref="H264" r:id="rId253" xr:uid="{00000000-0004-0000-0000-0000FC000000}"/>
    <hyperlink ref="H265" r:id="rId254" xr:uid="{00000000-0004-0000-0000-0000FD000000}"/>
    <hyperlink ref="H266" r:id="rId255" xr:uid="{00000000-0004-0000-0000-0000FE000000}"/>
    <hyperlink ref="H267" r:id="rId256" xr:uid="{00000000-0004-0000-0000-0000FF000000}"/>
    <hyperlink ref="H268" r:id="rId257" xr:uid="{00000000-0004-0000-0000-000000010000}"/>
    <hyperlink ref="H269" r:id="rId258" xr:uid="{00000000-0004-0000-0000-000001010000}"/>
    <hyperlink ref="H270" r:id="rId259" xr:uid="{00000000-0004-0000-0000-000002010000}"/>
    <hyperlink ref="H271" r:id="rId260" xr:uid="{00000000-0004-0000-0000-000003010000}"/>
    <hyperlink ref="H272" r:id="rId261" xr:uid="{00000000-0004-0000-0000-000004010000}"/>
    <hyperlink ref="H273" r:id="rId262" xr:uid="{00000000-0004-0000-0000-000005010000}"/>
    <hyperlink ref="H274" r:id="rId263" xr:uid="{00000000-0004-0000-0000-000006010000}"/>
    <hyperlink ref="H275" r:id="rId264" xr:uid="{00000000-0004-0000-0000-000007010000}"/>
    <hyperlink ref="H276" r:id="rId265" xr:uid="{00000000-0004-0000-0000-000008010000}"/>
    <hyperlink ref="H277" r:id="rId266" xr:uid="{00000000-0004-0000-0000-000009010000}"/>
    <hyperlink ref="H278" r:id="rId267" xr:uid="{00000000-0004-0000-0000-00000A010000}"/>
    <hyperlink ref="H279" r:id="rId268" xr:uid="{00000000-0004-0000-0000-00000B010000}"/>
    <hyperlink ref="H280" r:id="rId269" xr:uid="{00000000-0004-0000-0000-00000C010000}"/>
    <hyperlink ref="H281" r:id="rId270" xr:uid="{00000000-0004-0000-0000-00000D010000}"/>
    <hyperlink ref="H282" r:id="rId271" xr:uid="{00000000-0004-0000-0000-00000E010000}"/>
    <hyperlink ref="H283" r:id="rId272" xr:uid="{00000000-0004-0000-0000-00000F010000}"/>
    <hyperlink ref="H284" r:id="rId273" xr:uid="{00000000-0004-0000-0000-000010010000}"/>
    <hyperlink ref="H285" r:id="rId274" xr:uid="{00000000-0004-0000-0000-000011010000}"/>
    <hyperlink ref="H286" r:id="rId275" xr:uid="{00000000-0004-0000-0000-000012010000}"/>
    <hyperlink ref="H287" r:id="rId276" xr:uid="{00000000-0004-0000-0000-000013010000}"/>
    <hyperlink ref="H288" r:id="rId277" xr:uid="{00000000-0004-0000-0000-000014010000}"/>
    <hyperlink ref="H289" r:id="rId278" xr:uid="{00000000-0004-0000-0000-000015010000}"/>
    <hyperlink ref="H290" r:id="rId279" xr:uid="{00000000-0004-0000-0000-000016010000}"/>
    <hyperlink ref="H291" r:id="rId280" xr:uid="{00000000-0004-0000-0000-000017010000}"/>
    <hyperlink ref="H292" r:id="rId281" xr:uid="{00000000-0004-0000-0000-000018010000}"/>
    <hyperlink ref="H293" r:id="rId282" xr:uid="{00000000-0004-0000-0000-000019010000}"/>
    <hyperlink ref="H294" r:id="rId283" xr:uid="{00000000-0004-0000-0000-00001A010000}"/>
    <hyperlink ref="H295" r:id="rId284" xr:uid="{00000000-0004-0000-0000-00001B010000}"/>
    <hyperlink ref="H296" r:id="rId285" xr:uid="{00000000-0004-0000-0000-00001C010000}"/>
    <hyperlink ref="H297" r:id="rId286" xr:uid="{00000000-0004-0000-0000-00001D010000}"/>
    <hyperlink ref="H298" r:id="rId287" xr:uid="{00000000-0004-0000-0000-00001E010000}"/>
    <hyperlink ref="H299" r:id="rId288" xr:uid="{00000000-0004-0000-0000-00001F010000}"/>
    <hyperlink ref="H300" r:id="rId289" xr:uid="{00000000-0004-0000-0000-000020010000}"/>
    <hyperlink ref="H301" r:id="rId290" xr:uid="{00000000-0004-0000-0000-000021010000}"/>
    <hyperlink ref="H302" r:id="rId291" xr:uid="{00000000-0004-0000-0000-000022010000}"/>
    <hyperlink ref="H303" r:id="rId292" xr:uid="{00000000-0004-0000-0000-000023010000}"/>
  </hyperlinks>
  <pageMargins left="0.7" right="0.7" top="0.75" bottom="0.75" header="0" footer="0"/>
  <pageSetup orientation="landscape"/>
  <legacyDrawing r:id="rId293"/>
  <tableParts count="1">
    <tablePart r:id="rId29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Выберите значение из списка - Выберите платформу." xr:uid="{00000000-0002-0000-0000-000001000000}">
          <x14:formula1>
            <xm:f>Справочники!$C$4:$C$10</xm:f>
          </x14:formula1>
          <xm:sqref>F6:F313 F316:F504</xm:sqref>
        </x14:dataValidation>
        <x14:dataValidation type="list" allowBlank="1" showInputMessage="1" showErrorMessage="1" prompt="Выберите значение из списка - Отметьте результат проверки официальности." xr:uid="{00000000-0002-0000-0000-000003000000}">
          <x14:formula1>
            <xm:f>Справочники!$F$4:$F$6</xm:f>
          </x14:formula1>
          <xm:sqref>I6:I313 I316:I504</xm:sqref>
        </x14:dataValidation>
        <x14:dataValidation type="list" allowBlank="1" showInputMessage="1" showErrorMessage="1" prompt="Выберите значение из списка - Отметьте текущую активность источника." xr:uid="{00000000-0002-0000-0000-000004000000}">
          <x14:formula1>
            <xm:f>Справочники!$G$4:$G$7</xm:f>
          </x14:formula1>
          <xm:sqref>K6:K313 K316:K504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/>
  </sheetViews>
  <sheetFormatPr defaultColWidth="12.625" defaultRowHeight="15" customHeight="1"/>
  <cols>
    <col min="1" max="1" width="27" customWidth="1"/>
    <col min="2" max="2" width="34" customWidth="1"/>
    <col min="3" max="3" width="20" customWidth="1"/>
    <col min="4" max="4" width="28" customWidth="1"/>
    <col min="5" max="5" width="34" customWidth="1"/>
    <col min="6" max="6" width="22" customWidth="1"/>
    <col min="7" max="8" width="20" customWidth="1"/>
    <col min="9" max="25" width="8.625" customWidth="1"/>
  </cols>
  <sheetData>
    <row r="1" spans="1:8" ht="31.5" customHeight="1">
      <c r="A1" s="87" t="s">
        <v>0</v>
      </c>
      <c r="B1" s="81"/>
      <c r="C1" s="81"/>
      <c r="D1" s="81"/>
      <c r="E1" s="81"/>
      <c r="F1" s="81"/>
      <c r="G1" s="81"/>
      <c r="H1" s="81"/>
    </row>
    <row r="3" spans="1:8" ht="33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7</v>
      </c>
      <c r="F3" s="1" t="s">
        <v>9</v>
      </c>
      <c r="G3" s="1" t="s">
        <v>10</v>
      </c>
      <c r="H3" s="1" t="s">
        <v>11</v>
      </c>
    </row>
    <row r="4" spans="1:8" ht="14.25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4" t="s">
        <v>19</v>
      </c>
    </row>
    <row r="5" spans="1:8" ht="14.25">
      <c r="A5" s="5" t="s">
        <v>20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27</v>
      </c>
      <c r="G5" s="7" t="s">
        <v>28</v>
      </c>
      <c r="H5" s="8" t="s">
        <v>29</v>
      </c>
    </row>
    <row r="6" spans="1:8" ht="14.25">
      <c r="A6" s="5" t="s">
        <v>31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8" t="s">
        <v>39</v>
      </c>
    </row>
    <row r="7" spans="1:8" ht="14.25">
      <c r="A7" s="5" t="s">
        <v>40</v>
      </c>
      <c r="B7" s="7" t="s">
        <v>41</v>
      </c>
      <c r="C7" s="7" t="s">
        <v>43</v>
      </c>
      <c r="D7" s="7" t="s">
        <v>44</v>
      </c>
      <c r="E7" s="7" t="s">
        <v>45</v>
      </c>
      <c r="F7" s="7"/>
      <c r="G7" s="7" t="s">
        <v>37</v>
      </c>
      <c r="H7" s="8"/>
    </row>
    <row r="8" spans="1:8" ht="14.25">
      <c r="A8" s="5" t="s">
        <v>47</v>
      </c>
      <c r="B8" s="7" t="s">
        <v>48</v>
      </c>
      <c r="C8" s="7" t="s">
        <v>49</v>
      </c>
      <c r="D8" s="7" t="s">
        <v>50</v>
      </c>
      <c r="E8" s="7" t="s">
        <v>51</v>
      </c>
      <c r="F8" s="7"/>
      <c r="G8" s="7"/>
      <c r="H8" s="8"/>
    </row>
    <row r="9" spans="1:8" ht="14.25">
      <c r="A9" s="5" t="s">
        <v>54</v>
      </c>
      <c r="B9" s="7" t="s">
        <v>55</v>
      </c>
      <c r="C9" s="7" t="s">
        <v>57</v>
      </c>
      <c r="D9" s="7" t="s">
        <v>58</v>
      </c>
      <c r="E9" s="7" t="s">
        <v>60</v>
      </c>
      <c r="F9" s="7"/>
      <c r="G9" s="7"/>
      <c r="H9" s="8"/>
    </row>
    <row r="10" spans="1:8" ht="14.25">
      <c r="A10" s="5" t="s">
        <v>64</v>
      </c>
      <c r="B10" s="7" t="s">
        <v>65</v>
      </c>
      <c r="C10" s="7" t="s">
        <v>67</v>
      </c>
      <c r="D10" s="7" t="s">
        <v>68</v>
      </c>
      <c r="E10" s="7" t="s">
        <v>69</v>
      </c>
      <c r="F10" s="7"/>
      <c r="G10" s="7"/>
      <c r="H10" s="8"/>
    </row>
    <row r="11" spans="1:8" ht="14.25">
      <c r="A11" s="5" t="s">
        <v>6</v>
      </c>
      <c r="B11" s="7" t="s">
        <v>71</v>
      </c>
      <c r="C11" s="7"/>
      <c r="D11" s="7" t="s">
        <v>73</v>
      </c>
      <c r="E11" s="7" t="s">
        <v>75</v>
      </c>
      <c r="F11" s="7"/>
      <c r="G11" s="7"/>
      <c r="H11" s="8"/>
    </row>
    <row r="12" spans="1:8" ht="14.25">
      <c r="A12" s="5" t="s">
        <v>76</v>
      </c>
      <c r="B12" s="7" t="s">
        <v>77</v>
      </c>
      <c r="C12" s="7"/>
      <c r="D12" s="7" t="s">
        <v>79</v>
      </c>
      <c r="E12" s="7"/>
      <c r="F12" s="7"/>
      <c r="G12" s="7"/>
      <c r="H12" s="8"/>
    </row>
    <row r="13" spans="1:8" ht="14.25">
      <c r="A13" s="5" t="s">
        <v>81</v>
      </c>
      <c r="B13" s="7" t="s">
        <v>82</v>
      </c>
      <c r="C13" s="7"/>
      <c r="D13" s="7" t="s">
        <v>83</v>
      </c>
      <c r="E13" s="7"/>
      <c r="F13" s="7"/>
      <c r="G13" s="7"/>
      <c r="H13" s="8"/>
    </row>
    <row r="14" spans="1:8" ht="14.25">
      <c r="A14" s="5" t="s">
        <v>85</v>
      </c>
      <c r="B14" s="7" t="s">
        <v>86</v>
      </c>
      <c r="C14" s="7"/>
      <c r="D14" s="7"/>
      <c r="E14" s="7"/>
      <c r="F14" s="7"/>
      <c r="G14" s="7"/>
      <c r="H14" s="8"/>
    </row>
    <row r="15" spans="1:8" ht="14.25">
      <c r="A15" s="5" t="s">
        <v>89</v>
      </c>
      <c r="B15" s="7" t="s">
        <v>90</v>
      </c>
      <c r="C15" s="7"/>
      <c r="D15" s="7"/>
      <c r="E15" s="7"/>
      <c r="F15" s="7"/>
      <c r="G15" s="7"/>
      <c r="H15" s="8"/>
    </row>
    <row r="16" spans="1:8" ht="14.25">
      <c r="A16" s="5" t="s">
        <v>91</v>
      </c>
      <c r="B16" s="7" t="s">
        <v>92</v>
      </c>
      <c r="C16" s="7"/>
      <c r="D16" s="7"/>
      <c r="E16" s="7"/>
      <c r="F16" s="7"/>
      <c r="G16" s="7"/>
      <c r="H16" s="8"/>
    </row>
    <row r="17" spans="1:8" ht="14.25">
      <c r="A17" s="5" t="s">
        <v>93</v>
      </c>
      <c r="B17" s="7" t="s">
        <v>94</v>
      </c>
      <c r="C17" s="7"/>
      <c r="D17" s="7"/>
      <c r="E17" s="7"/>
      <c r="F17" s="7"/>
      <c r="G17" s="7"/>
      <c r="H17" s="8"/>
    </row>
    <row r="18" spans="1:8" ht="14.25">
      <c r="A18" s="5" t="s">
        <v>96</v>
      </c>
      <c r="B18" s="7" t="s">
        <v>67</v>
      </c>
      <c r="C18" s="7"/>
      <c r="D18" s="7"/>
      <c r="E18" s="7"/>
      <c r="F18" s="7"/>
      <c r="G18" s="7"/>
      <c r="H18" s="8"/>
    </row>
    <row r="19" spans="1:8" ht="14.25">
      <c r="A19" s="5" t="s">
        <v>98</v>
      </c>
      <c r="B19" s="7"/>
      <c r="C19" s="7"/>
      <c r="D19" s="7"/>
      <c r="E19" s="7"/>
      <c r="F19" s="7"/>
      <c r="G19" s="7"/>
      <c r="H19" s="8"/>
    </row>
    <row r="20" spans="1:8" ht="14.25">
      <c r="A20" s="5" t="s">
        <v>99</v>
      </c>
      <c r="B20" s="7"/>
      <c r="C20" s="7"/>
      <c r="D20" s="7"/>
      <c r="E20" s="7"/>
      <c r="F20" s="7"/>
      <c r="G20" s="7"/>
      <c r="H20" s="8"/>
    </row>
    <row r="21" spans="1:8" ht="15.75" customHeight="1">
      <c r="A21" s="5" t="s">
        <v>101</v>
      </c>
      <c r="B21" s="7"/>
      <c r="C21" s="7"/>
      <c r="D21" s="7"/>
      <c r="E21" s="7"/>
      <c r="F21" s="7"/>
      <c r="G21" s="7"/>
      <c r="H21" s="8"/>
    </row>
    <row r="22" spans="1:8" ht="15.75" customHeight="1">
      <c r="A22" s="5" t="s">
        <v>104</v>
      </c>
      <c r="B22" s="7"/>
      <c r="C22" s="7"/>
      <c r="D22" s="7"/>
      <c r="E22" s="7"/>
      <c r="F22" s="7"/>
      <c r="G22" s="7"/>
      <c r="H22" s="8"/>
    </row>
    <row r="23" spans="1:8" ht="15.75" customHeight="1">
      <c r="A23" s="18" t="s">
        <v>105</v>
      </c>
      <c r="B23" s="19"/>
      <c r="C23" s="19"/>
      <c r="D23" s="19"/>
      <c r="E23" s="19"/>
      <c r="F23" s="19"/>
      <c r="G23" s="19"/>
      <c r="H23" s="20"/>
    </row>
    <row r="24" spans="1:8" ht="15.75" customHeight="1">
      <c r="A24" s="18" t="s">
        <v>84</v>
      </c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showGridLines="0" workbookViewId="0"/>
  </sheetViews>
  <sheetFormatPr defaultColWidth="12.625" defaultRowHeight="15" customHeight="1"/>
  <cols>
    <col min="1" max="1" width="28" customWidth="1"/>
    <col min="2" max="2" width="20" customWidth="1"/>
    <col min="3" max="4" width="21" customWidth="1"/>
    <col min="5" max="6" width="20" customWidth="1"/>
    <col min="7" max="7" width="14" customWidth="1"/>
    <col min="8" max="26" width="8.625" customWidth="1"/>
  </cols>
  <sheetData>
    <row r="1" spans="1:7" ht="31.5" customHeight="1">
      <c r="A1" s="87" t="s">
        <v>124</v>
      </c>
      <c r="B1" s="81"/>
      <c r="C1" s="81"/>
      <c r="D1" s="81"/>
      <c r="E1" s="81"/>
      <c r="F1" s="81"/>
      <c r="G1" s="81"/>
    </row>
    <row r="2" spans="1:7" ht="14.25">
      <c r="A2" s="88" t="s">
        <v>125</v>
      </c>
      <c r="B2" s="81"/>
      <c r="C2" s="81"/>
      <c r="D2" s="81"/>
      <c r="E2" s="81"/>
      <c r="F2" s="81"/>
      <c r="G2" s="81"/>
    </row>
    <row r="3" spans="1:7" ht="36" customHeight="1">
      <c r="A3" s="1" t="s">
        <v>1</v>
      </c>
      <c r="B3" s="1" t="s">
        <v>126</v>
      </c>
      <c r="C3" s="1" t="s">
        <v>127</v>
      </c>
      <c r="D3" s="1" t="s">
        <v>128</v>
      </c>
      <c r="E3" s="1" t="s">
        <v>129</v>
      </c>
      <c r="F3" s="1" t="s">
        <v>39</v>
      </c>
      <c r="G3" s="1" t="s">
        <v>130</v>
      </c>
    </row>
    <row r="4" spans="1:7" ht="14.25">
      <c r="A4" s="31" t="s">
        <v>12</v>
      </c>
      <c r="B4" s="32">
        <f>COUNTIF(Источники!$C$6:$C$504,A4)</f>
        <v>15</v>
      </c>
      <c r="C4" s="32">
        <f ca="1">COUNTIFS(Источники!$C$6:$C$504,A4,Источники!$M$6:$M$504,"Готово")</f>
        <v>15</v>
      </c>
      <c r="D4" s="32" t="e">
        <f ca="1">COUNTIFS(#REF!,A4,#REF!,"&gt;="&amp;TODAY()-30)</f>
        <v>#REF!</v>
      </c>
      <c r="E4" s="32" t="e">
        <f>COUNTIFS(#REF!,A4,#REF!,"Готово")</f>
        <v>#REF!</v>
      </c>
      <c r="F4" s="32" t="e">
        <f>COUNTIFS(#REF!,A4,#REF!,"Проверить*")</f>
        <v>#REF!</v>
      </c>
      <c r="G4" s="33" t="e">
        <f>COUNTIFS(#REF!,A4,#REF!,"Ошибка*")</f>
        <v>#REF!</v>
      </c>
    </row>
    <row r="5" spans="1:7" ht="14.25">
      <c r="A5" s="34" t="s">
        <v>20</v>
      </c>
      <c r="B5" s="35">
        <f>COUNTIF(Источники!$C$6:$C$504,A5)</f>
        <v>3</v>
      </c>
      <c r="C5" s="35">
        <f ca="1">COUNTIFS(Источники!$C$6:$C$504,A5,Источники!$M$6:$M$504,"Готово")</f>
        <v>3</v>
      </c>
      <c r="D5" s="35" t="e">
        <f ca="1">COUNTIFS(#REF!,A5,#REF!,"&gt;="&amp;TODAY()-30)</f>
        <v>#REF!</v>
      </c>
      <c r="E5" s="35" t="e">
        <f>COUNTIFS(#REF!,A5,#REF!,"Готово")</f>
        <v>#REF!</v>
      </c>
      <c r="F5" s="35" t="e">
        <f>COUNTIFS(#REF!,A5,#REF!,"Проверить*")</f>
        <v>#REF!</v>
      </c>
      <c r="G5" s="36" t="e">
        <f>COUNTIFS(#REF!,A5,#REF!,"Ошибка*")</f>
        <v>#REF!</v>
      </c>
    </row>
    <row r="6" spans="1:7" ht="14.25">
      <c r="A6" s="34" t="s">
        <v>31</v>
      </c>
      <c r="B6" s="35">
        <f>COUNTIF(Источники!$C$6:$C$504,A6)</f>
        <v>3</v>
      </c>
      <c r="C6" s="35">
        <f ca="1">COUNTIFS(Источники!$C$6:$C$504,A6,Источники!$M$6:$M$504,"Готово")</f>
        <v>3</v>
      </c>
      <c r="D6" s="35" t="e">
        <f ca="1">COUNTIFS(#REF!,A6,#REF!,"&gt;="&amp;TODAY()-30)</f>
        <v>#REF!</v>
      </c>
      <c r="E6" s="35" t="e">
        <f>COUNTIFS(#REF!,A6,#REF!,"Готово")</f>
        <v>#REF!</v>
      </c>
      <c r="F6" s="35" t="e">
        <f>COUNTIFS(#REF!,A6,#REF!,"Проверить*")</f>
        <v>#REF!</v>
      </c>
      <c r="G6" s="36" t="e">
        <f>COUNTIFS(#REF!,A6,#REF!,"Ошибка*")</f>
        <v>#REF!</v>
      </c>
    </row>
    <row r="7" spans="1:7" ht="14.25">
      <c r="A7" s="34" t="s">
        <v>40</v>
      </c>
      <c r="B7" s="35">
        <f>COUNTIF(Источники!$C$6:$C$504,A7)</f>
        <v>4</v>
      </c>
      <c r="C7" s="35">
        <f ca="1">COUNTIFS(Источники!$C$6:$C$504,A7,Источники!$M$6:$M$504,"Готово")</f>
        <v>4</v>
      </c>
      <c r="D7" s="35" t="e">
        <f ca="1">COUNTIFS(#REF!,A7,#REF!,"&gt;="&amp;TODAY()-30)</f>
        <v>#REF!</v>
      </c>
      <c r="E7" s="35" t="e">
        <f>COUNTIFS(#REF!,A7,#REF!,"Готово")</f>
        <v>#REF!</v>
      </c>
      <c r="F7" s="35" t="e">
        <f>COUNTIFS(#REF!,A7,#REF!,"Проверить*")</f>
        <v>#REF!</v>
      </c>
      <c r="G7" s="36" t="e">
        <f>COUNTIFS(#REF!,A7,#REF!,"Ошибка*")</f>
        <v>#REF!</v>
      </c>
    </row>
    <row r="8" spans="1:7" ht="14.25">
      <c r="A8" s="34" t="s">
        <v>47</v>
      </c>
      <c r="B8" s="35">
        <f>COUNTIF(Источники!$C$6:$C$504,A8)</f>
        <v>3</v>
      </c>
      <c r="C8" s="35">
        <f ca="1">COUNTIFS(Источники!$C$6:$C$504,A8,Источники!$M$6:$M$504,"Готово")</f>
        <v>3</v>
      </c>
      <c r="D8" s="35" t="e">
        <f ca="1">COUNTIFS(#REF!,A8,#REF!,"&gt;="&amp;TODAY()-30)</f>
        <v>#REF!</v>
      </c>
      <c r="E8" s="35" t="e">
        <f>COUNTIFS(#REF!,A8,#REF!,"Готово")</f>
        <v>#REF!</v>
      </c>
      <c r="F8" s="35" t="e">
        <f>COUNTIFS(#REF!,A8,#REF!,"Проверить*")</f>
        <v>#REF!</v>
      </c>
      <c r="G8" s="36" t="e">
        <f>COUNTIFS(#REF!,A8,#REF!,"Ошибка*")</f>
        <v>#REF!</v>
      </c>
    </row>
    <row r="9" spans="1:7" ht="14.25">
      <c r="A9" s="34" t="s">
        <v>54</v>
      </c>
      <c r="B9" s="35">
        <f>COUNTIF(Источники!$C$6:$C$504,A9)</f>
        <v>2</v>
      </c>
      <c r="C9" s="35">
        <f ca="1">COUNTIFS(Источники!$C$6:$C$504,A9,Источники!$M$6:$M$504,"Готово")</f>
        <v>2</v>
      </c>
      <c r="D9" s="35" t="e">
        <f ca="1">COUNTIFS(#REF!,A9,#REF!,"&gt;="&amp;TODAY()-30)</f>
        <v>#REF!</v>
      </c>
      <c r="E9" s="35" t="e">
        <f>COUNTIFS(#REF!,A9,#REF!,"Готово")</f>
        <v>#REF!</v>
      </c>
      <c r="F9" s="35" t="e">
        <f>COUNTIFS(#REF!,A9,#REF!,"Проверить*")</f>
        <v>#REF!</v>
      </c>
      <c r="G9" s="36" t="e">
        <f>COUNTIFS(#REF!,A9,#REF!,"Ошибка*")</f>
        <v>#REF!</v>
      </c>
    </row>
    <row r="10" spans="1:7" ht="14.25">
      <c r="A10" s="34" t="s">
        <v>64</v>
      </c>
      <c r="B10" s="35">
        <f>COUNTIF(Источники!$C$6:$C$504,A10)</f>
        <v>7</v>
      </c>
      <c r="C10" s="35">
        <f ca="1">COUNTIFS(Источники!$C$6:$C$504,A10,Источники!$M$6:$M$504,"Готово")</f>
        <v>7</v>
      </c>
      <c r="D10" s="35" t="e">
        <f ca="1">COUNTIFS(#REF!,A10,#REF!,"&gt;="&amp;TODAY()-30)</f>
        <v>#REF!</v>
      </c>
      <c r="E10" s="35" t="e">
        <f>COUNTIFS(#REF!,A10,#REF!,"Готово")</f>
        <v>#REF!</v>
      </c>
      <c r="F10" s="35" t="e">
        <f>COUNTIFS(#REF!,A10,#REF!,"Проверить*")</f>
        <v>#REF!</v>
      </c>
      <c r="G10" s="36" t="e">
        <f>COUNTIFS(#REF!,A10,#REF!,"Ошибка*")</f>
        <v>#REF!</v>
      </c>
    </row>
    <row r="11" spans="1:7" ht="14.25">
      <c r="A11" s="34" t="s">
        <v>6</v>
      </c>
      <c r="B11" s="35">
        <f>COUNTIF(Источники!$C$6:$C$504,A11)</f>
        <v>16</v>
      </c>
      <c r="C11" s="35">
        <f ca="1">COUNTIFS(Источники!$C$6:$C$504,A11,Источники!$M$6:$M$504,"Готово")</f>
        <v>16</v>
      </c>
      <c r="D11" s="35" t="e">
        <f ca="1">COUNTIFS(#REF!,A11,#REF!,"&gt;="&amp;TODAY()-30)</f>
        <v>#REF!</v>
      </c>
      <c r="E11" s="35" t="e">
        <f>COUNTIFS(#REF!,A11,#REF!,"Готово")</f>
        <v>#REF!</v>
      </c>
      <c r="F11" s="35" t="e">
        <f>COUNTIFS(#REF!,A11,#REF!,"Проверить*")</f>
        <v>#REF!</v>
      </c>
      <c r="G11" s="36" t="e">
        <f>COUNTIFS(#REF!,A11,#REF!,"Ошибка*")</f>
        <v>#REF!</v>
      </c>
    </row>
    <row r="12" spans="1:7" ht="14.25">
      <c r="A12" s="34" t="s">
        <v>76</v>
      </c>
      <c r="B12" s="35">
        <f>COUNTIF(Источники!$C$6:$C$504,A12)</f>
        <v>3</v>
      </c>
      <c r="C12" s="35">
        <f ca="1">COUNTIFS(Источники!$C$6:$C$504,A12,Источники!$M$6:$M$504,"Готово")</f>
        <v>2</v>
      </c>
      <c r="D12" s="35" t="e">
        <f ca="1">COUNTIFS(#REF!,A12,#REF!,"&gt;="&amp;TODAY()-30)</f>
        <v>#REF!</v>
      </c>
      <c r="E12" s="35" t="e">
        <f>COUNTIFS(#REF!,A12,#REF!,"Готово")</f>
        <v>#REF!</v>
      </c>
      <c r="F12" s="35" t="e">
        <f>COUNTIFS(#REF!,A12,#REF!,"Проверить*")</f>
        <v>#REF!</v>
      </c>
      <c r="G12" s="36" t="e">
        <f>COUNTIFS(#REF!,A12,#REF!,"Ошибка*")</f>
        <v>#REF!</v>
      </c>
    </row>
    <row r="13" spans="1:7" ht="14.25">
      <c r="A13" s="34" t="s">
        <v>81</v>
      </c>
      <c r="B13" s="35">
        <f>COUNTIF(Источники!$C$6:$C$504,A13)</f>
        <v>17</v>
      </c>
      <c r="C13" s="35">
        <f ca="1">COUNTIFS(Источники!$C$6:$C$504,A13,Источники!$M$6:$M$504,"Готово")</f>
        <v>17</v>
      </c>
      <c r="D13" s="35" t="e">
        <f ca="1">COUNTIFS(#REF!,A13,#REF!,"&gt;="&amp;TODAY()-30)</f>
        <v>#REF!</v>
      </c>
      <c r="E13" s="35" t="e">
        <f>COUNTIFS(#REF!,A13,#REF!,"Готово")</f>
        <v>#REF!</v>
      </c>
      <c r="F13" s="35" t="e">
        <f>COUNTIFS(#REF!,A13,#REF!,"Проверить*")</f>
        <v>#REF!</v>
      </c>
      <c r="G13" s="36" t="e">
        <f>COUNTIFS(#REF!,A13,#REF!,"Ошибка*")</f>
        <v>#REF!</v>
      </c>
    </row>
    <row r="14" spans="1:7" ht="14.25">
      <c r="A14" s="34" t="s">
        <v>85</v>
      </c>
      <c r="B14" s="35">
        <f>COUNTIF(Источники!$C$6:$C$504,A14)</f>
        <v>11</v>
      </c>
      <c r="C14" s="35">
        <f ca="1">COUNTIFS(Источники!$C$6:$C$504,A14,Источники!$M$6:$M$504,"Готово")</f>
        <v>11</v>
      </c>
      <c r="D14" s="35" t="e">
        <f ca="1">COUNTIFS(#REF!,A14,#REF!,"&gt;="&amp;TODAY()-30)</f>
        <v>#REF!</v>
      </c>
      <c r="E14" s="35" t="e">
        <f>COUNTIFS(#REF!,A14,#REF!,"Готово")</f>
        <v>#REF!</v>
      </c>
      <c r="F14" s="35" t="e">
        <f>COUNTIFS(#REF!,A14,#REF!,"Проверить*")</f>
        <v>#REF!</v>
      </c>
      <c r="G14" s="36" t="e">
        <f>COUNTIFS(#REF!,A14,#REF!,"Ошибка*")</f>
        <v>#REF!</v>
      </c>
    </row>
    <row r="15" spans="1:7" ht="14.25">
      <c r="A15" s="34" t="s">
        <v>89</v>
      </c>
      <c r="B15" s="35">
        <f>COUNTIF(Источники!$C$6:$C$504,A15)</f>
        <v>43</v>
      </c>
      <c r="C15" s="35">
        <f ca="1">COUNTIFS(Источники!$C$6:$C$504,A15,Источники!$M$6:$M$504,"Готово")</f>
        <v>38</v>
      </c>
      <c r="D15" s="35" t="e">
        <f ca="1">COUNTIFS(#REF!,A15,#REF!,"&gt;="&amp;TODAY()-30)</f>
        <v>#REF!</v>
      </c>
      <c r="E15" s="35" t="e">
        <f>COUNTIFS(#REF!,A15,#REF!,"Готово")</f>
        <v>#REF!</v>
      </c>
      <c r="F15" s="35" t="e">
        <f>COUNTIFS(#REF!,A15,#REF!,"Проверить*")</f>
        <v>#REF!</v>
      </c>
      <c r="G15" s="36" t="e">
        <f>COUNTIFS(#REF!,A15,#REF!,"Ошибка*")</f>
        <v>#REF!</v>
      </c>
    </row>
    <row r="16" spans="1:7" ht="14.25">
      <c r="A16" s="34" t="s">
        <v>91</v>
      </c>
      <c r="B16" s="35">
        <f>COUNTIF(Источники!$C$6:$C$504,A16)</f>
        <v>3</v>
      </c>
      <c r="C16" s="35">
        <f ca="1">COUNTIFS(Источники!$C$6:$C$504,A16,Источники!$M$6:$M$504,"Готово")</f>
        <v>3</v>
      </c>
      <c r="D16" s="35" t="e">
        <f ca="1">COUNTIFS(#REF!,A16,#REF!,"&gt;="&amp;TODAY()-30)</f>
        <v>#REF!</v>
      </c>
      <c r="E16" s="35" t="e">
        <f>COUNTIFS(#REF!,A16,#REF!,"Готово")</f>
        <v>#REF!</v>
      </c>
      <c r="F16" s="35" t="e">
        <f>COUNTIFS(#REF!,A16,#REF!,"Проверить*")</f>
        <v>#REF!</v>
      </c>
      <c r="G16" s="36" t="e">
        <f>COUNTIFS(#REF!,A16,#REF!,"Ошибка*")</f>
        <v>#REF!</v>
      </c>
    </row>
    <row r="17" spans="1:7" ht="14.25">
      <c r="A17" s="34" t="s">
        <v>93</v>
      </c>
      <c r="B17" s="35">
        <f>COUNTIF(Источники!$C$6:$C$504,A17)</f>
        <v>2</v>
      </c>
      <c r="C17" s="35">
        <f ca="1">COUNTIFS(Источники!$C$6:$C$504,A17,Источники!$M$6:$M$504,"Готово")</f>
        <v>2</v>
      </c>
      <c r="D17" s="35" t="e">
        <f ca="1">COUNTIFS(#REF!,A17,#REF!,"&gt;="&amp;TODAY()-30)</f>
        <v>#REF!</v>
      </c>
      <c r="E17" s="35" t="e">
        <f>COUNTIFS(#REF!,A17,#REF!,"Готово")</f>
        <v>#REF!</v>
      </c>
      <c r="F17" s="35" t="e">
        <f>COUNTIFS(#REF!,A17,#REF!,"Проверить*")</f>
        <v>#REF!</v>
      </c>
      <c r="G17" s="36" t="e">
        <f>COUNTIFS(#REF!,A17,#REF!,"Ошибка*")</f>
        <v>#REF!</v>
      </c>
    </row>
    <row r="18" spans="1:7" ht="14.25">
      <c r="A18" s="34" t="s">
        <v>96</v>
      </c>
      <c r="B18" s="35">
        <f>COUNTIF(Источники!$C$6:$C$504,A18)</f>
        <v>5</v>
      </c>
      <c r="C18" s="35">
        <f ca="1">COUNTIFS(Источники!$C$6:$C$504,A18,Источники!$M$6:$M$504,"Готово")</f>
        <v>4</v>
      </c>
      <c r="D18" s="35" t="e">
        <f ca="1">COUNTIFS(#REF!,A18,#REF!,"&gt;="&amp;TODAY()-30)</f>
        <v>#REF!</v>
      </c>
      <c r="E18" s="35" t="e">
        <f>COUNTIFS(#REF!,A18,#REF!,"Готово")</f>
        <v>#REF!</v>
      </c>
      <c r="F18" s="35" t="e">
        <f>COUNTIFS(#REF!,A18,#REF!,"Проверить*")</f>
        <v>#REF!</v>
      </c>
      <c r="G18" s="36" t="e">
        <f>COUNTIFS(#REF!,A18,#REF!,"Ошибка*")</f>
        <v>#REF!</v>
      </c>
    </row>
    <row r="19" spans="1:7" ht="14.25">
      <c r="A19" s="34" t="s">
        <v>98</v>
      </c>
      <c r="B19" s="35">
        <f>COUNTIF(Источники!$C$6:$C$504,A19)</f>
        <v>20</v>
      </c>
      <c r="C19" s="35">
        <f ca="1">COUNTIFS(Источники!$C$6:$C$504,A19,Источники!$M$6:$M$504,"Готово")</f>
        <v>20</v>
      </c>
      <c r="D19" s="35" t="e">
        <f ca="1">COUNTIFS(#REF!,A19,#REF!,"&gt;="&amp;TODAY()-30)</f>
        <v>#REF!</v>
      </c>
      <c r="E19" s="35" t="e">
        <f>COUNTIFS(#REF!,A19,#REF!,"Готово")</f>
        <v>#REF!</v>
      </c>
      <c r="F19" s="35" t="e">
        <f>COUNTIFS(#REF!,A19,#REF!,"Проверить*")</f>
        <v>#REF!</v>
      </c>
      <c r="G19" s="36" t="e">
        <f>COUNTIFS(#REF!,A19,#REF!,"Ошибка*")</f>
        <v>#REF!</v>
      </c>
    </row>
    <row r="20" spans="1:7" ht="14.25">
      <c r="A20" s="34" t="s">
        <v>99</v>
      </c>
      <c r="B20" s="35">
        <f>COUNTIF(Источники!$C$6:$C$504,A20)</f>
        <v>4</v>
      </c>
      <c r="C20" s="35">
        <f ca="1">COUNTIFS(Источники!$C$6:$C$504,A20,Источники!$M$6:$M$504,"Готово")</f>
        <v>4</v>
      </c>
      <c r="D20" s="35" t="e">
        <f ca="1">COUNTIFS(#REF!,A20,#REF!,"&gt;="&amp;TODAY()-30)</f>
        <v>#REF!</v>
      </c>
      <c r="E20" s="35" t="e">
        <f>COUNTIFS(#REF!,A20,#REF!,"Готово")</f>
        <v>#REF!</v>
      </c>
      <c r="F20" s="35" t="e">
        <f>COUNTIFS(#REF!,A20,#REF!,"Проверить*")</f>
        <v>#REF!</v>
      </c>
      <c r="G20" s="36" t="e">
        <f>COUNTIFS(#REF!,A20,#REF!,"Ошибка*")</f>
        <v>#REF!</v>
      </c>
    </row>
    <row r="21" spans="1:7" ht="15.75" customHeight="1">
      <c r="A21" s="34" t="s">
        <v>101</v>
      </c>
      <c r="B21" s="35">
        <f>COUNTIF(Источники!$C$6:$C$504,A21)</f>
        <v>11</v>
      </c>
      <c r="C21" s="35">
        <f ca="1">COUNTIFS(Источники!$C$6:$C$504,A21,Источники!$M$6:$M$504,"Готово")</f>
        <v>11</v>
      </c>
      <c r="D21" s="35" t="e">
        <f ca="1">COUNTIFS(#REF!,A21,#REF!,"&gt;="&amp;TODAY()-30)</f>
        <v>#REF!</v>
      </c>
      <c r="E21" s="35" t="e">
        <f>COUNTIFS(#REF!,A21,#REF!,"Готово")</f>
        <v>#REF!</v>
      </c>
      <c r="F21" s="35" t="e">
        <f>COUNTIFS(#REF!,A21,#REF!,"Проверить*")</f>
        <v>#REF!</v>
      </c>
      <c r="G21" s="36" t="e">
        <f>COUNTIFS(#REF!,A21,#REF!,"Ошибка*")</f>
        <v>#REF!</v>
      </c>
    </row>
    <row r="22" spans="1:7" ht="15.75" customHeight="1">
      <c r="A22" s="34" t="s">
        <v>104</v>
      </c>
      <c r="B22" s="35">
        <f>COUNTIF(Источники!$C$6:$C$504,A22)</f>
        <v>3</v>
      </c>
      <c r="C22" s="35">
        <f ca="1">COUNTIFS(Источники!$C$6:$C$504,A22,Источники!$M$6:$M$504,"Готово")</f>
        <v>3</v>
      </c>
      <c r="D22" s="35" t="e">
        <f ca="1">COUNTIFS(#REF!,A22,#REF!,"&gt;="&amp;TODAY()-30)</f>
        <v>#REF!</v>
      </c>
      <c r="E22" s="35" t="e">
        <f>COUNTIFS(#REF!,A22,#REF!,"Готово")</f>
        <v>#REF!</v>
      </c>
      <c r="F22" s="35" t="e">
        <f>COUNTIFS(#REF!,A22,#REF!,"Проверить*")</f>
        <v>#REF!</v>
      </c>
      <c r="G22" s="36" t="e">
        <f>COUNTIFS(#REF!,A22,#REF!,"Ошибка*")</f>
        <v>#REF!</v>
      </c>
    </row>
    <row r="23" spans="1:7" ht="15.75" customHeight="1">
      <c r="A23" s="38" t="s">
        <v>105</v>
      </c>
      <c r="B23" s="32">
        <f>COUNTIF(Источники!$C$6:$C$504,A23)</f>
        <v>20</v>
      </c>
      <c r="C23" s="32">
        <f ca="1">COUNTIFS(Источники!$C$6:$C$504,A23,Источники!$M$6:$M$504,"Готово")</f>
        <v>20</v>
      </c>
      <c r="D23" s="32" t="e">
        <f ca="1">COUNTIFS(#REF!,A23,#REF!,"&gt;="&amp;TODAY()-30)</f>
        <v>#REF!</v>
      </c>
      <c r="E23" s="32" t="e">
        <f>COUNTIFS(#REF!,A23,#REF!,"Готово")</f>
        <v>#REF!</v>
      </c>
      <c r="F23" s="32" t="e">
        <f>COUNTIFS(#REF!,A23,#REF!,"Проверить*")</f>
        <v>#REF!</v>
      </c>
      <c r="G23" s="33" t="e">
        <f>COUNTIFS(#REF!,A23,#REF!,"Ошибка*")</f>
        <v>#REF!</v>
      </c>
    </row>
    <row r="24" spans="1:7" ht="15.75" customHeight="1"/>
    <row r="25" spans="1:7" ht="15.75" customHeight="1">
      <c r="A25" s="39" t="s">
        <v>200</v>
      </c>
      <c r="B25" s="40">
        <f t="shared" ref="B25:G25" si="0">SUM(B4:B23)</f>
        <v>195</v>
      </c>
      <c r="C25" s="40">
        <f t="shared" ca="1" si="0"/>
        <v>188</v>
      </c>
      <c r="D25" s="40" t="e">
        <f t="shared" ca="1" si="0"/>
        <v>#REF!</v>
      </c>
      <c r="E25" s="40" t="e">
        <f t="shared" si="0"/>
        <v>#REF!</v>
      </c>
      <c r="F25" s="40" t="e">
        <f t="shared" si="0"/>
        <v>#REF!</v>
      </c>
      <c r="G25" s="40" t="e">
        <f t="shared" si="0"/>
        <v>#REF!</v>
      </c>
    </row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Источники</vt:lpstr>
      <vt:lpstr>Справочники</vt:lpstr>
      <vt:lpstr>Контроль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Венедикт Уткин</dc:creator>
  <cp:lastModifiedBy>Венедикт Уткин</cp:lastModifiedBy>
  <dcterms:created xsi:type="dcterms:W3CDTF">2026-09-04T07:18:26Z</dcterms:created>
  <dcterms:modified xsi:type="dcterms:W3CDTF">2026-09-04T07:18:26Z</dcterms:modified>
</cp:coreProperties>
</file>